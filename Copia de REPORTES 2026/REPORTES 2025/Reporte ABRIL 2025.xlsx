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FDCB074F-D608-6649-8FFF-05CCCA139CF5}" xr6:coauthVersionLast="47" xr6:coauthVersionMax="47" xr10:uidLastSave="{00000000-0000-0000-0000-000000000000}"/>
  <bookViews>
    <workbookView xWindow="160" yWindow="620" windowWidth="44480" windowHeight="2254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2" l="1"/>
  <c r="O119" i="1"/>
  <c r="S118" i="1"/>
  <c r="S117" i="1"/>
  <c r="O34" i="6"/>
  <c r="O14" i="3"/>
  <c r="S116" i="1"/>
  <c r="S115" i="1"/>
  <c r="S114" i="1"/>
  <c r="S113" i="1"/>
  <c r="S112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6" i="1"/>
  <c r="S111" i="1"/>
  <c r="S97" i="1"/>
  <c r="S95" i="1"/>
  <c r="S33" i="6"/>
  <c r="M46" i="2"/>
  <c r="M45" i="2"/>
  <c r="M44" i="2"/>
  <c r="S32" i="6" l="1"/>
  <c r="S31" i="6"/>
  <c r="S94" i="1"/>
  <c r="S92" i="1"/>
  <c r="S90" i="1"/>
  <c r="S89" i="1"/>
  <c r="S93" i="1"/>
  <c r="S91" i="1"/>
  <c r="S88" i="1"/>
  <c r="S13" i="3"/>
  <c r="S87" i="1"/>
  <c r="S85" i="1"/>
  <c r="S84" i="1"/>
  <c r="S82" i="1"/>
  <c r="S86" i="1"/>
  <c r="S83" i="1"/>
  <c r="S81" i="1"/>
  <c r="S30" i="6"/>
  <c r="S29" i="6"/>
  <c r="S28" i="6"/>
  <c r="S27" i="6"/>
  <c r="S26" i="6"/>
  <c r="S25" i="6"/>
  <c r="S24" i="6"/>
  <c r="S23" i="6"/>
  <c r="S22" i="6"/>
  <c r="S21" i="6"/>
  <c r="S20" i="6"/>
  <c r="S19" i="6"/>
  <c r="S80" i="1" l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 l="1"/>
  <c r="S63" i="1"/>
  <c r="S12" i="3" l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33" i="1"/>
  <c r="S32" i="1"/>
  <c r="S11" i="3"/>
  <c r="S10" i="3"/>
  <c r="S9" i="3" l="1"/>
  <c r="S8" i="3"/>
  <c r="S7" i="3"/>
  <c r="S6" i="3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9" i="1"/>
  <c r="S8" i="1"/>
  <c r="S7" i="1"/>
  <c r="S6" i="1"/>
  <c r="M43" i="2"/>
  <c r="M42" i="2"/>
  <c r="M41" i="2"/>
  <c r="M40" i="2"/>
  <c r="M47" i="2" l="1"/>
  <c r="M123" i="1"/>
  <c r="M125" i="1" l="1"/>
  <c r="M124" i="1"/>
  <c r="M126" i="1" l="1"/>
</calcChain>
</file>

<file path=xl/sharedStrings.xml><?xml version="1.0" encoding="utf-8"?>
<sst xmlns="http://schemas.openxmlformats.org/spreadsheetml/2006/main" count="2515" uniqueCount="973">
  <si>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</si>
  <si>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</si>
  <si>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</si>
  <si>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</si>
  <si>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</si>
  <si>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</si>
  <si>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</si>
  <si>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</si>
  <si>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</si>
  <si>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</si>
  <si>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</si>
  <si>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</si>
  <si>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</si>
  <si>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</si>
  <si>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</si>
  <si>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</si>
  <si>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</si>
  <si>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</si>
  <si>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</si>
  <si>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</si>
  <si>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</si>
  <si>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</si>
  <si>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</si>
  <si>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</si>
  <si>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</si>
  <si>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</si>
  <si>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</si>
  <si>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</si>
  <si>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</si>
  <si>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</si>
  <si>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</si>
  <si>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</si>
  <si>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</si>
  <si>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</si>
  <si>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</si>
  <si>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</si>
  <si>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</si>
  <si>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</si>
  <si>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</si>
  <si>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</si>
  <si>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</si>
  <si>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</si>
  <si>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</si>
  <si>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</si>
  <si>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</si>
  <si>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</si>
  <si>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</si>
  <si>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</si>
  <si>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</si>
  <si>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</si>
  <si>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</si>
  <si>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</si>
  <si>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</si>
  <si>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</si>
  <si>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</si>
  <si>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</si>
  <si>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</si>
  <si>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</si>
  <si>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</si>
  <si>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</si>
  <si>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</si>
  <si>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</si>
  <si>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</si>
  <si>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</si>
  <si>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</si>
  <si>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</si>
  <si>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</si>
  <si>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</si>
  <si>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</si>
  <si>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</si>
  <si>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</si>
  <si>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</si>
  <si>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</si>
  <si>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</si>
  <si>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</si>
  <si>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</si>
  <si>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</si>
  <si>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</si>
  <si>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</si>
  <si>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</si>
  <si>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</si>
  <si>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</si>
  <si>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</si>
  <si>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</si>
  <si>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Cocinas</t>
  </si>
  <si>
    <t>CAPELO ABRIL 2025</t>
  </si>
  <si>
    <t>ABRIL 2025</t>
  </si>
  <si>
    <t>Capelo Abril 2025</t>
  </si>
  <si>
    <t>CAPELO abril 2025</t>
  </si>
  <si>
    <t>CAPELO - ABRIL 2025</t>
  </si>
  <si>
    <t>CIRC. PUT. IPC (SSCONFIG) IND TEK 61+(stanby)</t>
  </si>
  <si>
    <t>COCINA IR 9530</t>
  </si>
  <si>
    <t>ZP21AROOO11</t>
  </si>
  <si>
    <t>MUESTRA CODIGO F47 SE DEBE CAMBIAR LA TARJETA PARA SOLUCIONAR</t>
  </si>
  <si>
    <t>c-ami-vazquez@hotmail.com</t>
  </si>
  <si>
    <t>001-001-000000486</t>
  </si>
  <si>
    <t>COCINA FS3RL966 GGX</t>
  </si>
  <si>
    <t>PAOLA IDROVO</t>
  </si>
  <si>
    <t xml:space="preserve">SE CALIBRA LA MEZCLA AIRE/GAS </t>
  </si>
  <si>
    <t>0102517257</t>
  </si>
  <si>
    <t>0301678645</t>
  </si>
  <si>
    <t>idrovopaola76@gmail.com</t>
  </si>
  <si>
    <t>0987102174</t>
  </si>
  <si>
    <t>0992524876</t>
  </si>
  <si>
    <t>040-104-000008299</t>
  </si>
  <si>
    <t>REFRIGERADOR RLF 74920 SS</t>
  </si>
  <si>
    <t>MC24B100006</t>
  </si>
  <si>
    <t>PATRICIA SOLIS</t>
  </si>
  <si>
    <t>MOTOR DE FABRICA DE HIELOS ESTA TRABAJO, SE DESTRABA EL MECANISMO.</t>
  </si>
  <si>
    <t>0101895761</t>
  </si>
  <si>
    <t>jpidrovo@hotmail.com</t>
  </si>
  <si>
    <t>072853469</t>
  </si>
  <si>
    <t>040-103-000011113</t>
  </si>
  <si>
    <t>KYWI</t>
  </si>
  <si>
    <t>043-907-000020954</t>
  </si>
  <si>
    <t>COCINA GZC 95320 KBB</t>
  </si>
  <si>
    <t>ZP242506132</t>
  </si>
  <si>
    <t>CAMPANA DVN 94030 TCL BK</t>
  </si>
  <si>
    <t>HORNO HLB 8416</t>
  </si>
  <si>
    <t>MICROONDA HL 820 BIS</t>
  </si>
  <si>
    <t>EK244200037</t>
  </si>
  <si>
    <t>TZ24B526969</t>
  </si>
  <si>
    <t>TP247J07119</t>
  </si>
  <si>
    <t>LUIS CAMPOVERDE</t>
  </si>
  <si>
    <t xml:space="preserve">GONZALO PIZARRO </t>
  </si>
  <si>
    <t>0993544876</t>
  </si>
  <si>
    <t>0104473426</t>
  </si>
  <si>
    <t>luiscampoverderivera@gmail.com</t>
  </si>
  <si>
    <t>043-905-000061359</t>
  </si>
  <si>
    <t>016-907-000241302</t>
  </si>
  <si>
    <t>112580058</t>
  </si>
  <si>
    <t>COCINA GBC 95030 KBB</t>
  </si>
  <si>
    <t>ZP24C200790</t>
  </si>
  <si>
    <t>NADIA MOSCOSO</t>
  </si>
  <si>
    <t>EL TEJAR</t>
  </si>
  <si>
    <t>0992515597</t>
  </si>
  <si>
    <t>0105784615</t>
  </si>
  <si>
    <t>nmoscoso@gaiman.com</t>
  </si>
  <si>
    <t>COM. SOLIS</t>
  </si>
  <si>
    <t>001-502-000000108</t>
  </si>
  <si>
    <t>111910000</t>
  </si>
  <si>
    <t>CAMPANA HLM 845 SS MX</t>
  </si>
  <si>
    <t>0103064150</t>
  </si>
  <si>
    <t>carlosvimos2024@outlook.com</t>
  </si>
  <si>
    <t>CARLOS VIMOS</t>
  </si>
  <si>
    <t>PAN. NORTE KM 5 1/2</t>
  </si>
  <si>
    <t>0998462939</t>
  </si>
  <si>
    <t>111910000156</t>
  </si>
  <si>
    <t>CAMILA VAZQUES</t>
  </si>
  <si>
    <t>COMERCIAL SOLIS</t>
  </si>
  <si>
    <t>001-500-000071771</t>
  </si>
  <si>
    <t>CO249E000243</t>
  </si>
  <si>
    <t>GEOVANNY FLORES</t>
  </si>
  <si>
    <t>LOS OLIVOS Y ORD. LASSO</t>
  </si>
  <si>
    <t>cgflores28@hotmail.com</t>
  </si>
  <si>
    <t>001-502-000000185</t>
  </si>
  <si>
    <t>CO249E00316</t>
  </si>
  <si>
    <t>DANIELA PEÑA</t>
  </si>
  <si>
    <t>ROBLE 1-29</t>
  </si>
  <si>
    <t>001-500-000071772</t>
  </si>
  <si>
    <t>CO249E00200</t>
  </si>
  <si>
    <t>MARIA CEVALLOS</t>
  </si>
  <si>
    <t>ORTIGA Y ORDONEZ LASSO</t>
  </si>
  <si>
    <t>danielapu85@gmail.com</t>
  </si>
  <si>
    <t>R1218200</t>
  </si>
  <si>
    <t>REPUESTO GRIFERIA</t>
  </si>
  <si>
    <t>MONOMANDO COCINA EXTRAIBLE MYL CR TEKA</t>
  </si>
  <si>
    <t>JUAN VICUÑA</t>
  </si>
  <si>
    <t>SE CAMBIA JUNTAS Y SELLOS</t>
  </si>
  <si>
    <t>0101205540001</t>
  </si>
  <si>
    <t>juanvicuna@gmail.com</t>
  </si>
  <si>
    <t>0998343581</t>
  </si>
  <si>
    <t>017-901-000088581</t>
  </si>
  <si>
    <t>COCINA GBC 75-G1 GBA BM</t>
  </si>
  <si>
    <t>ZP23B800543</t>
  </si>
  <si>
    <t>ANA PEÑAFIEL</t>
  </si>
  <si>
    <t>SE REVISA CATEENARIA Y SE AJUSTAN LAS CONEXIONES ELECTRICAS</t>
  </si>
  <si>
    <t>0301524617</t>
  </si>
  <si>
    <t>sacmicas@gmail.com</t>
  </si>
  <si>
    <t>0987239131</t>
  </si>
  <si>
    <t>PROGRAMADOR ELECTRONICO HWS BIS INOX</t>
  </si>
  <si>
    <t>MICROONDAS 820 BIS</t>
  </si>
  <si>
    <t>TP241Q09829</t>
  </si>
  <si>
    <t>JENNIFER VALDIVIEZO</t>
  </si>
  <si>
    <t>SE DETECTA QUE LA PLACA DE POTENCIA NO FUNCIONA</t>
  </si>
  <si>
    <t>0103318341</t>
  </si>
  <si>
    <t>fortizmorales@hotmail.com</t>
  </si>
  <si>
    <t>0980913525</t>
  </si>
  <si>
    <t>040-103-000004210</t>
  </si>
  <si>
    <t>001-500-000066741</t>
  </si>
  <si>
    <t>016-907-000242064</t>
  </si>
  <si>
    <t>039-903-000160057</t>
  </si>
  <si>
    <t>CAMPANA DLV 98660 TRL</t>
  </si>
  <si>
    <t>COCINA JZC 96342 BBB</t>
  </si>
  <si>
    <t>TP249505757</t>
  </si>
  <si>
    <t>ZP245FC0226</t>
  </si>
  <si>
    <t>DIGNA SALTO</t>
  </si>
  <si>
    <t>CHUNCHI</t>
  </si>
  <si>
    <t>0989380283</t>
  </si>
  <si>
    <t>1711594760</t>
  </si>
  <si>
    <t>dignasaltoc@gmail.com</t>
  </si>
  <si>
    <t>MERCARD</t>
  </si>
  <si>
    <t>001-001-000000684</t>
  </si>
  <si>
    <t>41560041</t>
  </si>
  <si>
    <t>HORNO HBB 535 SS</t>
  </si>
  <si>
    <t>TZ22BW33502</t>
  </si>
  <si>
    <t>PEGGY MORELL</t>
  </si>
  <si>
    <t>EDIFICIO PORTA</t>
  </si>
  <si>
    <t>0999321376</t>
  </si>
  <si>
    <t>01527825504</t>
  </si>
  <si>
    <t>pumorell9971@gmail.com</t>
  </si>
  <si>
    <t>KARINA ABAD</t>
  </si>
  <si>
    <t>001-500-000070206</t>
  </si>
  <si>
    <t>111000051</t>
  </si>
  <si>
    <t>HORNO HLB 8416 BK</t>
  </si>
  <si>
    <t>TZ235G15537</t>
  </si>
  <si>
    <t>CONTROL SUR</t>
  </si>
  <si>
    <t>0984210041</t>
  </si>
  <si>
    <t>0105669683</t>
  </si>
  <si>
    <t>fernando.bac03@hotmail.com</t>
  </si>
  <si>
    <t>GALME ELECTRODOMESTICOS</t>
  </si>
  <si>
    <t>002-002-000000888</t>
  </si>
  <si>
    <t xml:space="preserve">BBBQ T-BBQ 3100 G BK SS </t>
  </si>
  <si>
    <t>CO249E00659</t>
  </si>
  <si>
    <t>MARIA DUMAS</t>
  </si>
  <si>
    <t>1ERO MAYO Y SIG SIG</t>
  </si>
  <si>
    <t>oximaldonado@hotmail.com</t>
  </si>
  <si>
    <t>DIEGO CHICAIZA</t>
  </si>
  <si>
    <t>018-002-001152078</t>
  </si>
  <si>
    <t>HOME VEGA</t>
  </si>
  <si>
    <t>112570093</t>
  </si>
  <si>
    <t>COCINA GZC 75030 XBB</t>
  </si>
  <si>
    <t>ZP247600731</t>
  </si>
  <si>
    <t>CRISTO DEL CONSUELO</t>
  </si>
  <si>
    <t>0987976117</t>
  </si>
  <si>
    <t>0190412857</t>
  </si>
  <si>
    <t>diego.arqlloivisaca@gmail.com</t>
  </si>
  <si>
    <t>043-903-000063578</t>
  </si>
  <si>
    <t>112570073</t>
  </si>
  <si>
    <t>COCINA GZC 96310 XBB</t>
  </si>
  <si>
    <t>ZP239C00261</t>
  </si>
  <si>
    <t>GONZALO PELAEZ</t>
  </si>
  <si>
    <t>MARIA AUXILIADORA</t>
  </si>
  <si>
    <t>0987112299</t>
  </si>
  <si>
    <t>gonzape@hotmail.com</t>
  </si>
  <si>
    <t>001-500-000071132</t>
  </si>
  <si>
    <t>113430051</t>
  </si>
  <si>
    <t>REFRIGERADOR RMF 77960 GBK MX</t>
  </si>
  <si>
    <t>TKAZC4C5564001</t>
  </si>
  <si>
    <t>MARIBEL ARGUDO</t>
  </si>
  <si>
    <t>MANUEL VEGA 10 46</t>
  </si>
  <si>
    <t>0987427633</t>
  </si>
  <si>
    <t>0103678710</t>
  </si>
  <si>
    <t>repair-repuestos@hotmail.com</t>
  </si>
  <si>
    <t>ALMACENES ESPANA</t>
  </si>
  <si>
    <t>008-501-000009097</t>
  </si>
  <si>
    <t>111000078</t>
  </si>
  <si>
    <t>HORNO 8400 FBK</t>
  </si>
  <si>
    <t>TZ24AW24270</t>
  </si>
  <si>
    <t>MARCELO VAZQUEZ</t>
  </si>
  <si>
    <t>0999790558</t>
  </si>
  <si>
    <t>0101349520</t>
  </si>
  <si>
    <t>mvazquez@gmail.com</t>
  </si>
  <si>
    <t>001-500-000071300</t>
  </si>
  <si>
    <t>11570068</t>
  </si>
  <si>
    <t>COCINA GZC 95320 XBB</t>
  </si>
  <si>
    <t>ZP243R00032</t>
  </si>
  <si>
    <t>JUAN MATUTE</t>
  </si>
  <si>
    <t>URBANIZACION ALANI</t>
  </si>
  <si>
    <t>GUALACEO</t>
  </si>
  <si>
    <t>0984408677</t>
  </si>
  <si>
    <t>0105098784</t>
  </si>
  <si>
    <t>juanmatuteayala@outlook.com</t>
  </si>
  <si>
    <t>VICTORIA HOGAR</t>
  </si>
  <si>
    <t>HORNO HLF 824 G</t>
  </si>
  <si>
    <t>TZ24BL17916</t>
  </si>
  <si>
    <t>PASEO 3 NOVIEMBRE</t>
  </si>
  <si>
    <t>0986314548</t>
  </si>
  <si>
    <t>0190499332</t>
  </si>
  <si>
    <t>ventas@iglaceec.com</t>
  </si>
  <si>
    <t>001-500-000071895</t>
  </si>
  <si>
    <t>112500048</t>
  </si>
  <si>
    <t>COCINA IZS 97630 MST BK</t>
  </si>
  <si>
    <t>ZP227L00012</t>
  </si>
  <si>
    <t>MARCO MARTINEZ</t>
  </si>
  <si>
    <t>CONDOMINIO LOS ARUPOS</t>
  </si>
  <si>
    <t>0999774544</t>
  </si>
  <si>
    <t>0100764679</t>
  </si>
  <si>
    <t>marcom697@gmail.com</t>
  </si>
  <si>
    <t>CAMPANA DVN 64030 TCL BK</t>
  </si>
  <si>
    <t>EK24720012</t>
  </si>
  <si>
    <t xml:space="preserve">COMERCIAL SOLIS </t>
  </si>
  <si>
    <t>0987665867</t>
  </si>
  <si>
    <t>SAP TEKA</t>
  </si>
  <si>
    <t>STOCK</t>
  </si>
  <si>
    <t>MARISCAL LAMAR</t>
  </si>
  <si>
    <t>CO249E00314</t>
  </si>
  <si>
    <t>ventas@comercialsolis.com.ec</t>
  </si>
  <si>
    <t>CO249E00522</t>
  </si>
  <si>
    <t>TRITURADOR TR 710.1</t>
  </si>
  <si>
    <t>220315AF0006</t>
  </si>
  <si>
    <t>JHON GIL</t>
  </si>
  <si>
    <t>INTERRUPTOR NEUMATICO TRABADO, SE SOLUCIONA</t>
  </si>
  <si>
    <t>0101161461</t>
  </si>
  <si>
    <t>jhongila@gmail.com</t>
  </si>
  <si>
    <t>0999513248</t>
  </si>
  <si>
    <t>016-907-000154470</t>
  </si>
  <si>
    <t>001-500-000061515</t>
  </si>
  <si>
    <t>HORNO HLB 8510P</t>
  </si>
  <si>
    <t>TZ242032239</t>
  </si>
  <si>
    <t>ANDRES ABRIL</t>
  </si>
  <si>
    <t>CIEZA DE LEON</t>
  </si>
  <si>
    <t>0983231336</t>
  </si>
  <si>
    <t>0104156195</t>
  </si>
  <si>
    <t>andresabril304@gmail.com</t>
  </si>
  <si>
    <t>MICROONDA HL 822 BIS L</t>
  </si>
  <si>
    <t>TP235C09527</t>
  </si>
  <si>
    <t>COM. LUNA PAZMIÑO</t>
  </si>
  <si>
    <t>002-201-00006009</t>
  </si>
  <si>
    <t>COCINA GBC 75030 KBB</t>
  </si>
  <si>
    <t>HORNO HLB 760 G</t>
  </si>
  <si>
    <t>MICROONDA MWGIIX</t>
  </si>
  <si>
    <t>ZP249T00149</t>
  </si>
  <si>
    <t>TZ246502733</t>
  </si>
  <si>
    <t>MW247A00092</t>
  </si>
  <si>
    <t>NIXXON ANGAMARCA</t>
  </si>
  <si>
    <t>BATAN 1 71</t>
  </si>
  <si>
    <t>0993769081</t>
  </si>
  <si>
    <t>1103247001</t>
  </si>
  <si>
    <t>nixxonangam@gmail.com</t>
  </si>
  <si>
    <t>001-500-000067752</t>
  </si>
  <si>
    <t>COCINA GZC 64320 XBB</t>
  </si>
  <si>
    <t>ZP246000126</t>
  </si>
  <si>
    <t>TZ249519426</t>
  </si>
  <si>
    <t>JULIA ESPINOZA</t>
  </si>
  <si>
    <t>YANUNCAY</t>
  </si>
  <si>
    <t>0995881228</t>
  </si>
  <si>
    <t>1709391898</t>
  </si>
  <si>
    <t>yados_ing99@hotmail.com</t>
  </si>
  <si>
    <t>001-500-000071548</t>
  </si>
  <si>
    <t>TZ247202388</t>
  </si>
  <si>
    <t>DANIEL RUIZ</t>
  </si>
  <si>
    <t>LUIS MORENO MORA</t>
  </si>
  <si>
    <t>0998602858</t>
  </si>
  <si>
    <t>0104147525</t>
  </si>
  <si>
    <t>oscardanielruiz25@gmail.com</t>
  </si>
  <si>
    <t>MICROONDAS 8820 BIS L</t>
  </si>
  <si>
    <t>TP245E04565</t>
  </si>
  <si>
    <t>001-500-000064639</t>
  </si>
  <si>
    <t>MICROCAMPANA MLH 845 SS</t>
  </si>
  <si>
    <t>111910000000157</t>
  </si>
  <si>
    <t>COCINA EX 70.1 5 GAIDRCL</t>
  </si>
  <si>
    <t>ZP217R00004</t>
  </si>
  <si>
    <t>AV. LAS AMERICAS</t>
  </si>
  <si>
    <t>0999851042</t>
  </si>
  <si>
    <t>0102431251</t>
  </si>
  <si>
    <t>marthacobosm@hotmail.com</t>
  </si>
  <si>
    <t>MARTHA COBOS</t>
  </si>
  <si>
    <t>016-902-000502096</t>
  </si>
  <si>
    <t>CAMPANA C9310</t>
  </si>
  <si>
    <t>TP24AR07941</t>
  </si>
  <si>
    <t>TP24ARO7939</t>
  </si>
  <si>
    <t>MANUEL CAJAMARCA</t>
  </si>
  <si>
    <t>TOTORACOCHA</t>
  </si>
  <si>
    <t>0991447570</t>
  </si>
  <si>
    <t>013060703</t>
  </si>
  <si>
    <t>m.cajamarcaq@gmail.com</t>
  </si>
  <si>
    <t>001-500-00006977</t>
  </si>
  <si>
    <t>COCINA GSC 75330 SBA IX</t>
  </si>
  <si>
    <t>ZP246K00216</t>
  </si>
  <si>
    <t>AZOGUES</t>
  </si>
  <si>
    <t>BYRON NARVAEZ</t>
  </si>
  <si>
    <t>0995909160</t>
  </si>
  <si>
    <t>0300244027</t>
  </si>
  <si>
    <t>TP24AR07917</t>
  </si>
  <si>
    <t>BERMAT</t>
  </si>
  <si>
    <t>001-002-000368421</t>
  </si>
  <si>
    <t>MICROONDA ML 822 BIS L</t>
  </si>
  <si>
    <t>COCINA AFF 87601</t>
  </si>
  <si>
    <t>TZ23BT25093</t>
  </si>
  <si>
    <t>TP233H09146</t>
  </si>
  <si>
    <t>ZP23BMOO331</t>
  </si>
  <si>
    <t>AP2450980055</t>
  </si>
  <si>
    <t>YH243000151</t>
  </si>
  <si>
    <t>HUGO QUEZADA</t>
  </si>
  <si>
    <t>CHALLUABAMBA</t>
  </si>
  <si>
    <t>099340209</t>
  </si>
  <si>
    <t>0104714019</t>
  </si>
  <si>
    <t>grupo_caminar@hotmail.com</t>
  </si>
  <si>
    <t>PRADO ALTO</t>
  </si>
  <si>
    <t>040-101-000000254</t>
  </si>
  <si>
    <t>112550R6</t>
  </si>
  <si>
    <t>VINERA RVF 10032 GBK</t>
  </si>
  <si>
    <t>TZ242619696</t>
  </si>
  <si>
    <t>ZP244300165</t>
  </si>
  <si>
    <t>INES ARIAS DE IDROVO</t>
  </si>
  <si>
    <t>0984884651</t>
  </si>
  <si>
    <t>0102416660</t>
  </si>
  <si>
    <t>inesarias@gmail.com</t>
  </si>
  <si>
    <t>JULIO MENESES</t>
  </si>
  <si>
    <t>001-501-000057694</t>
  </si>
  <si>
    <t>TP249R04054</t>
  </si>
  <si>
    <t>MICROONDA ML 820 BIS</t>
  </si>
  <si>
    <t>25/03/225</t>
  </si>
  <si>
    <t>0999200775</t>
  </si>
  <si>
    <t>010364377001</t>
  </si>
  <si>
    <t>jmeneses@techovid.com</t>
  </si>
  <si>
    <t>TP249R04010</t>
  </si>
  <si>
    <t>001-101-000003407</t>
  </si>
  <si>
    <t>H&amp;H AFC 87628 MST BK</t>
  </si>
  <si>
    <t>CAFETERA CLC 855 GM INOX</t>
  </si>
  <si>
    <t>ZP245600428</t>
  </si>
  <si>
    <t>TZ247H16170</t>
  </si>
  <si>
    <t>AP2450980046</t>
  </si>
  <si>
    <t>SILVANA CORDERO</t>
  </si>
  <si>
    <t>0995305580</t>
  </si>
  <si>
    <t>0603336801001</t>
  </si>
  <si>
    <t>fedecordero@yahoo.com</t>
  </si>
  <si>
    <t>VINERA RVF 10024 GBK</t>
  </si>
  <si>
    <t>CAMPANA GFH 73</t>
  </si>
  <si>
    <t>COCINA GZC 32300</t>
  </si>
  <si>
    <t>LAVAVAJILLAS DW8 57 FIM</t>
  </si>
  <si>
    <t>MA247200357</t>
  </si>
  <si>
    <t>ZP239500577</t>
  </si>
  <si>
    <t>TP233H09142</t>
  </si>
  <si>
    <t>TP242501557</t>
  </si>
  <si>
    <t>NS239N00059</t>
  </si>
  <si>
    <t>043-903-000059915</t>
  </si>
  <si>
    <t>HORNO 8416</t>
  </si>
  <si>
    <t>TZ24B526975</t>
  </si>
  <si>
    <t>JUAN SANCHEZ</t>
  </si>
  <si>
    <t>CALLE DEL TEJAR</t>
  </si>
  <si>
    <t>0999954326</t>
  </si>
  <si>
    <t>0916092976</t>
  </si>
  <si>
    <t>josd@gmail.com</t>
  </si>
  <si>
    <t>TP246R01804</t>
  </si>
  <si>
    <t>001-500-00061515</t>
  </si>
  <si>
    <t>MD24BL0000406</t>
  </si>
  <si>
    <t>AV LOJA</t>
  </si>
  <si>
    <t>andresabril3011@gmail.com</t>
  </si>
  <si>
    <t>CAMPANA CC480</t>
  </si>
  <si>
    <t>PX23BN00501</t>
  </si>
  <si>
    <t>COCINA GZC 75330 KBB</t>
  </si>
  <si>
    <t>ZP243600407</t>
  </si>
  <si>
    <t>006-002-000137366</t>
  </si>
  <si>
    <t>HORNO HLB 760 S</t>
  </si>
  <si>
    <t>TZ24BJ15133</t>
  </si>
  <si>
    <t>BLANCA AUCAPIÑA</t>
  </si>
  <si>
    <t>EDIFICIO MONTECARLO</t>
  </si>
  <si>
    <t>0963239977</t>
  </si>
  <si>
    <t>963239977</t>
  </si>
  <si>
    <t>saraluzparrac@gmail.com</t>
  </si>
  <si>
    <t>COCINA GZC 75330 XBB</t>
  </si>
  <si>
    <t>ZP242300177</t>
  </si>
  <si>
    <t>MD249L05977</t>
  </si>
  <si>
    <t>SUKASA</t>
  </si>
  <si>
    <t>040-103-00012635</t>
  </si>
  <si>
    <t>HORNO HSB 610 BK</t>
  </si>
  <si>
    <t>TZ24BD10703</t>
  </si>
  <si>
    <t>MICROONDAS ML 820 BIS</t>
  </si>
  <si>
    <t>TP249R04019</t>
  </si>
  <si>
    <t>JULIANA MALDONADO</t>
  </si>
  <si>
    <t>DE LOS ALBARICOQUES</t>
  </si>
  <si>
    <t>0984191609</t>
  </si>
  <si>
    <t>0701739518</t>
  </si>
  <si>
    <t>julianamaldonado@yahoo.com</t>
  </si>
  <si>
    <t>001-500-000068461</t>
  </si>
  <si>
    <t>ZP246K00151</t>
  </si>
  <si>
    <t>CAMPANA C 710</t>
  </si>
  <si>
    <t>TP246208032</t>
  </si>
  <si>
    <t>TZ249519436</t>
  </si>
  <si>
    <t>TP232702629</t>
  </si>
  <si>
    <t>LOURDES COLLAGUAZO</t>
  </si>
  <si>
    <t>MISICATA</t>
  </si>
  <si>
    <t>0984333098</t>
  </si>
  <si>
    <t>0104095385</t>
  </si>
  <si>
    <t>lourdeseliana@icloud.com</t>
  </si>
  <si>
    <t>COMO HOGAR</t>
  </si>
  <si>
    <t>040-103-000005832</t>
  </si>
  <si>
    <t xml:space="preserve"> MICROONDAS 622 BIS L</t>
  </si>
  <si>
    <t>HORNO HLF 940</t>
  </si>
  <si>
    <t>ZP242700318</t>
  </si>
  <si>
    <t>TZ243M21381</t>
  </si>
  <si>
    <t>EMILIA CORDERO</t>
  </si>
  <si>
    <t>AV SOLANO 10 73</t>
  </si>
  <si>
    <t>0993998537</t>
  </si>
  <si>
    <t>0103807178</t>
  </si>
  <si>
    <t>andyeljuri@msn.com</t>
  </si>
  <si>
    <t>20//03/25</t>
  </si>
  <si>
    <t>001-500-000071774</t>
  </si>
  <si>
    <t>TZ241R25486</t>
  </si>
  <si>
    <t>WILSON OCHOA</t>
  </si>
  <si>
    <t>PACHAMAMA 5 61</t>
  </si>
  <si>
    <t>0987236404</t>
  </si>
  <si>
    <t>0103802203</t>
  </si>
  <si>
    <t>wilson2587@hotmail.com</t>
  </si>
  <si>
    <t>CAMPANA GFH 73 INOX</t>
  </si>
  <si>
    <t>HORNO H313 635</t>
  </si>
  <si>
    <t>COCINA IZC 64010 MSS</t>
  </si>
  <si>
    <t>ZP24A660624</t>
  </si>
  <si>
    <t>ANTISANA 487</t>
  </si>
  <si>
    <t>CO249E00244</t>
  </si>
  <si>
    <t>BUJIA FGA 820 SS</t>
  </si>
  <si>
    <t>HORNO HLF 924 G</t>
  </si>
  <si>
    <t>TZ232125176</t>
  </si>
  <si>
    <t>DIANA CASTILLO</t>
  </si>
  <si>
    <t>SE VERIFICA QUE LA BUJIA FGA NO FUNCIONA</t>
  </si>
  <si>
    <t>0103017125</t>
  </si>
  <si>
    <t>catalinacambi1611@hotmail.com</t>
  </si>
  <si>
    <t>0983595176</t>
  </si>
  <si>
    <t>040-104-000000133</t>
  </si>
  <si>
    <t>CONJUNTO INDUCCION I100 DOMINO (VR EXCLAVA)</t>
  </si>
  <si>
    <t>COCINA IZS 97630 MTS BK</t>
  </si>
  <si>
    <t>ZP226Q00032</t>
  </si>
  <si>
    <t>DANIELA CUESTA</t>
  </si>
  <si>
    <t>CODIGO F47, QUEMADORES DEL LADO DERECHO NO FUNCIONAN</t>
  </si>
  <si>
    <t>1707868620001</t>
  </si>
  <si>
    <t>colminitreum@abccomercioexterior.com</t>
  </si>
  <si>
    <t>0995112354</t>
  </si>
  <si>
    <t>040-103-000005007</t>
  </si>
  <si>
    <t>TRITURADOR 710.1</t>
  </si>
  <si>
    <t>240428AF0772</t>
  </si>
  <si>
    <t>JUAN LANDY</t>
  </si>
  <si>
    <t>PROBLEMA EN BOBINADO DE ARRANQUE DEL MOTOR. SE SOLICITA CAMBIO DE EQUIPO</t>
  </si>
  <si>
    <t>0105500862001</t>
  </si>
  <si>
    <t>juanpablolandym@gmail.com</t>
  </si>
  <si>
    <t>0995388169</t>
  </si>
  <si>
    <t>006-002-0000137215</t>
  </si>
  <si>
    <t>ZP22AEOO107</t>
  </si>
  <si>
    <t>MARIA VIDAL CORONEL</t>
  </si>
  <si>
    <t>SE RECONECTAN TERMINALES Y BUJIAS</t>
  </si>
  <si>
    <t>0100000967</t>
  </si>
  <si>
    <t>alisas321@hotmail.com</t>
  </si>
  <si>
    <t>0998089495</t>
  </si>
  <si>
    <t>002-102-000079298</t>
  </si>
  <si>
    <t>HORNO HLF 8246</t>
  </si>
  <si>
    <t>TZ24B217916</t>
  </si>
  <si>
    <t>MARIA ELISA CORDERO</t>
  </si>
  <si>
    <t>SENSOR TERMOPAR FUERA DE POSICION</t>
  </si>
  <si>
    <t>0190499332001</t>
  </si>
  <si>
    <t>0984670598</t>
  </si>
  <si>
    <t>001-001-000001112</t>
  </si>
  <si>
    <t>001-500-000071682</t>
  </si>
  <si>
    <t>001-500-000071888</t>
  </si>
  <si>
    <t>ZP24CL00250</t>
  </si>
  <si>
    <t>TZ245N21980</t>
  </si>
  <si>
    <t>MARIA PAULA PIEDRA</t>
  </si>
  <si>
    <t>RETAMAS Y HERRERIA</t>
  </si>
  <si>
    <t>0987664897</t>
  </si>
  <si>
    <t>ad.paulapiedra@gmail.com</t>
  </si>
  <si>
    <t>001-500-000070972</t>
  </si>
  <si>
    <t>TP246H03236</t>
  </si>
  <si>
    <t>ZP246C00210</t>
  </si>
  <si>
    <t>MARIA VAZQUEZ BRAVO</t>
  </si>
  <si>
    <t>0984768038</t>
  </si>
  <si>
    <t>andradecallecristian@gmail.com</t>
  </si>
  <si>
    <t>001-500-000065138</t>
  </si>
  <si>
    <t>COCINA AFF 87601 MST BK</t>
  </si>
  <si>
    <t>ZP241B00482</t>
  </si>
  <si>
    <t>HORNO HLB 840 SS</t>
  </si>
  <si>
    <t>MICROONDA ML 8220 BIS L</t>
  </si>
  <si>
    <t>TZ233E12976</t>
  </si>
  <si>
    <t>TP245E04593</t>
  </si>
  <si>
    <t>YH243000021</t>
  </si>
  <si>
    <t>RODRIGO FLORES</t>
  </si>
  <si>
    <t>AUTOPISTA CUENCA</t>
  </si>
  <si>
    <t>0994058325</t>
  </si>
  <si>
    <t>0195126151</t>
  </si>
  <si>
    <t>gerencia@comexmi.com</t>
  </si>
  <si>
    <t>001-500-000071940</t>
  </si>
  <si>
    <t>MD249L05936</t>
  </si>
  <si>
    <t>TZ247614586</t>
  </si>
  <si>
    <t>PAOLA DURAN</t>
  </si>
  <si>
    <t>SAN JOAQUIN</t>
  </si>
  <si>
    <t>0996617249</t>
  </si>
  <si>
    <t>0103940730</t>
  </si>
  <si>
    <t>pao.duran@gmail.com</t>
  </si>
  <si>
    <t>002-201-00006242</t>
  </si>
  <si>
    <t>IVAN PARRA</t>
  </si>
  <si>
    <t>AV PASEO DE LOS CANARIS</t>
  </si>
  <si>
    <t>0991444408</t>
  </si>
  <si>
    <t>0704558337</t>
  </si>
  <si>
    <t>ivanmau1590@gmail.com</t>
  </si>
  <si>
    <t>ZP249T00198</t>
  </si>
  <si>
    <t>016-907-000239435</t>
  </si>
  <si>
    <t>CAMPANA C910</t>
  </si>
  <si>
    <t>TP249H02918</t>
  </si>
  <si>
    <t>ZP242N00506</t>
  </si>
  <si>
    <t>GIMENA TAPIA</t>
  </si>
  <si>
    <t>0995159418</t>
  </si>
  <si>
    <t>0301949004</t>
  </si>
  <si>
    <t>gimenasta@yahoo.com</t>
  </si>
  <si>
    <t>001-001-000000463</t>
  </si>
  <si>
    <t>MICROONDAS ML 8220 BIS L</t>
  </si>
  <si>
    <t>VINERA RVI 10029 GBK</t>
  </si>
  <si>
    <t>TP247Q1498</t>
  </si>
  <si>
    <t>NS239N00051</t>
  </si>
  <si>
    <t>SUSANA BORJA</t>
  </si>
  <si>
    <t>EDIFICIO RUBIK</t>
  </si>
  <si>
    <t>0997473993</t>
  </si>
  <si>
    <t>0201509783</t>
  </si>
  <si>
    <t>susy_borja@yahoo.com</t>
  </si>
  <si>
    <t>043-911-000001384</t>
  </si>
  <si>
    <t>111040006</t>
  </si>
  <si>
    <t>HORNO HSB 750 G</t>
  </si>
  <si>
    <t>TZ242505197</t>
  </si>
  <si>
    <t>ISABEL CACERES</t>
  </si>
  <si>
    <t>AV. PASEO DE LOS CAÑARIS</t>
  </si>
  <si>
    <t>0995102541</t>
  </si>
  <si>
    <t>0100682608</t>
  </si>
  <si>
    <t>isacocbos2000@gmail.com</t>
  </si>
  <si>
    <t>016-907-000245989</t>
  </si>
  <si>
    <t>40466241</t>
  </si>
  <si>
    <t>TP246R01797</t>
  </si>
  <si>
    <t>CARMEN DE NAREA</t>
  </si>
  <si>
    <t>LAS ORQUIDEAS</t>
  </si>
  <si>
    <t>0984101292</t>
  </si>
  <si>
    <t>0103654182</t>
  </si>
  <si>
    <t>panab24@gmail.com</t>
  </si>
  <si>
    <t>001-502-000000167</t>
  </si>
  <si>
    <t>ZP24A600368</t>
  </si>
  <si>
    <t>AUGUSTA ROMERO</t>
  </si>
  <si>
    <t>EL MOLLE 3 58</t>
  </si>
  <si>
    <t>314-7571</t>
  </si>
  <si>
    <t>0100705714</t>
  </si>
  <si>
    <t>berthavillacisv@gmail.com</t>
  </si>
  <si>
    <t>002-201-00007908</t>
  </si>
  <si>
    <t>111010091</t>
  </si>
  <si>
    <t>HORNO HSB 630 BK</t>
  </si>
  <si>
    <t>TZ295N21933</t>
  </si>
  <si>
    <t>MARIA MEDINA</t>
  </si>
  <si>
    <t>AV. RICARDO DURAN</t>
  </si>
  <si>
    <t>0939272910</t>
  </si>
  <si>
    <t>0105883797</t>
  </si>
  <si>
    <t>mariamedinaur@gmail.com</t>
  </si>
  <si>
    <t>016-902-000498249</t>
  </si>
  <si>
    <t>ZP24C200787</t>
  </si>
  <si>
    <t xml:space="preserve">JAIME ANGAMARCA </t>
  </si>
  <si>
    <t>0992252534</t>
  </si>
  <si>
    <t>0301554291</t>
  </si>
  <si>
    <t>jeac7791@gmail.com</t>
  </si>
  <si>
    <t>043-905-000053080</t>
  </si>
  <si>
    <t>40467320</t>
  </si>
  <si>
    <t>CAMPANA C7310</t>
  </si>
  <si>
    <t>TP242L03416</t>
  </si>
  <si>
    <t>BERTHA GONZALES</t>
  </si>
  <si>
    <t>0982992550</t>
  </si>
  <si>
    <t>0102378973</t>
  </si>
  <si>
    <t>berthaganza@gmail.com</t>
  </si>
  <si>
    <t>001-500-000072067</t>
  </si>
  <si>
    <t>TKAZC4M1992001</t>
  </si>
  <si>
    <t>DANIELA ESPINOZA</t>
  </si>
  <si>
    <t>EL DESCANSO</t>
  </si>
  <si>
    <t>0999823400</t>
  </si>
  <si>
    <t>0104251673</t>
  </si>
  <si>
    <t>juanenrique1988@gmail.com</t>
  </si>
  <si>
    <t>001-500-000072080</t>
  </si>
  <si>
    <t>TP249B03571</t>
  </si>
  <si>
    <t>KARINA PADILLA</t>
  </si>
  <si>
    <t>CAMINO A MISICATA</t>
  </si>
  <si>
    <t>0992712802</t>
  </si>
  <si>
    <t>0915577589</t>
  </si>
  <si>
    <t>karin-pad@hotmail.com</t>
  </si>
  <si>
    <t>090-105-000001649</t>
  </si>
  <si>
    <t>112610067</t>
  </si>
  <si>
    <t>COCINA GSC 96320 SBA XX</t>
  </si>
  <si>
    <t>ZP244F00030</t>
  </si>
  <si>
    <t>JULIA CASTRO</t>
  </si>
  <si>
    <t>VAZCO NUÑEZ</t>
  </si>
  <si>
    <t>0999071616</t>
  </si>
  <si>
    <t>0102003167</t>
  </si>
  <si>
    <t>julycastrokpesantez@outlook.com</t>
  </si>
  <si>
    <t>HOME HOGAR</t>
  </si>
  <si>
    <t>006-000157790</t>
  </si>
  <si>
    <t>112570041</t>
  </si>
  <si>
    <t>ZP24AV00372</t>
  </si>
  <si>
    <t>JUSTO VASQUEZ</t>
  </si>
  <si>
    <t>0995597623</t>
  </si>
  <si>
    <t>0103667382</t>
  </si>
  <si>
    <t>justovazquez49@hotmail.com</t>
  </si>
  <si>
    <t>043-985-000066908</t>
  </si>
  <si>
    <t>ZP24CL00381</t>
  </si>
  <si>
    <t>DANIEL VILLA</t>
  </si>
  <si>
    <t>SININCAY</t>
  </si>
  <si>
    <t>0994911644</t>
  </si>
  <si>
    <t>0105165419</t>
  </si>
  <si>
    <t>infodvark@gmail.com</t>
  </si>
  <si>
    <t>043-905-000063995</t>
  </si>
  <si>
    <t>COCINA GBC 64000 KBB</t>
  </si>
  <si>
    <t>PEDRO VAZQUES</t>
  </si>
  <si>
    <t>MACHALA Y ACHIPULLAS</t>
  </si>
  <si>
    <t>0998951177</t>
  </si>
  <si>
    <t>0103523320</t>
  </si>
  <si>
    <t>pgus25@hotmail.com</t>
  </si>
  <si>
    <t>ZP247KB0277</t>
  </si>
  <si>
    <t>TP244W02665</t>
  </si>
  <si>
    <t>001-500-000071628</t>
  </si>
  <si>
    <t>HORNO HSB 630</t>
  </si>
  <si>
    <t>MICROMWG 14X</t>
  </si>
  <si>
    <t>ZP251900555</t>
  </si>
  <si>
    <t>TZ243T28461</t>
  </si>
  <si>
    <t>MW243T01877</t>
  </si>
  <si>
    <t>CARLOS ABRIL</t>
  </si>
  <si>
    <t>PLAYAS MISICATA</t>
  </si>
  <si>
    <t>0995857406</t>
  </si>
  <si>
    <t>0104657283</t>
  </si>
  <si>
    <t>tanjo_21@hotmail.com</t>
  </si>
  <si>
    <t>043-901-000020191</t>
  </si>
  <si>
    <t>ML 8220 BIS L</t>
  </si>
  <si>
    <t>TZ24B526967</t>
  </si>
  <si>
    <t>TP245E04570</t>
  </si>
  <si>
    <t>YOLANDA MOREJON</t>
  </si>
  <si>
    <t>BERNANDO D ELEYARDA</t>
  </si>
  <si>
    <t>0101237279</t>
  </si>
  <si>
    <t>099843284</t>
  </si>
  <si>
    <t>yolandamore7@hotmail.com</t>
  </si>
  <si>
    <t>001-002-000348083</t>
  </si>
  <si>
    <t>043-904-000067179</t>
  </si>
  <si>
    <t>ALMACENES KYWI</t>
  </si>
  <si>
    <t>043-903-000662794</t>
  </si>
  <si>
    <t>CQ249E00645</t>
  </si>
  <si>
    <t>ANA ORDOÑEZ</t>
  </si>
  <si>
    <t>chao8019@yahoo.com</t>
  </si>
  <si>
    <t>ALM. BOYACA</t>
  </si>
  <si>
    <t>007-006-000136872</t>
  </si>
  <si>
    <t>112570068</t>
  </si>
  <si>
    <t>ZP24C500231</t>
  </si>
  <si>
    <t>PATRICIA CASTRO</t>
  </si>
  <si>
    <t>0995241249</t>
  </si>
  <si>
    <t>0102314176</t>
  </si>
  <si>
    <t>quintapomele@hotmail.com</t>
  </si>
  <si>
    <t>017-003-000054224</t>
  </si>
  <si>
    <t>112520025</t>
  </si>
  <si>
    <t>COCINA IZC 64010 MSS BK</t>
  </si>
  <si>
    <t>ZP24A00619</t>
  </si>
  <si>
    <t>RENE RAMIREZ</t>
  </si>
  <si>
    <t>LAS ALMENDRAS</t>
  </si>
  <si>
    <t>0995141013</t>
  </si>
  <si>
    <t>0101950863</t>
  </si>
  <si>
    <t>marc75@live.com</t>
  </si>
  <si>
    <t>001-500-000072224</t>
  </si>
  <si>
    <t>112580027</t>
  </si>
  <si>
    <t>ZP251T00333</t>
  </si>
  <si>
    <t>ERICKA BRITO</t>
  </si>
  <si>
    <t>CONDOMINIO OLIMPO</t>
  </si>
  <si>
    <t>0995420820</t>
  </si>
  <si>
    <t>0103956108</t>
  </si>
  <si>
    <t>eritutana89@outlook.com</t>
  </si>
  <si>
    <t>001-001-000000680</t>
  </si>
  <si>
    <t>112570128</t>
  </si>
  <si>
    <t>ZP24C500194</t>
  </si>
  <si>
    <t>NELSON IDROVO</t>
  </si>
  <si>
    <t>COLINAS DE CHALLUABAMBA</t>
  </si>
  <si>
    <t>0996110451</t>
  </si>
  <si>
    <t>0102753340</t>
  </si>
  <si>
    <t>gracevelastegui@yahoo.com</t>
  </si>
  <si>
    <t>MC234H00011</t>
  </si>
  <si>
    <t>JORGE GUILLERMO</t>
  </si>
  <si>
    <t>TARJETA ELECTRONICA DESCONECTADA</t>
  </si>
  <si>
    <t>01013442707</t>
  </si>
  <si>
    <t>jorgeguillermod@hotmail.com</t>
  </si>
  <si>
    <t>0999520630</t>
  </si>
  <si>
    <t>016-902-000491241</t>
  </si>
  <si>
    <t>PLACA DE POTENCIA P100 IZQDA 2B H7 LAYOUT (IFX0</t>
  </si>
  <si>
    <t>COCINA IZS 86630 MST BK</t>
  </si>
  <si>
    <t>ZP236L00063</t>
  </si>
  <si>
    <t>LA PLACA DE POTENCIA IZQUIERDA ESTA QUEMADA</t>
  </si>
  <si>
    <t>0103811394</t>
  </si>
  <si>
    <t>paolopuruncajasc@gmail.com</t>
  </si>
  <si>
    <t>0987210017</t>
  </si>
  <si>
    <t>001-101-000002894</t>
  </si>
  <si>
    <t>REFRIGERADOR 77960 GBK MX</t>
  </si>
  <si>
    <t>TKAZC461852001</t>
  </si>
  <si>
    <t>PAUL MACANCELA</t>
  </si>
  <si>
    <t>MOTOR VENTILADOR CONDENSADOR FALSO CONTACTO</t>
  </si>
  <si>
    <t>0301755286</t>
  </si>
  <si>
    <t>paulmacancelaant@gmail.com</t>
  </si>
  <si>
    <t>0993838213</t>
  </si>
  <si>
    <t>006-002-000156802</t>
  </si>
  <si>
    <t>RELOJ TC HLB 8550 SC BK</t>
  </si>
  <si>
    <t>HORNO HLB 8550 SC BK</t>
  </si>
  <si>
    <t>TZ23BE12434</t>
  </si>
  <si>
    <t>FABIOLA CUEVA</t>
  </si>
  <si>
    <t xml:space="preserve">SISPLAY NO PERMITE CONTROLAR EL HORNO </t>
  </si>
  <si>
    <t>0101553956</t>
  </si>
  <si>
    <t>fabcue5@hotmail.com</t>
  </si>
  <si>
    <t>0986403109</t>
  </si>
  <si>
    <t>043-909-000000153</t>
  </si>
  <si>
    <t>TZ244JL9302</t>
  </si>
  <si>
    <t>JOSE VAZQUES</t>
  </si>
  <si>
    <t>MOTOR REFRIGERACION CENTRIFUGO FUSIBLE QUEMADO</t>
  </si>
  <si>
    <t>0300776812</t>
  </si>
  <si>
    <t>prvivlla58@gmail.com</t>
  </si>
  <si>
    <t>0992615314</t>
  </si>
  <si>
    <t>001-500-000068460</t>
  </si>
  <si>
    <t>044-012-000002143</t>
  </si>
  <si>
    <t>HORNO HBB 510</t>
  </si>
  <si>
    <t>CAMPANA GFH SS</t>
  </si>
  <si>
    <t>ZP245600322</t>
  </si>
  <si>
    <t>TZ243T28410</t>
  </si>
  <si>
    <t>TP243003493</t>
  </si>
  <si>
    <t>EDIFICIO EL ARCO</t>
  </si>
  <si>
    <t>0105482640</t>
  </si>
  <si>
    <t>silvanacordero1992@gmail.com</t>
  </si>
  <si>
    <t>043-405-000062718</t>
  </si>
  <si>
    <t>MICROONDA MS 620 BIS</t>
  </si>
  <si>
    <t>TP24AQ05736</t>
  </si>
  <si>
    <t>DAYANNA CASTILLO</t>
  </si>
  <si>
    <t>EDICIFICO TERRAZA</t>
  </si>
  <si>
    <t>0963651211</t>
  </si>
  <si>
    <t>0105079818</t>
  </si>
  <si>
    <t>danilomusic15@hotmail.com</t>
  </si>
  <si>
    <t>TZ232P19906</t>
  </si>
  <si>
    <t>043-903-000050982</t>
  </si>
  <si>
    <t>ZP24BM00316</t>
  </si>
  <si>
    <t>MIRIAM ORTEGA</t>
  </si>
  <si>
    <t>CONDOMIONIO LAS MARIA</t>
  </si>
  <si>
    <t>0999086799</t>
  </si>
  <si>
    <t>0100218544</t>
  </si>
  <si>
    <t>miriamrocio@hotmail.com</t>
  </si>
  <si>
    <t>TZ24AE09863</t>
  </si>
  <si>
    <t>016-902-000504808</t>
  </si>
  <si>
    <t>40467305</t>
  </si>
  <si>
    <t>CAMPANA C710</t>
  </si>
  <si>
    <t>TP246L08097</t>
  </si>
  <si>
    <t>JUAN ORELLANA</t>
  </si>
  <si>
    <t xml:space="preserve">ANTONIO VALLEJO </t>
  </si>
  <si>
    <t>0987126047</t>
  </si>
  <si>
    <t>0106634454</t>
  </si>
  <si>
    <t>mateoparra.elcrack@gmail.com</t>
  </si>
  <si>
    <t>001-500-000072270</t>
  </si>
  <si>
    <t>111020071</t>
  </si>
  <si>
    <t>HORNO HBB 510  BK</t>
  </si>
  <si>
    <t>TZ24CA08158</t>
  </si>
  <si>
    <t>SOFIA ANDINO</t>
  </si>
  <si>
    <t>MIGUEL DE SANTIAGO</t>
  </si>
  <si>
    <t>0983366695</t>
  </si>
  <si>
    <t>1803763737</t>
  </si>
  <si>
    <t>juliosantiago666@hotmail.com</t>
  </si>
  <si>
    <t>refrigerador</t>
  </si>
  <si>
    <t>Griferia</t>
  </si>
  <si>
    <t>microondas</t>
  </si>
  <si>
    <t>triturador</t>
  </si>
  <si>
    <t>Horno electrico</t>
  </si>
  <si>
    <t>043-908-000061462</t>
  </si>
  <si>
    <t>112500047</t>
  </si>
  <si>
    <t>COCINA 99700 MTS</t>
  </si>
  <si>
    <t>ZP243C00526</t>
  </si>
  <si>
    <t>ROSARIO VIMOS</t>
  </si>
  <si>
    <t>AV. AMERICAS</t>
  </si>
  <si>
    <t>0984583682</t>
  </si>
  <si>
    <t>1090361799001</t>
  </si>
  <si>
    <t>ZP23BP00194</t>
  </si>
  <si>
    <t>BELGIUS VELAZQUEZ</t>
  </si>
  <si>
    <t>CABLES BUJIAS ROBAN CORRIENTE, SE REAJUSTAN LOS CABLES</t>
  </si>
  <si>
    <t>1722836283</t>
  </si>
  <si>
    <t>edbeke@gmail.com</t>
  </si>
  <si>
    <t>0986408069</t>
  </si>
  <si>
    <t>001-500-000006443</t>
  </si>
  <si>
    <t>BOYACA</t>
  </si>
  <si>
    <t>007-007-000032994</t>
  </si>
  <si>
    <t>40446712</t>
  </si>
  <si>
    <t>TP24A000186</t>
  </si>
  <si>
    <t>CONSTRUCTORA OCQ</t>
  </si>
  <si>
    <t>RICAURTE</t>
  </si>
  <si>
    <t>0995465919</t>
  </si>
  <si>
    <t>01905096988</t>
  </si>
  <si>
    <t>orellanacostructores@hotmail.com</t>
  </si>
  <si>
    <t>andresseq@gmail.com</t>
  </si>
  <si>
    <t>001-500-000065582</t>
  </si>
  <si>
    <t>ZP242N00443</t>
  </si>
  <si>
    <t>TZ241405489</t>
  </si>
  <si>
    <t>DIEGO CARDENAS</t>
  </si>
  <si>
    <t>099738942</t>
  </si>
  <si>
    <t>0102340866</t>
  </si>
  <si>
    <t>dcardenas1964@gmail.com</t>
  </si>
  <si>
    <t>001-500-000070390</t>
  </si>
  <si>
    <t>ZP24BLOO375</t>
  </si>
  <si>
    <t>ZP24BLOO376</t>
  </si>
  <si>
    <t>ZP24BLOO373</t>
  </si>
  <si>
    <t>ZP24BLOO371</t>
  </si>
  <si>
    <t>ZP24BLOO377</t>
  </si>
  <si>
    <t>ZP24BLOO367</t>
  </si>
  <si>
    <t>ZP249T00029</t>
  </si>
  <si>
    <t>DANIEL MOURAT</t>
  </si>
  <si>
    <t>AV. GUAPONDELIG Y ROLDOS</t>
  </si>
  <si>
    <t>0979221675</t>
  </si>
  <si>
    <t>0105770648</t>
  </si>
  <si>
    <t>jessica.alvarezmonroy@gmail.com</t>
  </si>
  <si>
    <t>TP24BV07370</t>
  </si>
  <si>
    <t>TP24B705749</t>
  </si>
  <si>
    <t>TP24BV07366</t>
  </si>
  <si>
    <t>TP24BV07376</t>
  </si>
  <si>
    <t>TP24BV07369</t>
  </si>
  <si>
    <t>TP24B705702</t>
  </si>
  <si>
    <t>TP24BV07371</t>
  </si>
  <si>
    <t>001-500-000070523</t>
  </si>
  <si>
    <t>001-001-00000319</t>
  </si>
  <si>
    <t>TZ247H16146</t>
  </si>
  <si>
    <t>REMIGIO AMOROSO</t>
  </si>
  <si>
    <t>CAÑAR</t>
  </si>
  <si>
    <t>0982262694</t>
  </si>
  <si>
    <t>0302220132001</t>
  </si>
  <si>
    <t>amorosoremigio@gmail.com</t>
  </si>
  <si>
    <t>CAMPANA CC 480</t>
  </si>
  <si>
    <t>TP247507122</t>
  </si>
  <si>
    <t>2P24AQ00051</t>
  </si>
  <si>
    <t>PX2AC400660</t>
  </si>
  <si>
    <t>043-905-000062718</t>
  </si>
  <si>
    <t>ZP24A600696</t>
  </si>
  <si>
    <t>PX24BR00526</t>
  </si>
  <si>
    <t>DAYANA CASTILLO</t>
  </si>
  <si>
    <t>EDIFICIO TERRAZA</t>
  </si>
  <si>
    <t>0963681211</t>
  </si>
  <si>
    <t>COCINA JZC 96324 ABB</t>
  </si>
  <si>
    <t xml:space="preserve">Horno gas </t>
  </si>
  <si>
    <t>AL 17 ABRIL 2025</t>
  </si>
  <si>
    <t>byronnv@gmail.com</t>
  </si>
  <si>
    <t>016-902-03050470</t>
  </si>
  <si>
    <t>040-103-000010855</t>
  </si>
  <si>
    <t>ZP247K00275</t>
  </si>
  <si>
    <t>WILSON NAULAWARI</t>
  </si>
  <si>
    <t>PAUTE Y GIRON</t>
  </si>
  <si>
    <t>0995329878</t>
  </si>
  <si>
    <t>0103701546</t>
  </si>
  <si>
    <t>wilsonnaula@gmail.com</t>
  </si>
  <si>
    <t>014-004-000065316</t>
  </si>
  <si>
    <t>TP246L07472</t>
  </si>
  <si>
    <t>RELOJ TC HLB 840</t>
  </si>
  <si>
    <t>TZ233A10096</t>
  </si>
  <si>
    <t>MARIA JOSE ROJAS</t>
  </si>
  <si>
    <t>SE VERIFICA QUE EL DISPLAY NO ENCIENDE POR COMPLETO, SE CAMBIA REPUESTO.</t>
  </si>
  <si>
    <t>majoserojascordero@hotmail.com</t>
  </si>
  <si>
    <t>001-501-000000263</t>
  </si>
  <si>
    <t>COCINA GBC 64-G1 GBA BM</t>
  </si>
  <si>
    <t>ZP241X00227</t>
  </si>
  <si>
    <t>ANGEL MEJIA</t>
  </si>
  <si>
    <t>SECTOR TERMOPAR NO DETECTA FLAMA, SE AJUSTA</t>
  </si>
  <si>
    <t>elguchito86@hotmail.com</t>
  </si>
  <si>
    <t>016-907-000218298</t>
  </si>
  <si>
    <t>INTERRUPTOR NEUMATICO TR 510.1</t>
  </si>
  <si>
    <t>TRITURADOR TR710.1</t>
  </si>
  <si>
    <t>240115AF1273</t>
  </si>
  <si>
    <t>CRISTINA FEHRS</t>
  </si>
  <si>
    <t>SE TRASLADA A TALLER, SE DEBE CAMBIAR EL INTERRUPTOR NEUMATICO</t>
  </si>
  <si>
    <t>0102311263</t>
  </si>
  <si>
    <t>crisfehrs@hotmail.com</t>
  </si>
  <si>
    <t>007-006-000128736</t>
  </si>
  <si>
    <t>PLACA DE POT. 1100 IZQUIERDA ZB M7</t>
  </si>
  <si>
    <t>ZP22BG00040</t>
  </si>
  <si>
    <t>SUSANA MARCHAN</t>
  </si>
  <si>
    <t>PLACA DE POTENCIA IZQUIERDA QUEMADA</t>
  </si>
  <si>
    <t>jeannete.velastegui@hotmail.com</t>
  </si>
  <si>
    <t>001-501-000054713</t>
  </si>
  <si>
    <t>ZP212H00095</t>
  </si>
  <si>
    <t>DIEGO MERCHAN</t>
  </si>
  <si>
    <t>VENTILADOR TRABADO, SE REALIZA LA LIMPIEZA DE PARTICULAS QUE OBSTRUYEN EL VENTILADOR</t>
  </si>
  <si>
    <t>0105257737</t>
  </si>
  <si>
    <t>luismerchanh@gmail.com</t>
  </si>
  <si>
    <t>001-500-000043125</t>
  </si>
  <si>
    <t>210530AF1870</t>
  </si>
  <si>
    <t>ROSALIA MUÑOZ</t>
  </si>
  <si>
    <t>EL PULSADOR NEUMATICO ESTA TRABAJO, SE DA SOLUCION</t>
  </si>
  <si>
    <t>0104081252</t>
  </si>
  <si>
    <t>gtamariz@hotmail.com</t>
  </si>
  <si>
    <t>001-001-000001495</t>
  </si>
  <si>
    <t>230710AF1802</t>
  </si>
  <si>
    <t>ESTEBAN DONOSO</t>
  </si>
  <si>
    <t>0190380475</t>
  </si>
  <si>
    <t>ocabrera@homedeko.com.ec</t>
  </si>
  <si>
    <t>001-501-000001333</t>
  </si>
  <si>
    <t>TZ24BL17904</t>
  </si>
  <si>
    <t>PAOLO PURUNCAJAS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</si>
</sst>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u/>
      <sz val="13"/>
      <color rgb="FF156082"/>
      <name val="Calibri"/>
      <family val="2"/>
    </font>
    <font>
      <sz val="13"/>
      <color rgb="FF000000"/>
      <name val="Calibri"/>
      <family val="2"/>
    </font>
    <font>
      <u/>
      <sz val="11"/>
      <color rgb="FF467886"/>
      <name val="Aptos Narrow"/>
      <family val="2"/>
    </font>
    <font>
      <sz val="20"/>
      <color indexed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22">
    <xf numFmtId="0" fontId="0" fillId="0" borderId="0"/>
    <xf numFmtId="0" fontId="12" fillId="0" borderId="0"/>
    <xf numFmtId="0" fontId="12" fillId="2" borderId="0">
      <alignment horizontal="left"/>
    </xf>
    <xf numFmtId="0" fontId="4" fillId="0" borderId="0"/>
    <xf numFmtId="0" fontId="5" fillId="0" borderId="0" applyNumberFormat="0" applyFill="0" applyBorder="0" applyAlignment="0" applyProtection="0"/>
    <xf numFmtId="0" fontId="21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167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/>
    <xf numFmtId="43" fontId="25" fillId="0" borderId="0" applyFont="0" applyFill="0" applyBorder="0" applyAlignment="0" applyProtection="0"/>
    <xf numFmtId="0" fontId="47" fillId="0" borderId="0"/>
    <xf numFmtId="0" fontId="25" fillId="0" borderId="0"/>
    <xf numFmtId="0" fontId="4" fillId="0" borderId="0"/>
    <xf numFmtId="0" fontId="5" fillId="0" borderId="0" applyNumberFormat="0" applyFill="0" applyBorder="0" applyAlignment="0" applyProtection="0"/>
    <xf numFmtId="0" fontId="25" fillId="0" borderId="0"/>
    <xf numFmtId="0" fontId="12" fillId="0" borderId="0"/>
  </cellStyleXfs>
  <cellXfs count="268">
    <xf numFmtId="0" fontId="0" fillId="0" borderId="0" xfId="0"/>
    <xf numFmtId="0" fontId="6" fillId="0" borderId="0" xfId="0" applyFont="1" applyAlignment="1">
      <alignment horizontal="right"/>
    </xf>
    <xf numFmtId="4" fontId="7" fillId="0" borderId="0" xfId="0" applyNumberFormat="1" applyFont="1"/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" fontId="0" fillId="0" borderId="0" xfId="0" applyNumberFormat="1"/>
    <xf numFmtId="2" fontId="10" fillId="0" borderId="0" xfId="0" applyNumberFormat="1" applyFont="1" applyAlignment="1">
      <alignment horizontal="right" indent="1"/>
    </xf>
    <xf numFmtId="4" fontId="11" fillId="0" borderId="0" xfId="0" applyNumberFormat="1" applyFont="1" applyAlignment="1">
      <alignment horizontal="left" vertical="center"/>
    </xf>
    <xf numFmtId="0" fontId="13" fillId="0" borderId="0" xfId="1" applyFont="1"/>
    <xf numFmtId="0" fontId="14" fillId="2" borderId="0" xfId="2" applyFont="1" applyAlignment="1">
      <alignment horizontal="center" vertical="center"/>
    </xf>
    <xf numFmtId="1" fontId="14" fillId="2" borderId="0" xfId="2" applyNumberFormat="1" applyFont="1" applyAlignment="1">
      <alignment horizontal="right" vertical="center"/>
    </xf>
    <xf numFmtId="1" fontId="14" fillId="2" borderId="0" xfId="2" applyNumberFormat="1" applyFont="1" applyAlignment="1">
      <alignment horizontal="center" vertical="center"/>
    </xf>
    <xf numFmtId="2" fontId="14" fillId="2" borderId="0" xfId="2" applyNumberFormat="1" applyFont="1" applyAlignment="1">
      <alignment vertical="center"/>
    </xf>
    <xf numFmtId="49" fontId="0" fillId="0" borderId="0" xfId="0" quotePrefix="1" applyNumberFormat="1"/>
    <xf numFmtId="17" fontId="10" fillId="0" borderId="0" xfId="0" quotePrefix="1" applyNumberFormat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vertical="top"/>
    </xf>
    <xf numFmtId="0" fontId="20" fillId="6" borderId="0" xfId="0" applyFont="1" applyFill="1" applyAlignment="1">
      <alignment horizontal="left"/>
    </xf>
    <xf numFmtId="0" fontId="22" fillId="0" borderId="0" xfId="5" applyFont="1"/>
    <xf numFmtId="0" fontId="21" fillId="0" borderId="0" xfId="5" applyAlignment="1">
      <alignment horizontal="right"/>
    </xf>
    <xf numFmtId="4" fontId="11" fillId="0" borderId="0" xfId="6" applyNumberFormat="1" applyFont="1" applyAlignment="1">
      <alignment horizontal="left"/>
    </xf>
    <xf numFmtId="0" fontId="23" fillId="0" borderId="0" xfId="6" applyFont="1" applyAlignment="1">
      <alignment horizontal="center"/>
    </xf>
    <xf numFmtId="0" fontId="24" fillId="0" borderId="0" xfId="6" applyFont="1" applyAlignment="1">
      <alignment vertical="center"/>
    </xf>
    <xf numFmtId="0" fontId="23" fillId="0" borderId="0" xfId="6" applyFont="1"/>
    <xf numFmtId="2" fontId="25" fillId="0" borderId="0" xfId="6" applyNumberFormat="1" applyFont="1" applyAlignment="1">
      <alignment horizontal="left"/>
    </xf>
    <xf numFmtId="0" fontId="21" fillId="0" borderId="0" xfId="5"/>
    <xf numFmtId="0" fontId="26" fillId="0" borderId="0" xfId="5" applyFont="1"/>
    <xf numFmtId="4" fontId="11" fillId="0" borderId="0" xfId="6" applyNumberFormat="1" applyFont="1" applyAlignment="1">
      <alignment horizontal="left" vertical="center"/>
    </xf>
    <xf numFmtId="0" fontId="25" fillId="0" borderId="0" xfId="6" applyFont="1" applyAlignment="1">
      <alignment horizontal="center"/>
    </xf>
    <xf numFmtId="0" fontId="25" fillId="0" borderId="0" xfId="6" applyFont="1"/>
    <xf numFmtId="166" fontId="27" fillId="0" borderId="3" xfId="7" applyNumberFormat="1" applyFont="1" applyBorder="1" applyAlignment="1">
      <alignment horizontal="left"/>
    </xf>
    <xf numFmtId="0" fontId="27" fillId="0" borderId="4" xfId="7" applyFont="1" applyBorder="1" applyAlignment="1">
      <alignment horizontal="left"/>
    </xf>
    <xf numFmtId="0" fontId="26" fillId="0" borderId="4" xfId="7" applyFont="1" applyBorder="1" applyAlignment="1">
      <alignment horizontal="left"/>
    </xf>
    <xf numFmtId="0" fontId="28" fillId="0" borderId="4" xfId="7" applyFont="1" applyBorder="1" applyAlignment="1">
      <alignment horizontal="left"/>
    </xf>
    <xf numFmtId="0" fontId="29" fillId="0" borderId="4" xfId="7" applyFont="1" applyBorder="1" applyAlignment="1">
      <alignment horizontal="left" wrapText="1" readingOrder="1"/>
    </xf>
    <xf numFmtId="0" fontId="28" fillId="0" borderId="4" xfId="7" applyFont="1" applyBorder="1" applyAlignment="1">
      <alignment horizontal="left" wrapText="1"/>
    </xf>
    <xf numFmtId="0" fontId="30" fillId="0" borderId="4" xfId="7" applyFont="1" applyBorder="1" applyAlignment="1">
      <alignment horizontal="left" wrapText="1"/>
    </xf>
    <xf numFmtId="17" fontId="31" fillId="0" borderId="4" xfId="7" quotePrefix="1" applyNumberFormat="1" applyFont="1" applyBorder="1" applyAlignment="1">
      <alignment horizontal="left"/>
    </xf>
    <xf numFmtId="0" fontId="25" fillId="0" borderId="4" xfId="7" applyFont="1" applyBorder="1" applyAlignment="1">
      <alignment horizontal="left"/>
    </xf>
    <xf numFmtId="49" fontId="32" fillId="0" borderId="5" xfId="7" quotePrefix="1" applyNumberFormat="1" applyFont="1" applyBorder="1" applyAlignment="1">
      <alignment horizontal="left"/>
    </xf>
    <xf numFmtId="0" fontId="22" fillId="0" borderId="0" xfId="0" applyFont="1"/>
    <xf numFmtId="166" fontId="27" fillId="0" borderId="6" xfId="7" applyNumberFormat="1" applyFont="1" applyBorder="1" applyAlignment="1">
      <alignment horizontal="left"/>
    </xf>
    <xf numFmtId="0" fontId="27" fillId="0" borderId="0" xfId="7" applyFont="1" applyAlignment="1">
      <alignment horizontal="left"/>
    </xf>
    <xf numFmtId="0" fontId="26" fillId="0" borderId="0" xfId="7" applyFont="1" applyAlignment="1">
      <alignment horizontal="left"/>
    </xf>
    <xf numFmtId="0" fontId="26" fillId="0" borderId="7" xfId="7" applyFont="1" applyBorder="1" applyAlignment="1">
      <alignment horizontal="left"/>
    </xf>
    <xf numFmtId="166" fontId="33" fillId="0" borderId="8" xfId="7" applyNumberFormat="1" applyFont="1" applyBorder="1" applyAlignment="1">
      <alignment horizontal="left"/>
    </xf>
    <xf numFmtId="0" fontId="26" fillId="0" borderId="9" xfId="7" applyFont="1" applyBorder="1" applyAlignment="1">
      <alignment horizontal="left"/>
    </xf>
    <xf numFmtId="0" fontId="26" fillId="0" borderId="10" xfId="7" applyFont="1" applyBorder="1" applyAlignment="1">
      <alignment horizontal="left"/>
    </xf>
    <xf numFmtId="0" fontId="38" fillId="0" borderId="0" xfId="9" applyFont="1"/>
    <xf numFmtId="0" fontId="4" fillId="0" borderId="0" xfId="14"/>
    <xf numFmtId="4" fontId="7" fillId="0" borderId="0" xfId="14" applyNumberFormat="1" applyFont="1"/>
    <xf numFmtId="0" fontId="8" fillId="0" borderId="0" xfId="14" applyFont="1" applyAlignment="1">
      <alignment vertical="center"/>
    </xf>
    <xf numFmtId="2" fontId="4" fillId="0" borderId="0" xfId="14" applyNumberFormat="1" applyAlignment="1">
      <alignment horizontal="left"/>
    </xf>
    <xf numFmtId="0" fontId="4" fillId="0" borderId="0" xfId="14" applyAlignment="1">
      <alignment horizontal="left"/>
    </xf>
    <xf numFmtId="43" fontId="4" fillId="0" borderId="0" xfId="15" applyFont="1" applyFill="1"/>
    <xf numFmtId="0" fontId="39" fillId="0" borderId="0" xfId="14" applyFont="1"/>
    <xf numFmtId="4" fontId="11" fillId="0" borderId="0" xfId="14" applyNumberFormat="1" applyFont="1" applyAlignment="1">
      <alignment horizontal="left" vertical="center"/>
    </xf>
    <xf numFmtId="0" fontId="25" fillId="0" borderId="0" xfId="9"/>
    <xf numFmtId="17" fontId="4" fillId="0" borderId="0" xfId="14" quotePrefix="1" applyNumberFormat="1"/>
    <xf numFmtId="17" fontId="39" fillId="0" borderId="0" xfId="14" quotePrefix="1" applyNumberFormat="1" applyFont="1"/>
    <xf numFmtId="0" fontId="40" fillId="7" borderId="12" xfId="14" applyFont="1" applyFill="1" applyBorder="1" applyAlignment="1">
      <alignment horizontal="center" wrapText="1"/>
    </xf>
    <xf numFmtId="0" fontId="41" fillId="7" borderId="12" xfId="9" applyFont="1" applyFill="1" applyBorder="1" applyAlignment="1">
      <alignment horizontal="left" wrapText="1"/>
    </xf>
    <xf numFmtId="43" fontId="41" fillId="7" borderId="12" xfId="15" applyFont="1" applyFill="1" applyBorder="1" applyAlignment="1">
      <alignment horizontal="left" wrapText="1"/>
    </xf>
    <xf numFmtId="0" fontId="41" fillId="7" borderId="12" xfId="9" applyFont="1" applyFill="1" applyBorder="1" applyAlignment="1">
      <alignment horizontal="center" wrapText="1"/>
    </xf>
    <xf numFmtId="0" fontId="41" fillId="7" borderId="0" xfId="9" applyFont="1" applyFill="1" applyAlignment="1">
      <alignment horizontal="left" wrapText="1"/>
    </xf>
    <xf numFmtId="0" fontId="40" fillId="7" borderId="12" xfId="9" applyFont="1" applyFill="1" applyBorder="1" applyAlignment="1">
      <alignment horizontal="left" wrapText="1"/>
    </xf>
    <xf numFmtId="0" fontId="18" fillId="0" borderId="0" xfId="14" applyFont="1" applyAlignment="1">
      <alignment horizontal="right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4" xfId="0" applyFont="1" applyBorder="1" applyAlignment="1">
      <alignment vertical="center"/>
    </xf>
    <xf numFmtId="0" fontId="15" fillId="0" borderId="0" xfId="0" quotePrefix="1" applyFont="1"/>
    <xf numFmtId="0" fontId="46" fillId="7" borderId="12" xfId="0" applyFont="1" applyFill="1" applyBorder="1" applyAlignment="1">
      <alignment horizontal="center" wrapText="1"/>
    </xf>
    <xf numFmtId="0" fontId="46" fillId="7" borderId="12" xfId="0" applyFont="1" applyFill="1" applyBorder="1" applyAlignment="1">
      <alignment wrapText="1"/>
    </xf>
    <xf numFmtId="0" fontId="46" fillId="7" borderId="12" xfId="0" applyFont="1" applyFill="1" applyBorder="1" applyAlignment="1">
      <alignment horizontal="center" vertical="center" wrapText="1"/>
    </xf>
    <xf numFmtId="0" fontId="46" fillId="7" borderId="15" xfId="0" applyFont="1" applyFill="1" applyBorder="1" applyAlignment="1">
      <alignment wrapText="1"/>
    </xf>
    <xf numFmtId="0" fontId="46" fillId="7" borderId="15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8" fillId="0" borderId="0" xfId="0" applyFont="1"/>
    <xf numFmtId="0" fontId="31" fillId="0" borderId="0" xfId="17" applyFont="1"/>
    <xf numFmtId="4" fontId="31" fillId="0" borderId="0" xfId="17" applyNumberFormat="1" applyFont="1"/>
    <xf numFmtId="0" fontId="26" fillId="0" borderId="0" xfId="17" applyFont="1"/>
    <xf numFmtId="0" fontId="25" fillId="0" borderId="0" xfId="17"/>
    <xf numFmtId="49" fontId="25" fillId="0" borderId="0" xfId="17" applyNumberFormat="1"/>
    <xf numFmtId="17" fontId="31" fillId="0" borderId="0" xfId="17" quotePrefix="1" applyNumberFormat="1" applyFont="1"/>
    <xf numFmtId="4" fontId="26" fillId="0" borderId="0" xfId="17" applyNumberFormat="1" applyFont="1"/>
    <xf numFmtId="0" fontId="38" fillId="0" borderId="0" xfId="17" applyFont="1"/>
    <xf numFmtId="4" fontId="7" fillId="0" borderId="0" xfId="17" applyNumberFormat="1" applyFont="1"/>
    <xf numFmtId="0" fontId="39" fillId="0" borderId="0" xfId="8" applyFont="1"/>
    <xf numFmtId="49" fontId="39" fillId="0" borderId="0" xfId="8" applyNumberFormat="1" applyFont="1"/>
    <xf numFmtId="0" fontId="8" fillId="0" borderId="0" xfId="17" applyFont="1" applyAlignment="1">
      <alignment vertical="center"/>
    </xf>
    <xf numFmtId="2" fontId="25" fillId="0" borderId="0" xfId="17" applyNumberFormat="1" applyAlignment="1">
      <alignment horizontal="left"/>
    </xf>
    <xf numFmtId="4" fontId="11" fillId="0" borderId="0" xfId="17" applyNumberFormat="1" applyFont="1" applyAlignment="1">
      <alignment horizontal="left" vertical="center"/>
    </xf>
    <xf numFmtId="0" fontId="40" fillId="7" borderId="12" xfId="18" applyFont="1" applyFill="1" applyBorder="1" applyAlignment="1">
      <alignment wrapText="1"/>
    </xf>
    <xf numFmtId="0" fontId="48" fillId="7" borderId="12" xfId="18" applyFont="1" applyFill="1" applyBorder="1" applyAlignment="1">
      <alignment wrapText="1"/>
    </xf>
    <xf numFmtId="49" fontId="40" fillId="7" borderId="12" xfId="18" applyNumberFormat="1" applyFont="1" applyFill="1" applyBorder="1" applyAlignment="1">
      <alignment wrapText="1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5" fillId="0" borderId="13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6" xfId="0" applyFont="1" applyFill="1" applyBorder="1" applyAlignment="1">
      <alignment horizontal="left" vertical="center" wrapText="1"/>
    </xf>
    <xf numFmtId="1" fontId="60" fillId="3" borderId="16" xfId="0" applyNumberFormat="1" applyFont="1" applyFill="1" applyBorder="1" applyAlignment="1">
      <alignment horizontal="left" vertical="center" wrapText="1"/>
    </xf>
    <xf numFmtId="2" fontId="60" fillId="3" borderId="16" xfId="0" applyNumberFormat="1" applyFont="1" applyFill="1" applyBorder="1" applyAlignment="1">
      <alignment horizontal="left" vertical="center" wrapText="1"/>
    </xf>
    <xf numFmtId="0" fontId="60" fillId="3" borderId="17" xfId="0" applyFont="1" applyFill="1" applyBorder="1" applyAlignment="1">
      <alignment horizontal="left" vertical="center" wrapText="1"/>
    </xf>
    <xf numFmtId="0" fontId="60" fillId="3" borderId="18" xfId="0" applyFont="1" applyFill="1" applyBorder="1" applyAlignment="1">
      <alignment horizontal="left" vertical="center" wrapText="1"/>
    </xf>
    <xf numFmtId="14" fontId="61" fillId="9" borderId="19" xfId="0" applyNumberFormat="1" applyFont="1" applyFill="1" applyBorder="1" applyAlignment="1">
      <alignment horizontal="left" vertical="center"/>
    </xf>
    <xf numFmtId="49" fontId="61" fillId="9" borderId="19" xfId="0" applyNumberFormat="1" applyFont="1" applyFill="1" applyBorder="1" applyAlignment="1">
      <alignment horizontal="left" vertical="center"/>
    </xf>
    <xf numFmtId="2" fontId="61" fillId="9" borderId="19" xfId="0" applyNumberFormat="1" applyFont="1" applyFill="1" applyBorder="1" applyAlignment="1">
      <alignment horizontal="left" vertical="center"/>
    </xf>
    <xf numFmtId="0" fontId="49" fillId="5" borderId="13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vertical="center"/>
    </xf>
    <xf numFmtId="0" fontId="37" fillId="8" borderId="0" xfId="9" applyFont="1" applyFill="1" applyAlignment="1">
      <alignment vertical="center"/>
    </xf>
    <xf numFmtId="0" fontId="5" fillId="8" borderId="0" xfId="19" applyFill="1" applyAlignment="1">
      <alignment vertical="center"/>
    </xf>
    <xf numFmtId="0" fontId="36" fillId="8" borderId="0" xfId="0" applyFont="1" applyFill="1" applyAlignment="1">
      <alignment vertical="center"/>
    </xf>
    <xf numFmtId="43" fontId="0" fillId="0" borderId="0" xfId="0" applyNumberFormat="1"/>
    <xf numFmtId="0" fontId="17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7" fillId="8" borderId="2" xfId="3" applyFont="1" applyFill="1" applyBorder="1" applyAlignment="1">
      <alignment horizontal="left" vertical="center"/>
    </xf>
    <xf numFmtId="168" fontId="36" fillId="9" borderId="19" xfId="0" applyNumberFormat="1" applyFont="1" applyFill="1" applyBorder="1" applyAlignment="1">
      <alignment horizontal="left" vertical="center"/>
    </xf>
    <xf numFmtId="14" fontId="17" fillId="8" borderId="2" xfId="3" applyNumberFormat="1" applyFont="1" applyFill="1" applyBorder="1" applyAlignment="1">
      <alignment horizontal="center" vertical="center"/>
    </xf>
    <xf numFmtId="1" fontId="17" fillId="8" borderId="2" xfId="3" applyNumberFormat="1" applyFont="1" applyFill="1" applyBorder="1" applyAlignment="1">
      <alignment horizontal="left" vertical="center"/>
    </xf>
    <xf numFmtId="2" fontId="17" fillId="8" borderId="2" xfId="3" applyNumberFormat="1" applyFont="1" applyFill="1" applyBorder="1" applyAlignment="1">
      <alignment horizontal="center" vertical="center"/>
    </xf>
    <xf numFmtId="165" fontId="17" fillId="8" borderId="2" xfId="3" applyNumberFormat="1" applyFont="1" applyFill="1" applyBorder="1" applyAlignment="1">
      <alignment horizontal="center" vertical="center"/>
    </xf>
    <xf numFmtId="0" fontId="5" fillId="8" borderId="2" xfId="19" applyNumberFormat="1" applyFill="1" applyBorder="1" applyAlignment="1">
      <alignment horizontal="left" vertical="center"/>
    </xf>
    <xf numFmtId="0" fontId="5" fillId="10" borderId="19" xfId="19" applyFill="1" applyBorder="1" applyAlignment="1">
      <alignment horizontal="left" vertical="center"/>
    </xf>
    <xf numFmtId="165" fontId="17" fillId="8" borderId="2" xfId="3" applyNumberFormat="1" applyFont="1" applyFill="1" applyBorder="1" applyAlignment="1">
      <alignment horizontal="left" vertical="center"/>
    </xf>
    <xf numFmtId="0" fontId="3" fillId="0" borderId="0" xfId="0" applyFont="1"/>
    <xf numFmtId="0" fontId="63" fillId="8" borderId="0" xfId="1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49" fontId="36" fillId="8" borderId="1" xfId="0" applyNumberFormat="1" applyFont="1" applyFill="1" applyBorder="1" applyAlignment="1">
      <alignment vertical="center"/>
    </xf>
    <xf numFmtId="49" fontId="17" fillId="8" borderId="2" xfId="3" applyNumberFormat="1" applyFont="1" applyFill="1" applyBorder="1" applyAlignment="1">
      <alignment horizontal="left" vertical="center"/>
    </xf>
    <xf numFmtId="49" fontId="35" fillId="8" borderId="2" xfId="4" applyNumberFormat="1" applyFont="1" applyFill="1" applyBorder="1" applyAlignment="1">
      <alignment horizontal="center" vertical="center"/>
    </xf>
    <xf numFmtId="49" fontId="61" fillId="10" borderId="19" xfId="0" applyNumberFormat="1" applyFont="1" applyFill="1" applyBorder="1" applyAlignment="1">
      <alignment horizontal="left" vertical="center"/>
    </xf>
    <xf numFmtId="0" fontId="61" fillId="9" borderId="19" xfId="0" applyFont="1" applyFill="1" applyBorder="1" applyAlignment="1">
      <alignment horizontal="left" vertical="center"/>
    </xf>
    <xf numFmtId="14" fontId="18" fillId="0" borderId="1" xfId="14" applyNumberFormat="1" applyFont="1" applyBorder="1" applyAlignment="1">
      <alignment horizontal="left"/>
    </xf>
    <xf numFmtId="0" fontId="18" fillId="0" borderId="1" xfId="14" applyFont="1" applyBorder="1" applyAlignment="1">
      <alignment horizontal="left" vertical="center"/>
    </xf>
    <xf numFmtId="0" fontId="18" fillId="0" borderId="1" xfId="14" applyFont="1" applyBorder="1" applyAlignment="1">
      <alignment horizontal="left"/>
    </xf>
    <xf numFmtId="0" fontId="18" fillId="0" borderId="1" xfId="14" applyFont="1" applyBorder="1"/>
    <xf numFmtId="0" fontId="18" fillId="0" borderId="1" xfId="14" quotePrefix="1" applyFont="1" applyBorder="1" applyAlignment="1">
      <alignment horizontal="left"/>
    </xf>
    <xf numFmtId="14" fontId="18" fillId="0" borderId="1" xfId="14" applyNumberFormat="1" applyFont="1" applyBorder="1" applyAlignment="1">
      <alignment horizontal="left" vertical="center"/>
    </xf>
    <xf numFmtId="0" fontId="62" fillId="8" borderId="1" xfId="21" applyFont="1" applyFill="1" applyBorder="1" applyAlignment="1">
      <alignment horizontal="left"/>
    </xf>
    <xf numFmtId="43" fontId="18" fillId="0" borderId="1" xfId="15" applyFont="1" applyBorder="1"/>
    <xf numFmtId="43" fontId="18" fillId="0" borderId="1" xfId="15" applyFont="1" applyBorder="1" applyAlignment="1">
      <alignment horizontal="left" vertical="center"/>
    </xf>
    <xf numFmtId="0" fontId="18" fillId="0" borderId="1" xfId="14" quotePrefix="1" applyFont="1" applyBorder="1" applyAlignment="1">
      <alignment horizontal="left" vertical="center"/>
    </xf>
    <xf numFmtId="49" fontId="64" fillId="11" borderId="2" xfId="0" applyNumberFormat="1" applyFont="1" applyFill="1" applyBorder="1" applyAlignment="1">
      <alignment horizontal="center" vertical="center"/>
    </xf>
    <xf numFmtId="0" fontId="5" fillId="11" borderId="11" xfId="19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center"/>
    </xf>
    <xf numFmtId="168" fontId="65" fillId="12" borderId="19" xfId="0" applyNumberFormat="1" applyFont="1" applyFill="1" applyBorder="1" applyAlignment="1">
      <alignment horizontal="left" vertical="center"/>
    </xf>
    <xf numFmtId="0" fontId="65" fillId="11" borderId="2" xfId="0" applyFont="1" applyFill="1" applyBorder="1" applyAlignment="1">
      <alignment horizontal="left" vertical="center"/>
    </xf>
    <xf numFmtId="0" fontId="65" fillId="11" borderId="11" xfId="0" applyFont="1" applyFill="1" applyBorder="1" applyAlignment="1">
      <alignment horizontal="left" vertical="center"/>
    </xf>
    <xf numFmtId="168" fontId="36" fillId="9" borderId="20" xfId="0" applyNumberFormat="1" applyFont="1" applyFill="1" applyBorder="1" applyAlignment="1">
      <alignment horizontal="left" vertical="center"/>
    </xf>
    <xf numFmtId="0" fontId="17" fillId="8" borderId="20" xfId="3" applyFont="1" applyFill="1" applyBorder="1" applyAlignment="1">
      <alignment horizontal="left" vertical="center"/>
    </xf>
    <xf numFmtId="0" fontId="17" fillId="8" borderId="21" xfId="3" applyFont="1" applyFill="1" applyBorder="1" applyAlignment="1">
      <alignment horizontal="left" vertical="center"/>
    </xf>
    <xf numFmtId="168" fontId="36" fillId="9" borderId="21" xfId="0" applyNumberFormat="1" applyFont="1" applyFill="1" applyBorder="1" applyAlignment="1">
      <alignment horizontal="left" vertical="center"/>
    </xf>
    <xf numFmtId="0" fontId="17" fillId="8" borderId="22" xfId="3" applyFont="1" applyFill="1" applyBorder="1" applyAlignment="1">
      <alignment horizontal="left" vertical="center"/>
    </xf>
    <xf numFmtId="0" fontId="17" fillId="8" borderId="20" xfId="3" applyFont="1" applyFill="1" applyBorder="1" applyAlignment="1">
      <alignment horizontal="center" vertical="center"/>
    </xf>
    <xf numFmtId="0" fontId="17" fillId="8" borderId="21" xfId="3" applyFont="1" applyFill="1" applyBorder="1" applyAlignment="1">
      <alignment horizontal="center" vertical="center"/>
    </xf>
    <xf numFmtId="14" fontId="17" fillId="8" borderId="20" xfId="3" applyNumberFormat="1" applyFont="1" applyFill="1" applyBorder="1" applyAlignment="1">
      <alignment horizontal="center" vertical="center"/>
    </xf>
    <xf numFmtId="14" fontId="17" fillId="8" borderId="21" xfId="3" applyNumberFormat="1" applyFont="1" applyFill="1" applyBorder="1" applyAlignment="1">
      <alignment horizontal="center" vertical="center"/>
    </xf>
    <xf numFmtId="1" fontId="17" fillId="8" borderId="20" xfId="3" applyNumberFormat="1" applyFont="1" applyFill="1" applyBorder="1" applyAlignment="1">
      <alignment horizontal="left" vertical="center"/>
    </xf>
    <xf numFmtId="1" fontId="17" fillId="8" borderId="21" xfId="3" applyNumberFormat="1" applyFont="1" applyFill="1" applyBorder="1" applyAlignment="1">
      <alignment horizontal="left" vertical="center"/>
    </xf>
    <xf numFmtId="49" fontId="17" fillId="8" borderId="20" xfId="3" applyNumberFormat="1" applyFont="1" applyFill="1" applyBorder="1" applyAlignment="1">
      <alignment horizontal="left" vertical="center"/>
    </xf>
    <xf numFmtId="49" fontId="17" fillId="8" borderId="21" xfId="3" applyNumberFormat="1" applyFont="1" applyFill="1" applyBorder="1" applyAlignment="1">
      <alignment horizontal="left" vertical="center"/>
    </xf>
    <xf numFmtId="2" fontId="17" fillId="8" borderId="20" xfId="3" applyNumberFormat="1" applyFont="1" applyFill="1" applyBorder="1" applyAlignment="1">
      <alignment horizontal="center" vertical="center"/>
    </xf>
    <xf numFmtId="2" fontId="17" fillId="8" borderId="21" xfId="3" applyNumberFormat="1" applyFont="1" applyFill="1" applyBorder="1" applyAlignment="1">
      <alignment horizontal="center" vertical="center"/>
    </xf>
    <xf numFmtId="165" fontId="17" fillId="8" borderId="20" xfId="3" applyNumberFormat="1" applyFont="1" applyFill="1" applyBorder="1" applyAlignment="1">
      <alignment horizontal="center" vertical="center"/>
    </xf>
    <xf numFmtId="165" fontId="17" fillId="8" borderId="21" xfId="3" applyNumberFormat="1" applyFont="1" applyFill="1" applyBorder="1" applyAlignment="1">
      <alignment horizontal="center" vertical="center"/>
    </xf>
    <xf numFmtId="49" fontId="35" fillId="8" borderId="20" xfId="4" applyNumberFormat="1" applyFont="1" applyFill="1" applyBorder="1" applyAlignment="1">
      <alignment horizontal="center" vertical="center"/>
    </xf>
    <xf numFmtId="0" fontId="5" fillId="8" borderId="20" xfId="19" applyNumberFormat="1" applyFill="1" applyBorder="1" applyAlignment="1">
      <alignment horizontal="left" vertical="center"/>
    </xf>
    <xf numFmtId="0" fontId="5" fillId="8" borderId="21" xfId="19" applyNumberFormat="1" applyFill="1" applyBorder="1" applyAlignment="1">
      <alignment horizontal="left" vertical="center"/>
    </xf>
    <xf numFmtId="0" fontId="1" fillId="0" borderId="0" xfId="0" applyFont="1"/>
    <xf numFmtId="0" fontId="17" fillId="0" borderId="1" xfId="3" applyFont="1" applyBorder="1" applyAlignment="1">
      <alignment horizontal="right"/>
    </xf>
    <xf numFmtId="164" fontId="17" fillId="5" borderId="1" xfId="3" applyNumberFormat="1" applyFont="1" applyFill="1" applyBorder="1" applyAlignment="1">
      <alignment horizontal="left"/>
    </xf>
    <xf numFmtId="0" fontId="17" fillId="5" borderId="1" xfId="3" applyFont="1" applyFill="1" applyBorder="1"/>
    <xf numFmtId="0" fontId="17" fillId="0" borderId="1" xfId="3" applyFont="1" applyBorder="1" applyAlignment="1">
      <alignment horizontal="center" vertical="center"/>
    </xf>
    <xf numFmtId="0" fontId="17" fillId="0" borderId="1" xfId="3" applyFont="1" applyBorder="1"/>
    <xf numFmtId="0" fontId="17" fillId="5" borderId="1" xfId="3" applyFont="1" applyFill="1" applyBorder="1" applyAlignment="1">
      <alignment horizontal="left"/>
    </xf>
    <xf numFmtId="0" fontId="17" fillId="5" borderId="1" xfId="3" applyFont="1" applyFill="1" applyBorder="1" applyAlignment="1">
      <alignment horizontal="left" vertical="center"/>
    </xf>
    <xf numFmtId="14" fontId="17" fillId="5" borderId="1" xfId="3" applyNumberFormat="1" applyFont="1" applyFill="1" applyBorder="1" applyAlignment="1">
      <alignment horizontal="left"/>
    </xf>
    <xf numFmtId="1" fontId="17" fillId="5" borderId="1" xfId="3" applyNumberFormat="1" applyFont="1" applyFill="1" applyBorder="1"/>
    <xf numFmtId="2" fontId="17" fillId="5" borderId="1" xfId="3" applyNumberFormat="1" applyFont="1" applyFill="1" applyBorder="1" applyAlignment="1">
      <alignment horizontal="center"/>
    </xf>
    <xf numFmtId="0" fontId="37" fillId="0" borderId="0" xfId="9" applyFont="1"/>
    <xf numFmtId="0" fontId="65" fillId="0" borderId="0" xfId="0" applyFont="1"/>
    <xf numFmtId="0" fontId="65" fillId="8" borderId="0" xfId="0" applyFont="1" applyFill="1"/>
    <xf numFmtId="14" fontId="37" fillId="8" borderId="1" xfId="10" applyNumberFormat="1" applyFont="1" applyFill="1" applyBorder="1" applyAlignment="1">
      <alignment vertical="center" wrapText="1"/>
    </xf>
    <xf numFmtId="14" fontId="37" fillId="8" borderId="1" xfId="10" applyNumberFormat="1" applyFont="1" applyFill="1" applyBorder="1" applyAlignment="1">
      <alignment horizontal="left" vertical="center" wrapText="1"/>
    </xf>
    <xf numFmtId="0" fontId="37" fillId="8" borderId="1" xfId="1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7" fillId="8" borderId="1" xfId="10" applyFont="1" applyFill="1" applyBorder="1" applyAlignment="1">
      <alignment horizontal="left" vertical="center" wrapText="1"/>
    </xf>
    <xf numFmtId="0" fontId="37" fillId="8" borderId="1" xfId="10" applyFont="1" applyFill="1" applyBorder="1" applyAlignment="1">
      <alignment vertical="center" wrapText="1"/>
    </xf>
    <xf numFmtId="0" fontId="37" fillId="8" borderId="1" xfId="10" quotePrefix="1" applyFont="1" applyFill="1" applyBorder="1" applyAlignment="1">
      <alignment horizontal="left" vertical="center" wrapText="1"/>
    </xf>
    <xf numFmtId="1" fontId="37" fillId="8" borderId="1" xfId="11" quotePrefix="1" applyNumberFormat="1" applyFont="1" applyFill="1" applyBorder="1" applyAlignment="1">
      <alignment horizontal="left" vertical="center"/>
    </xf>
    <xf numFmtId="43" fontId="37" fillId="8" borderId="1" xfId="12" applyFont="1" applyFill="1" applyBorder="1" applyAlignment="1">
      <alignment vertical="center"/>
    </xf>
    <xf numFmtId="49" fontId="37" fillId="8" borderId="1" xfId="12" quotePrefix="1" applyNumberFormat="1" applyFont="1" applyFill="1" applyBorder="1" applyAlignment="1">
      <alignment horizontal="left" vertical="center"/>
    </xf>
    <xf numFmtId="43" fontId="5" fillId="8" borderId="1" xfId="19" applyNumberFormat="1" applyFill="1" applyBorder="1" applyAlignment="1">
      <alignment horizontal="left" vertical="center"/>
    </xf>
    <xf numFmtId="14" fontId="37" fillId="8" borderId="1" xfId="10" applyNumberFormat="1" applyFont="1" applyFill="1" applyBorder="1" applyAlignment="1">
      <alignment horizontal="center" wrapText="1"/>
    </xf>
    <xf numFmtId="14" fontId="37" fillId="8" borderId="1" xfId="10" applyNumberFormat="1" applyFont="1" applyFill="1" applyBorder="1" applyAlignment="1">
      <alignment horizontal="left" wrapText="1"/>
    </xf>
    <xf numFmtId="0" fontId="37" fillId="8" borderId="1" xfId="10" applyFont="1" applyFill="1" applyBorder="1" applyAlignment="1">
      <alignment horizontal="center" wrapText="1"/>
    </xf>
    <xf numFmtId="0" fontId="37" fillId="8" borderId="1" xfId="10" applyFont="1" applyFill="1" applyBorder="1" applyAlignment="1">
      <alignment wrapText="1"/>
    </xf>
    <xf numFmtId="0" fontId="37" fillId="8" borderId="1" xfId="10" applyFont="1" applyFill="1" applyBorder="1" applyAlignment="1">
      <alignment horizontal="left" wrapText="1"/>
    </xf>
    <xf numFmtId="0" fontId="37" fillId="8" borderId="1" xfId="10" quotePrefix="1" applyFont="1" applyFill="1" applyBorder="1" applyAlignment="1">
      <alignment horizontal="left" wrapText="1"/>
    </xf>
    <xf numFmtId="1" fontId="37" fillId="8" borderId="1" xfId="11" quotePrefix="1" applyNumberFormat="1" applyFont="1" applyFill="1" applyBorder="1" applyAlignment="1">
      <alignment horizontal="left"/>
    </xf>
    <xf numFmtId="0" fontId="65" fillId="8" borderId="1" xfId="0" applyFont="1" applyFill="1" applyBorder="1" applyAlignment="1">
      <alignment horizontal="left" vertical="center" wrapText="1"/>
    </xf>
    <xf numFmtId="43" fontId="37" fillId="8" borderId="1" xfId="12" applyFont="1" applyFill="1" applyBorder="1"/>
    <xf numFmtId="49" fontId="37" fillId="8" borderId="1" xfId="12" quotePrefix="1" applyNumberFormat="1" applyFont="1" applyFill="1" applyBorder="1" applyAlignment="1">
      <alignment horizontal="left"/>
    </xf>
    <xf numFmtId="43" fontId="66" fillId="8" borderId="1" xfId="19" applyNumberFormat="1" applyFont="1" applyFill="1" applyBorder="1" applyAlignment="1">
      <alignment horizontal="left"/>
    </xf>
    <xf numFmtId="0" fontId="65" fillId="8" borderId="1" xfId="0" applyFont="1" applyFill="1" applyBorder="1"/>
    <xf numFmtId="0" fontId="65" fillId="0" borderId="1" xfId="0" applyFont="1" applyBorder="1"/>
    <xf numFmtId="14" fontId="37" fillId="0" borderId="1" xfId="10" applyNumberFormat="1" applyFont="1" applyBorder="1" applyAlignment="1">
      <alignment horizontal="center" wrapText="1"/>
    </xf>
    <xf numFmtId="14" fontId="37" fillId="0" borderId="1" xfId="10" applyNumberFormat="1" applyFont="1" applyBorder="1" applyAlignment="1">
      <alignment horizontal="left" wrapText="1"/>
    </xf>
    <xf numFmtId="0" fontId="37" fillId="0" borderId="1" xfId="10" applyFont="1" applyBorder="1" applyAlignment="1">
      <alignment horizontal="center" wrapText="1"/>
    </xf>
    <xf numFmtId="0" fontId="37" fillId="0" borderId="1" xfId="10" applyFont="1" applyBorder="1" applyAlignment="1">
      <alignment wrapText="1"/>
    </xf>
    <xf numFmtId="0" fontId="37" fillId="0" borderId="1" xfId="10" applyFont="1" applyBorder="1" applyAlignment="1">
      <alignment horizontal="left" wrapText="1"/>
    </xf>
    <xf numFmtId="0" fontId="37" fillId="0" borderId="1" xfId="10" quotePrefix="1" applyFont="1" applyBorder="1" applyAlignment="1">
      <alignment horizontal="left" wrapText="1"/>
    </xf>
    <xf numFmtId="1" fontId="37" fillId="0" borderId="1" xfId="11" quotePrefix="1" applyNumberFormat="1" applyFont="1" applyFill="1" applyBorder="1" applyAlignment="1">
      <alignment horizontal="left"/>
    </xf>
    <xf numFmtId="0" fontId="65" fillId="0" borderId="1" xfId="0" applyFont="1" applyBorder="1" applyAlignment="1">
      <alignment horizontal="left" vertical="center" wrapText="1"/>
    </xf>
    <xf numFmtId="43" fontId="37" fillId="0" borderId="1" xfId="12" applyFont="1" applyFill="1" applyBorder="1"/>
    <xf numFmtId="49" fontId="37" fillId="0" borderId="1" xfId="12" quotePrefix="1" applyNumberFormat="1" applyFont="1" applyFill="1" applyBorder="1" applyAlignment="1">
      <alignment horizontal="left"/>
    </xf>
    <xf numFmtId="43" fontId="66" fillId="0" borderId="1" xfId="19" applyNumberFormat="1" applyFont="1" applyFill="1" applyBorder="1" applyAlignment="1">
      <alignment horizontal="left"/>
    </xf>
    <xf numFmtId="0" fontId="17" fillId="13" borderId="2" xfId="3" applyFont="1" applyFill="1" applyBorder="1" applyAlignment="1">
      <alignment horizontal="left" vertical="center"/>
    </xf>
    <xf numFmtId="14" fontId="61" fillId="14" borderId="19" xfId="0" applyNumberFormat="1" applyFont="1" applyFill="1" applyBorder="1" applyAlignment="1">
      <alignment horizontal="left" vertical="center"/>
    </xf>
    <xf numFmtId="49" fontId="61" fillId="14" borderId="19" xfId="0" applyNumberFormat="1" applyFont="1" applyFill="1" applyBorder="1" applyAlignment="1">
      <alignment horizontal="left" vertical="center"/>
    </xf>
    <xf numFmtId="0" fontId="61" fillId="14" borderId="19" xfId="0" applyFont="1" applyFill="1" applyBorder="1" applyAlignment="1">
      <alignment horizontal="left" vertical="center"/>
    </xf>
    <xf numFmtId="2" fontId="61" fillId="14" borderId="19" xfId="0" applyNumberFormat="1" applyFont="1" applyFill="1" applyBorder="1" applyAlignment="1">
      <alignment horizontal="left" vertical="center"/>
    </xf>
    <xf numFmtId="49" fontId="61" fillId="15" borderId="19" xfId="0" applyNumberFormat="1" applyFont="1" applyFill="1" applyBorder="1" applyAlignment="1">
      <alignment horizontal="left" vertical="center"/>
    </xf>
    <xf numFmtId="0" fontId="5" fillId="15" borderId="19" xfId="19" applyFill="1" applyBorder="1" applyAlignment="1">
      <alignment horizontal="left" vertical="center"/>
    </xf>
    <xf numFmtId="0" fontId="0" fillId="13" borderId="0" xfId="0" applyFill="1"/>
    <xf numFmtId="14" fontId="37" fillId="13" borderId="1" xfId="10" applyNumberFormat="1" applyFont="1" applyFill="1" applyBorder="1" applyAlignment="1">
      <alignment horizontal="center" wrapText="1"/>
    </xf>
    <xf numFmtId="14" fontId="37" fillId="13" borderId="1" xfId="10" applyNumberFormat="1" applyFont="1" applyFill="1" applyBorder="1" applyAlignment="1">
      <alignment horizontal="left" wrapText="1"/>
    </xf>
    <xf numFmtId="0" fontId="37" fillId="13" borderId="1" xfId="10" applyFont="1" applyFill="1" applyBorder="1" applyAlignment="1">
      <alignment horizontal="center" wrapText="1"/>
    </xf>
    <xf numFmtId="0" fontId="37" fillId="13" borderId="1" xfId="10" applyFont="1" applyFill="1" applyBorder="1" applyAlignment="1">
      <alignment wrapText="1"/>
    </xf>
    <xf numFmtId="0" fontId="37" fillId="13" borderId="1" xfId="10" applyFont="1" applyFill="1" applyBorder="1" applyAlignment="1">
      <alignment horizontal="left" wrapText="1"/>
    </xf>
    <xf numFmtId="0" fontId="37" fillId="13" borderId="1" xfId="10" quotePrefix="1" applyFont="1" applyFill="1" applyBorder="1" applyAlignment="1">
      <alignment horizontal="left" wrapText="1"/>
    </xf>
    <xf numFmtId="1" fontId="37" fillId="13" borderId="1" xfId="11" quotePrefix="1" applyNumberFormat="1" applyFont="1" applyFill="1" applyBorder="1" applyAlignment="1">
      <alignment horizontal="left"/>
    </xf>
    <xf numFmtId="0" fontId="65" fillId="13" borderId="1" xfId="0" applyFont="1" applyFill="1" applyBorder="1" applyAlignment="1">
      <alignment horizontal="left" vertical="center" wrapText="1"/>
    </xf>
    <xf numFmtId="43" fontId="37" fillId="13" borderId="1" xfId="12" applyFont="1" applyFill="1" applyBorder="1"/>
    <xf numFmtId="49" fontId="37" fillId="13" borderId="1" xfId="12" quotePrefix="1" applyNumberFormat="1" applyFont="1" applyFill="1" applyBorder="1" applyAlignment="1">
      <alignment horizontal="left"/>
    </xf>
    <xf numFmtId="43" fontId="66" fillId="13" borderId="1" xfId="19" applyNumberFormat="1" applyFont="1" applyFill="1" applyBorder="1" applyAlignment="1">
      <alignment horizontal="left"/>
    </xf>
    <xf numFmtId="0" fontId="65" fillId="13" borderId="1" xfId="0" applyFont="1" applyFill="1" applyBorder="1"/>
    <xf numFmtId="0" fontId="67" fillId="13" borderId="2" xfId="3" applyFont="1" applyFill="1" applyBorder="1" applyAlignment="1">
      <alignment horizontal="center" vertical="center"/>
    </xf>
    <xf numFmtId="0" fontId="67" fillId="13" borderId="2" xfId="3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ignasaltoc@gmail.com" TargetMode="External"/><Relationship Id="rId21" Type="http://schemas.openxmlformats.org/officeDocument/2006/relationships/hyperlink" Target="mailto:grupo_caminar@hotmail.com" TargetMode="External"/><Relationship Id="rId42" Type="http://schemas.openxmlformats.org/officeDocument/2006/relationships/hyperlink" Target="mailto:saraluzparrac@gmail.com" TargetMode="External"/><Relationship Id="rId47" Type="http://schemas.openxmlformats.org/officeDocument/2006/relationships/hyperlink" Target="mailto:lourdeseliana@icloud.com" TargetMode="External"/><Relationship Id="rId63" Type="http://schemas.openxmlformats.org/officeDocument/2006/relationships/hyperlink" Target="mailto:gerencia@comexmi.com" TargetMode="External"/><Relationship Id="rId68" Type="http://schemas.openxmlformats.org/officeDocument/2006/relationships/hyperlink" Target="mailto:ivanmau1590@gmail.com" TargetMode="External"/><Relationship Id="rId84" Type="http://schemas.openxmlformats.org/officeDocument/2006/relationships/hyperlink" Target="mailto:danilomusic15@hotmail.com" TargetMode="External"/><Relationship Id="rId89" Type="http://schemas.openxmlformats.org/officeDocument/2006/relationships/hyperlink" Target="mailto:dcardenas1964@gmail.com" TargetMode="External"/><Relationship Id="rId112" Type="http://schemas.openxmlformats.org/officeDocument/2006/relationships/printerSettings" Target="../printerSettings/printerSettings1.bin"/><Relationship Id="rId16" Type="http://schemas.openxmlformats.org/officeDocument/2006/relationships/hyperlink" Target="mailto:m.cajamarcaq@gmail.com" TargetMode="External"/><Relationship Id="rId107" Type="http://schemas.openxmlformats.org/officeDocument/2006/relationships/hyperlink" Target="mailto:danilomusic15@hotmail.com" TargetMode="External"/><Relationship Id="rId11" Type="http://schemas.openxmlformats.org/officeDocument/2006/relationships/hyperlink" Target="mailto:yados_ing99@hotmail.com" TargetMode="External"/><Relationship Id="rId32" Type="http://schemas.openxmlformats.org/officeDocument/2006/relationships/hyperlink" Target="mailto:fedecordero@yahoo.com" TargetMode="External"/><Relationship Id="rId37" Type="http://schemas.openxmlformats.org/officeDocument/2006/relationships/hyperlink" Target="mailto:josd@gmail.com" TargetMode="External"/><Relationship Id="rId53" Type="http://schemas.openxmlformats.org/officeDocument/2006/relationships/hyperlink" Target="mailto:andyeljuri@msn.com" TargetMode="External"/><Relationship Id="rId58" Type="http://schemas.openxmlformats.org/officeDocument/2006/relationships/hyperlink" Target="mailto:ad.paulapiedra@gmail.com" TargetMode="External"/><Relationship Id="rId74" Type="http://schemas.openxmlformats.org/officeDocument/2006/relationships/hyperlink" Target="mailto:pgus25@hotmail.com" TargetMode="External"/><Relationship Id="rId79" Type="http://schemas.openxmlformats.org/officeDocument/2006/relationships/hyperlink" Target="mailto:yolandamore7@hotmail.com" TargetMode="External"/><Relationship Id="rId102" Type="http://schemas.openxmlformats.org/officeDocument/2006/relationships/hyperlink" Target="mailto:jessica.alvarezmonroy@gmail.com" TargetMode="External"/><Relationship Id="rId5" Type="http://schemas.openxmlformats.org/officeDocument/2006/relationships/hyperlink" Target="mailto:andresabril304@gmail.com" TargetMode="External"/><Relationship Id="rId90" Type="http://schemas.openxmlformats.org/officeDocument/2006/relationships/hyperlink" Target="mailto:jessica.alvarezmonroy@gmail.com" TargetMode="External"/><Relationship Id="rId95" Type="http://schemas.openxmlformats.org/officeDocument/2006/relationships/hyperlink" Target="mailto:jessica.alvarezmonroy@gmail.com" TargetMode="External"/><Relationship Id="rId22" Type="http://schemas.openxmlformats.org/officeDocument/2006/relationships/hyperlink" Target="mailto:grupo_caminar@hotmail.com" TargetMode="External"/><Relationship Id="rId27" Type="http://schemas.openxmlformats.org/officeDocument/2006/relationships/hyperlink" Target="mailto:jmeneses@techovid.com" TargetMode="External"/><Relationship Id="rId43" Type="http://schemas.openxmlformats.org/officeDocument/2006/relationships/hyperlink" Target="mailto:saraluzparrac@gmail.com" TargetMode="External"/><Relationship Id="rId48" Type="http://schemas.openxmlformats.org/officeDocument/2006/relationships/hyperlink" Target="mailto:lourdeseliana@icloud.com" TargetMode="External"/><Relationship Id="rId64" Type="http://schemas.openxmlformats.org/officeDocument/2006/relationships/hyperlink" Target="mailto:gerencia@comexmi.com" TargetMode="External"/><Relationship Id="rId69" Type="http://schemas.openxmlformats.org/officeDocument/2006/relationships/hyperlink" Target="mailto:ivanmau1590@gmail.com" TargetMode="External"/><Relationship Id="rId113" Type="http://schemas.openxmlformats.org/officeDocument/2006/relationships/drawing" Target="../drawings/drawing1.xml"/><Relationship Id="rId80" Type="http://schemas.openxmlformats.org/officeDocument/2006/relationships/hyperlink" Target="mailto:yolandamore7@hotmail.com" TargetMode="External"/><Relationship Id="rId85" Type="http://schemas.openxmlformats.org/officeDocument/2006/relationships/hyperlink" Target="mailto:danilomusic15@hotmail.com" TargetMode="External"/><Relationship Id="rId12" Type="http://schemas.openxmlformats.org/officeDocument/2006/relationships/hyperlink" Target="mailto:oscardanielruiz25@gmail.com" TargetMode="External"/><Relationship Id="rId17" Type="http://schemas.openxmlformats.org/officeDocument/2006/relationships/hyperlink" Target="mailto:m.cajamarcaq@gmail.com" TargetMode="External"/><Relationship Id="rId33" Type="http://schemas.openxmlformats.org/officeDocument/2006/relationships/hyperlink" Target="mailto:fedecordero@yahoo.com" TargetMode="External"/><Relationship Id="rId38" Type="http://schemas.openxmlformats.org/officeDocument/2006/relationships/hyperlink" Target="mailto:josd@gmail.com" TargetMode="External"/><Relationship Id="rId59" Type="http://schemas.openxmlformats.org/officeDocument/2006/relationships/hyperlink" Target="mailto:ad.paulapiedra@gmail.com" TargetMode="External"/><Relationship Id="rId103" Type="http://schemas.openxmlformats.org/officeDocument/2006/relationships/hyperlink" Target="mailto:jessica.alvarezmonroy@gmail.com" TargetMode="External"/><Relationship Id="rId108" Type="http://schemas.openxmlformats.org/officeDocument/2006/relationships/hyperlink" Target="mailto:byronnv@gmail.com" TargetMode="External"/><Relationship Id="rId54" Type="http://schemas.openxmlformats.org/officeDocument/2006/relationships/hyperlink" Target="mailto:wilson2587@hotmail.com" TargetMode="External"/><Relationship Id="rId70" Type="http://schemas.openxmlformats.org/officeDocument/2006/relationships/hyperlink" Target="mailto:gimenasta@yahoo.com" TargetMode="External"/><Relationship Id="rId75" Type="http://schemas.openxmlformats.org/officeDocument/2006/relationships/hyperlink" Target="mailto:pgus25@hotmail.com" TargetMode="External"/><Relationship Id="rId91" Type="http://schemas.openxmlformats.org/officeDocument/2006/relationships/hyperlink" Target="mailto:jessica.alvarezmonroy@gmail.com" TargetMode="External"/><Relationship Id="rId96" Type="http://schemas.openxmlformats.org/officeDocument/2006/relationships/hyperlink" Target="mailto:jessica.alvarezmonroy@gmail.com" TargetMode="External"/><Relationship Id="rId1" Type="http://schemas.openxmlformats.org/officeDocument/2006/relationships/hyperlink" Target="mailto:luiscampoverderivera@gmail.com" TargetMode="External"/><Relationship Id="rId6" Type="http://schemas.openxmlformats.org/officeDocument/2006/relationships/hyperlink" Target="mailto:andresabril304@gmail.com" TargetMode="External"/><Relationship Id="rId15" Type="http://schemas.openxmlformats.org/officeDocument/2006/relationships/hyperlink" Target="mailto:marthacobosm@hotmail.com" TargetMode="External"/><Relationship Id="rId23" Type="http://schemas.openxmlformats.org/officeDocument/2006/relationships/hyperlink" Target="mailto:inesarias@gmail.com" TargetMode="External"/><Relationship Id="rId28" Type="http://schemas.openxmlformats.org/officeDocument/2006/relationships/hyperlink" Target="mailto:jmeneses@techovid.com" TargetMode="External"/><Relationship Id="rId36" Type="http://schemas.openxmlformats.org/officeDocument/2006/relationships/hyperlink" Target="mailto:fedecordero@yahoo.com" TargetMode="External"/><Relationship Id="rId49" Type="http://schemas.openxmlformats.org/officeDocument/2006/relationships/hyperlink" Target="mailto:lourdeseliana@icloud.com" TargetMode="External"/><Relationship Id="rId57" Type="http://schemas.openxmlformats.org/officeDocument/2006/relationships/hyperlink" Target="mailto:ventas@iglaceec.com" TargetMode="External"/><Relationship Id="rId106" Type="http://schemas.openxmlformats.org/officeDocument/2006/relationships/hyperlink" Target="mailto:danilomusic15@hotmail.com" TargetMode="External"/><Relationship Id="rId10" Type="http://schemas.openxmlformats.org/officeDocument/2006/relationships/hyperlink" Target="mailto:yados_ing99@hotmail.com" TargetMode="External"/><Relationship Id="rId31" Type="http://schemas.openxmlformats.org/officeDocument/2006/relationships/hyperlink" Target="mailto:fedecordero@yahoo.com" TargetMode="External"/><Relationship Id="rId44" Type="http://schemas.openxmlformats.org/officeDocument/2006/relationships/hyperlink" Target="mailto:saraluzparrac@gmail.com" TargetMode="External"/><Relationship Id="rId52" Type="http://schemas.openxmlformats.org/officeDocument/2006/relationships/hyperlink" Target="mailto:andyeljuri@msn.com" TargetMode="External"/><Relationship Id="rId60" Type="http://schemas.openxmlformats.org/officeDocument/2006/relationships/hyperlink" Target="mailto:andradecallecristian@gmail.com" TargetMode="External"/><Relationship Id="rId65" Type="http://schemas.openxmlformats.org/officeDocument/2006/relationships/hyperlink" Target="mailto:gerencia@comexmi.com" TargetMode="External"/><Relationship Id="rId73" Type="http://schemas.openxmlformats.org/officeDocument/2006/relationships/hyperlink" Target="mailto:susy_borja@yahoo.com" TargetMode="External"/><Relationship Id="rId78" Type="http://schemas.openxmlformats.org/officeDocument/2006/relationships/hyperlink" Target="mailto:tanjo_21@hotmail.com" TargetMode="External"/><Relationship Id="rId81" Type="http://schemas.openxmlformats.org/officeDocument/2006/relationships/hyperlink" Target="mailto:silvanacordero1992@gmail.com" TargetMode="External"/><Relationship Id="rId86" Type="http://schemas.openxmlformats.org/officeDocument/2006/relationships/hyperlink" Target="mailto:miriamrocio@hotmail.com" TargetMode="External"/><Relationship Id="rId94" Type="http://schemas.openxmlformats.org/officeDocument/2006/relationships/hyperlink" Target="mailto:jessica.alvarezmonroy@gmail.com" TargetMode="External"/><Relationship Id="rId99" Type="http://schemas.openxmlformats.org/officeDocument/2006/relationships/hyperlink" Target="mailto:jessica.alvarezmonroy@gmail.com" TargetMode="External"/><Relationship Id="rId101" Type="http://schemas.openxmlformats.org/officeDocument/2006/relationships/hyperlink" Target="mailto:jessica.alvarezmonroy@gmail.com" TargetMode="External"/><Relationship Id="rId4" Type="http://schemas.openxmlformats.org/officeDocument/2006/relationships/hyperlink" Target="mailto:luiscampoverderivera@gmail.com" TargetMode="External"/><Relationship Id="rId9" Type="http://schemas.openxmlformats.org/officeDocument/2006/relationships/hyperlink" Target="mailto:nixxonangam@gmail.com" TargetMode="External"/><Relationship Id="rId13" Type="http://schemas.openxmlformats.org/officeDocument/2006/relationships/hyperlink" Target="mailto:oscardanielruiz25@gmail.com" TargetMode="External"/><Relationship Id="rId18" Type="http://schemas.openxmlformats.org/officeDocument/2006/relationships/hyperlink" Target="mailto:grupo_caminar@hotmail.com" TargetMode="External"/><Relationship Id="rId39" Type="http://schemas.openxmlformats.org/officeDocument/2006/relationships/hyperlink" Target="mailto:andresabril3011@gmail.com" TargetMode="External"/><Relationship Id="rId109" Type="http://schemas.openxmlformats.org/officeDocument/2006/relationships/hyperlink" Target="mailto:byronnv@gmail.com" TargetMode="External"/><Relationship Id="rId34" Type="http://schemas.openxmlformats.org/officeDocument/2006/relationships/hyperlink" Target="mailto:fedecordero@yahoo.com" TargetMode="External"/><Relationship Id="rId50" Type="http://schemas.openxmlformats.org/officeDocument/2006/relationships/hyperlink" Target="mailto:lourdeseliana@icloud.com" TargetMode="External"/><Relationship Id="rId55" Type="http://schemas.openxmlformats.org/officeDocument/2006/relationships/hyperlink" Target="mailto:wilson2587@hotmail.com" TargetMode="External"/><Relationship Id="rId76" Type="http://schemas.openxmlformats.org/officeDocument/2006/relationships/hyperlink" Target="mailto:tanjo_21@hotmail.com" TargetMode="External"/><Relationship Id="rId97" Type="http://schemas.openxmlformats.org/officeDocument/2006/relationships/hyperlink" Target="mailto:jessica.alvarezmonroy@gmail.com" TargetMode="External"/><Relationship Id="rId104" Type="http://schemas.openxmlformats.org/officeDocument/2006/relationships/hyperlink" Target="mailto:amorosoremigio@gmail.com" TargetMode="External"/><Relationship Id="rId7" Type="http://schemas.openxmlformats.org/officeDocument/2006/relationships/hyperlink" Target="mailto:nixxonangam@gmail.com" TargetMode="External"/><Relationship Id="rId71" Type="http://schemas.openxmlformats.org/officeDocument/2006/relationships/hyperlink" Target="mailto:gimenasta@yahoo.com" TargetMode="External"/><Relationship Id="rId92" Type="http://schemas.openxmlformats.org/officeDocument/2006/relationships/hyperlink" Target="mailto:jessica.alvarezmonroy@gmail.com" TargetMode="External"/><Relationship Id="rId2" Type="http://schemas.openxmlformats.org/officeDocument/2006/relationships/hyperlink" Target="mailto:luiscampoverderivera@gmail.com" TargetMode="External"/><Relationship Id="rId29" Type="http://schemas.openxmlformats.org/officeDocument/2006/relationships/hyperlink" Target="mailto:fedecordero@yahoo.com" TargetMode="External"/><Relationship Id="rId24" Type="http://schemas.openxmlformats.org/officeDocument/2006/relationships/hyperlink" Target="mailto:inesarias@gmail.com" TargetMode="External"/><Relationship Id="rId40" Type="http://schemas.openxmlformats.org/officeDocument/2006/relationships/hyperlink" Target="mailto:andresabril3011@gmail.com" TargetMode="External"/><Relationship Id="rId45" Type="http://schemas.openxmlformats.org/officeDocument/2006/relationships/hyperlink" Target="mailto:julianamaldonado@yahoo.com" TargetMode="External"/><Relationship Id="rId66" Type="http://schemas.openxmlformats.org/officeDocument/2006/relationships/hyperlink" Target="mailto:pao.duran@gmail.com" TargetMode="External"/><Relationship Id="rId87" Type="http://schemas.openxmlformats.org/officeDocument/2006/relationships/hyperlink" Target="mailto:miriamrocio@hotmail.com" TargetMode="External"/><Relationship Id="rId110" Type="http://schemas.openxmlformats.org/officeDocument/2006/relationships/hyperlink" Target="mailto:wilsonnaula@gmail.com" TargetMode="External"/><Relationship Id="rId61" Type="http://schemas.openxmlformats.org/officeDocument/2006/relationships/hyperlink" Target="mailto:andradecallecristian@gmail.com" TargetMode="External"/><Relationship Id="rId82" Type="http://schemas.openxmlformats.org/officeDocument/2006/relationships/hyperlink" Target="mailto:silvanacordero1992@gmail.com" TargetMode="External"/><Relationship Id="rId19" Type="http://schemas.openxmlformats.org/officeDocument/2006/relationships/hyperlink" Target="mailto:grupo_caminar@hotmail.com" TargetMode="External"/><Relationship Id="rId14" Type="http://schemas.openxmlformats.org/officeDocument/2006/relationships/hyperlink" Target="mailto:marthacobosm@hotmail.com" TargetMode="External"/><Relationship Id="rId30" Type="http://schemas.openxmlformats.org/officeDocument/2006/relationships/hyperlink" Target="mailto:fedecordero@yahoo.com" TargetMode="External"/><Relationship Id="rId35" Type="http://schemas.openxmlformats.org/officeDocument/2006/relationships/hyperlink" Target="mailto:fedecordero@yahoo.com" TargetMode="External"/><Relationship Id="rId56" Type="http://schemas.openxmlformats.org/officeDocument/2006/relationships/hyperlink" Target="mailto:ventas@iglaceec.com" TargetMode="External"/><Relationship Id="rId77" Type="http://schemas.openxmlformats.org/officeDocument/2006/relationships/hyperlink" Target="mailto:tanjo_21@hotmail.com" TargetMode="External"/><Relationship Id="rId100" Type="http://schemas.openxmlformats.org/officeDocument/2006/relationships/hyperlink" Target="mailto:jessica.alvarezmonroy@gmail.com" TargetMode="External"/><Relationship Id="rId105" Type="http://schemas.openxmlformats.org/officeDocument/2006/relationships/hyperlink" Target="mailto:amorosoremigio@gmail.com" TargetMode="External"/><Relationship Id="rId8" Type="http://schemas.openxmlformats.org/officeDocument/2006/relationships/hyperlink" Target="mailto:nixxonangam@gmail.com" TargetMode="External"/><Relationship Id="rId51" Type="http://schemas.openxmlformats.org/officeDocument/2006/relationships/hyperlink" Target="mailto:andyeljuri@msn.com" TargetMode="External"/><Relationship Id="rId72" Type="http://schemas.openxmlformats.org/officeDocument/2006/relationships/hyperlink" Target="mailto:susy_borja@yahoo.com" TargetMode="External"/><Relationship Id="rId93" Type="http://schemas.openxmlformats.org/officeDocument/2006/relationships/hyperlink" Target="mailto:jessica.alvarezmonroy@gmail.com" TargetMode="External"/><Relationship Id="rId98" Type="http://schemas.openxmlformats.org/officeDocument/2006/relationships/hyperlink" Target="mailto:jessica.alvarezmonroy@gmail.com" TargetMode="External"/><Relationship Id="rId3" Type="http://schemas.openxmlformats.org/officeDocument/2006/relationships/hyperlink" Target="mailto:luiscampoverderivera@gmail.com" TargetMode="External"/><Relationship Id="rId25" Type="http://schemas.openxmlformats.org/officeDocument/2006/relationships/hyperlink" Target="mailto:dignasaltoc@gmail.com" TargetMode="External"/><Relationship Id="rId46" Type="http://schemas.openxmlformats.org/officeDocument/2006/relationships/hyperlink" Target="mailto:julianamaldonado@yahoo.com" TargetMode="External"/><Relationship Id="rId67" Type="http://schemas.openxmlformats.org/officeDocument/2006/relationships/hyperlink" Target="mailto:pao.duran@gmail.com" TargetMode="External"/><Relationship Id="rId20" Type="http://schemas.openxmlformats.org/officeDocument/2006/relationships/hyperlink" Target="mailto:grupo_caminar@hotmail.com" TargetMode="External"/><Relationship Id="rId41" Type="http://schemas.openxmlformats.org/officeDocument/2006/relationships/hyperlink" Target="mailto:andresabril3011@gmail.com" TargetMode="External"/><Relationship Id="rId62" Type="http://schemas.openxmlformats.org/officeDocument/2006/relationships/hyperlink" Target="mailto:gerencia@comexmi.com" TargetMode="External"/><Relationship Id="rId83" Type="http://schemas.openxmlformats.org/officeDocument/2006/relationships/hyperlink" Target="mailto:silvanacordero1992@gmail.com" TargetMode="External"/><Relationship Id="rId88" Type="http://schemas.openxmlformats.org/officeDocument/2006/relationships/hyperlink" Target="mailto:dcardenas1964@gmail.com" TargetMode="External"/><Relationship Id="rId111" Type="http://schemas.openxmlformats.org/officeDocument/2006/relationships/hyperlink" Target="mailto:wilsonnaul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alinacambi1611@hotmail.com" TargetMode="External"/><Relationship Id="rId13" Type="http://schemas.openxmlformats.org/officeDocument/2006/relationships/hyperlink" Target="mailto:jorgeguillermod@hotmail.com" TargetMode="External"/><Relationship Id="rId18" Type="http://schemas.openxmlformats.org/officeDocument/2006/relationships/hyperlink" Target="mailto:edbeke@gmail.com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mailto:jpidrovo@hotmail.com" TargetMode="External"/><Relationship Id="rId21" Type="http://schemas.openxmlformats.org/officeDocument/2006/relationships/hyperlink" Target="mailto:crisfehrs@hotmail.com" TargetMode="External"/><Relationship Id="rId7" Type="http://schemas.openxmlformats.org/officeDocument/2006/relationships/hyperlink" Target="mailto:jhongila@gmail.com" TargetMode="External"/><Relationship Id="rId12" Type="http://schemas.openxmlformats.org/officeDocument/2006/relationships/hyperlink" Target="mailto:ventas@iglaceec.com" TargetMode="External"/><Relationship Id="rId17" Type="http://schemas.openxmlformats.org/officeDocument/2006/relationships/hyperlink" Target="mailto:prvivlla58@gmail.com" TargetMode="External"/><Relationship Id="rId25" Type="http://schemas.openxmlformats.org/officeDocument/2006/relationships/hyperlink" Target="mailto:ocabrera@homedeko.com.ec" TargetMode="External"/><Relationship Id="rId2" Type="http://schemas.openxmlformats.org/officeDocument/2006/relationships/hyperlink" Target="mailto:idrovopaola76@gmail.com" TargetMode="External"/><Relationship Id="rId16" Type="http://schemas.openxmlformats.org/officeDocument/2006/relationships/hyperlink" Target="mailto:fabcue5@hotmail.com" TargetMode="External"/><Relationship Id="rId20" Type="http://schemas.openxmlformats.org/officeDocument/2006/relationships/hyperlink" Target="mailto:elguchito86@hotmail.com" TargetMode="External"/><Relationship Id="rId1" Type="http://schemas.openxmlformats.org/officeDocument/2006/relationships/hyperlink" Target="mailto:c-ami-vazquez@hotmail.com" TargetMode="External"/><Relationship Id="rId6" Type="http://schemas.openxmlformats.org/officeDocument/2006/relationships/hyperlink" Target="mailto:fortizmorales@hotmail.com" TargetMode="External"/><Relationship Id="rId11" Type="http://schemas.openxmlformats.org/officeDocument/2006/relationships/hyperlink" Target="mailto:alisas321@hotmail.com" TargetMode="External"/><Relationship Id="rId24" Type="http://schemas.openxmlformats.org/officeDocument/2006/relationships/hyperlink" Target="mailto:gtamariz@hotmail.com" TargetMode="External"/><Relationship Id="rId5" Type="http://schemas.openxmlformats.org/officeDocument/2006/relationships/hyperlink" Target="mailto:sacmicas@gmail.com" TargetMode="External"/><Relationship Id="rId15" Type="http://schemas.openxmlformats.org/officeDocument/2006/relationships/hyperlink" Target="mailto:paulmacancelaant@gmail.com" TargetMode="External"/><Relationship Id="rId23" Type="http://schemas.openxmlformats.org/officeDocument/2006/relationships/hyperlink" Target="mailto:luismerchanh@gmail.com" TargetMode="External"/><Relationship Id="rId10" Type="http://schemas.openxmlformats.org/officeDocument/2006/relationships/hyperlink" Target="mailto:juanpablolandym@gmail.com" TargetMode="External"/><Relationship Id="rId19" Type="http://schemas.openxmlformats.org/officeDocument/2006/relationships/hyperlink" Target="mailto:majoserojascordero@hotmail.com" TargetMode="External"/><Relationship Id="rId4" Type="http://schemas.openxmlformats.org/officeDocument/2006/relationships/hyperlink" Target="mailto:juanvicuna@gmail.com" TargetMode="External"/><Relationship Id="rId9" Type="http://schemas.openxmlformats.org/officeDocument/2006/relationships/hyperlink" Target="mailto:colminitreum@abccomercioexterior.com" TargetMode="External"/><Relationship Id="rId14" Type="http://schemas.openxmlformats.org/officeDocument/2006/relationships/hyperlink" Target="mailto:paolopuruncajasc@gmail.com" TargetMode="External"/><Relationship Id="rId22" Type="http://schemas.openxmlformats.org/officeDocument/2006/relationships/hyperlink" Target="mailto:jeannete.velastegui@hotmail.com" TargetMode="External"/><Relationship Id="rId27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hao8019@yahoo.com" TargetMode="External"/><Relationship Id="rId3" Type="http://schemas.openxmlformats.org/officeDocument/2006/relationships/hyperlink" Target="mailto:danielapu85@gmail.com" TargetMode="External"/><Relationship Id="rId7" Type="http://schemas.openxmlformats.org/officeDocument/2006/relationships/hyperlink" Target="mailto:ventas@comercialsolis.com.ec" TargetMode="External"/><Relationship Id="rId2" Type="http://schemas.openxmlformats.org/officeDocument/2006/relationships/hyperlink" Target="mailto:cgflores28@hotmail.com" TargetMode="External"/><Relationship Id="rId1" Type="http://schemas.openxmlformats.org/officeDocument/2006/relationships/hyperlink" Target="mailto:cgflores28@hotmail.com" TargetMode="External"/><Relationship Id="rId6" Type="http://schemas.openxmlformats.org/officeDocument/2006/relationships/hyperlink" Target="mailto:oximaldonado@hotmail.com" TargetMode="External"/><Relationship Id="rId5" Type="http://schemas.openxmlformats.org/officeDocument/2006/relationships/hyperlink" Target="mailto:ventas@comercialsolis.com.ec" TargetMode="External"/><Relationship Id="rId4" Type="http://schemas.openxmlformats.org/officeDocument/2006/relationships/hyperlink" Target="mailto:ventas@comercialsolis.com.ec" TargetMode="Externa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vazquez@gmail.com" TargetMode="External"/><Relationship Id="rId13" Type="http://schemas.openxmlformats.org/officeDocument/2006/relationships/hyperlink" Target="mailto:berthavillacisv@gmail.com" TargetMode="External"/><Relationship Id="rId18" Type="http://schemas.openxmlformats.org/officeDocument/2006/relationships/hyperlink" Target="mailto:karin-pad@hotmail.com" TargetMode="External"/><Relationship Id="rId26" Type="http://schemas.openxmlformats.org/officeDocument/2006/relationships/hyperlink" Target="mailto:mateoparra.elcrack@gmail.com" TargetMode="External"/><Relationship Id="rId3" Type="http://schemas.openxmlformats.org/officeDocument/2006/relationships/hyperlink" Target="mailto:pumorell9971@gmail.com" TargetMode="External"/><Relationship Id="rId21" Type="http://schemas.openxmlformats.org/officeDocument/2006/relationships/hyperlink" Target="mailto:infodvark@gmail.com" TargetMode="External"/><Relationship Id="rId7" Type="http://schemas.openxmlformats.org/officeDocument/2006/relationships/hyperlink" Target="mailto:repair-repuestos@hotmail.com" TargetMode="External"/><Relationship Id="rId12" Type="http://schemas.openxmlformats.org/officeDocument/2006/relationships/hyperlink" Target="mailto:panab24@gmail.com" TargetMode="External"/><Relationship Id="rId17" Type="http://schemas.openxmlformats.org/officeDocument/2006/relationships/hyperlink" Target="mailto:juanenrique1988@gmail.com" TargetMode="External"/><Relationship Id="rId25" Type="http://schemas.openxmlformats.org/officeDocument/2006/relationships/hyperlink" Target="mailto:gracevelastegui@yahoo.com" TargetMode="External"/><Relationship Id="rId2" Type="http://schemas.openxmlformats.org/officeDocument/2006/relationships/hyperlink" Target="mailto:carlosvimos2024@outlook.com" TargetMode="External"/><Relationship Id="rId16" Type="http://schemas.openxmlformats.org/officeDocument/2006/relationships/hyperlink" Target="mailto:berthaganza@gmail.com" TargetMode="External"/><Relationship Id="rId20" Type="http://schemas.openxmlformats.org/officeDocument/2006/relationships/hyperlink" Target="mailto:justovazquez49@hotmail.com" TargetMode="External"/><Relationship Id="rId29" Type="http://schemas.openxmlformats.org/officeDocument/2006/relationships/hyperlink" Target="mailto:andresseq@gmail.com" TargetMode="External"/><Relationship Id="rId1" Type="http://schemas.openxmlformats.org/officeDocument/2006/relationships/hyperlink" Target="mailto:nmoscoso@gaiman.com" TargetMode="External"/><Relationship Id="rId6" Type="http://schemas.openxmlformats.org/officeDocument/2006/relationships/hyperlink" Target="mailto:gonzape@hotmail.com" TargetMode="External"/><Relationship Id="rId11" Type="http://schemas.openxmlformats.org/officeDocument/2006/relationships/hyperlink" Target="mailto:isacocbos2000@gmail.com" TargetMode="External"/><Relationship Id="rId24" Type="http://schemas.openxmlformats.org/officeDocument/2006/relationships/hyperlink" Target="mailto:eritutana89@outlook.com" TargetMode="External"/><Relationship Id="rId5" Type="http://schemas.openxmlformats.org/officeDocument/2006/relationships/hyperlink" Target="mailto:diego.arqlloivisaca@gmail.com" TargetMode="External"/><Relationship Id="rId15" Type="http://schemas.openxmlformats.org/officeDocument/2006/relationships/hyperlink" Target="mailto:jeac7791@gmail.com" TargetMode="External"/><Relationship Id="rId23" Type="http://schemas.openxmlformats.org/officeDocument/2006/relationships/hyperlink" Target="mailto:marc75@live.com" TargetMode="External"/><Relationship Id="rId28" Type="http://schemas.openxmlformats.org/officeDocument/2006/relationships/hyperlink" Target="mailto:orellanacostructores@hotmail.com" TargetMode="External"/><Relationship Id="rId10" Type="http://schemas.openxmlformats.org/officeDocument/2006/relationships/hyperlink" Target="mailto:marcom697@gmail.com" TargetMode="External"/><Relationship Id="rId19" Type="http://schemas.openxmlformats.org/officeDocument/2006/relationships/hyperlink" Target="mailto:julycastrokpesantez@outlook.com" TargetMode="External"/><Relationship Id="rId4" Type="http://schemas.openxmlformats.org/officeDocument/2006/relationships/hyperlink" Target="mailto:fernando.bac03@hotmail.com" TargetMode="External"/><Relationship Id="rId9" Type="http://schemas.openxmlformats.org/officeDocument/2006/relationships/hyperlink" Target="mailto:juanmatuteayala@outlook.com" TargetMode="External"/><Relationship Id="rId14" Type="http://schemas.openxmlformats.org/officeDocument/2006/relationships/hyperlink" Target="mailto:mariamedinaur@gmail.com" TargetMode="External"/><Relationship Id="rId22" Type="http://schemas.openxmlformats.org/officeDocument/2006/relationships/hyperlink" Target="mailto:quintapomele@hotmail.com" TargetMode="External"/><Relationship Id="rId27" Type="http://schemas.openxmlformats.org/officeDocument/2006/relationships/hyperlink" Target="mailto:juliosantiago666@hotmail.com" TargetMode="External"/><Relationship Id="rId30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126"/>
  <sheetViews>
    <sheetView tabSelected="1" topLeftCell="A65" zoomScaleNormal="100" workbookViewId="0">
      <selection activeCell="F70" sqref="F70"/>
    </sheetView>
  </sheetViews>
  <sheetFormatPr baseColWidth="10" defaultRowHeight="15"/>
  <cols>
    <col min="1" max="1" width="4.6640625" customWidth="1"/>
    <col min="2" max="2" width="12.5" bestFit="1" customWidth="1"/>
    <col min="3" max="3" width="20.5" customWidth="1"/>
    <col min="4" max="4" width="20.33203125" customWidth="1"/>
    <col min="5" max="5" width="21.33203125" customWidth="1"/>
    <col min="6" max="6" width="36.6640625" customWidth="1"/>
    <col min="7" max="7" width="33.33203125" customWidth="1"/>
    <col min="8" max="8" width="11.6640625" bestFit="1" customWidth="1"/>
    <col min="11" max="11" width="14.5" customWidth="1"/>
    <col min="12" max="12" width="22.83203125" customWidth="1"/>
    <col min="13" max="13" width="27.6640625" customWidth="1"/>
    <col min="14" max="14" width="13.5" bestFit="1" customWidth="1"/>
    <col min="15" max="15" width="11.6640625" bestFit="1" customWidth="1"/>
    <col min="16" max="16" width="23.1640625" customWidth="1"/>
    <col min="18" max="18" width="5.33203125" customWidth="1"/>
    <col min="19" max="19" width="20.1640625" customWidth="1"/>
    <col min="20" max="20" width="16.6640625" customWidth="1"/>
    <col min="21" max="21" width="28.1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85</v>
      </c>
      <c r="O4" s="9"/>
      <c r="P4" s="17"/>
    </row>
    <row r="5" spans="1:21" s="23" customFormat="1" ht="30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45">
        <v>45703</v>
      </c>
      <c r="C6" s="144" t="s">
        <v>113</v>
      </c>
      <c r="D6" s="144" t="s">
        <v>114</v>
      </c>
      <c r="E6" s="141">
        <v>112570068</v>
      </c>
      <c r="F6" s="144" t="s">
        <v>115</v>
      </c>
      <c r="G6" s="144" t="s">
        <v>116</v>
      </c>
      <c r="H6" s="141" t="s">
        <v>42</v>
      </c>
      <c r="I6" s="141" t="s">
        <v>74</v>
      </c>
      <c r="J6" s="141" t="s">
        <v>75</v>
      </c>
      <c r="K6" s="146">
        <v>45733</v>
      </c>
      <c r="L6" s="147" t="s">
        <v>123</v>
      </c>
      <c r="M6" s="147" t="s">
        <v>124</v>
      </c>
      <c r="N6" s="157" t="s">
        <v>125</v>
      </c>
      <c r="O6" s="148">
        <v>15</v>
      </c>
      <c r="P6" s="141" t="s">
        <v>22</v>
      </c>
      <c r="Q6" s="141" t="s">
        <v>74</v>
      </c>
      <c r="R6" s="149"/>
      <c r="S6" s="144" t="str">
        <f>D6</f>
        <v>043-907-000020954</v>
      </c>
      <c r="T6" s="158" t="s">
        <v>126</v>
      </c>
      <c r="U6" s="150" t="s">
        <v>127</v>
      </c>
    </row>
    <row r="7" spans="1:21" ht="32.25" customHeight="1">
      <c r="A7">
        <v>2</v>
      </c>
      <c r="B7" s="145">
        <v>45703</v>
      </c>
      <c r="C7" s="144" t="s">
        <v>113</v>
      </c>
      <c r="D7" s="144" t="s">
        <v>114</v>
      </c>
      <c r="E7" s="141">
        <v>112950021</v>
      </c>
      <c r="F7" s="144" t="s">
        <v>117</v>
      </c>
      <c r="G7" s="144" t="s">
        <v>120</v>
      </c>
      <c r="H7" s="141" t="s">
        <v>42</v>
      </c>
      <c r="I7" s="141" t="s">
        <v>74</v>
      </c>
      <c r="J7" s="141" t="s">
        <v>75</v>
      </c>
      <c r="K7" s="146">
        <v>45733</v>
      </c>
      <c r="L7" s="147" t="s">
        <v>123</v>
      </c>
      <c r="M7" s="147" t="s">
        <v>124</v>
      </c>
      <c r="N7" s="157" t="s">
        <v>125</v>
      </c>
      <c r="O7" s="148">
        <v>15</v>
      </c>
      <c r="P7" s="141" t="s">
        <v>22</v>
      </c>
      <c r="Q7" s="141" t="s">
        <v>74</v>
      </c>
      <c r="R7" s="149"/>
      <c r="S7" s="144" t="str">
        <f t="shared" ref="S7:S10" si="0">D7</f>
        <v>043-907-000020954</v>
      </c>
      <c r="T7" s="158" t="s">
        <v>126</v>
      </c>
      <c r="U7" s="150" t="s">
        <v>127</v>
      </c>
    </row>
    <row r="8" spans="1:21" ht="32.25" customHeight="1">
      <c r="A8">
        <v>3</v>
      </c>
      <c r="B8" s="145">
        <v>45718</v>
      </c>
      <c r="C8" s="144" t="s">
        <v>113</v>
      </c>
      <c r="D8" s="144" t="s">
        <v>128</v>
      </c>
      <c r="E8" s="141">
        <v>111000051</v>
      </c>
      <c r="F8" s="144" t="s">
        <v>118</v>
      </c>
      <c r="G8" s="144" t="s">
        <v>121</v>
      </c>
      <c r="H8" s="141" t="s">
        <v>42</v>
      </c>
      <c r="I8" s="141" t="s">
        <v>74</v>
      </c>
      <c r="J8" s="141" t="s">
        <v>75</v>
      </c>
      <c r="K8" s="146">
        <v>45733</v>
      </c>
      <c r="L8" s="147" t="s">
        <v>123</v>
      </c>
      <c r="M8" s="147" t="s">
        <v>124</v>
      </c>
      <c r="N8" s="157" t="s">
        <v>125</v>
      </c>
      <c r="O8" s="148">
        <v>15</v>
      </c>
      <c r="P8" s="141" t="s">
        <v>22</v>
      </c>
      <c r="Q8" s="141" t="s">
        <v>74</v>
      </c>
      <c r="R8" s="149"/>
      <c r="S8" s="144" t="str">
        <f t="shared" si="0"/>
        <v>043-905-000061359</v>
      </c>
      <c r="T8" s="158" t="s">
        <v>126</v>
      </c>
      <c r="U8" s="150" t="s">
        <v>127</v>
      </c>
    </row>
    <row r="9" spans="1:21" ht="32.25" customHeight="1">
      <c r="A9">
        <v>4</v>
      </c>
      <c r="B9" s="145">
        <v>45718</v>
      </c>
      <c r="C9" s="144" t="s">
        <v>113</v>
      </c>
      <c r="D9" s="144" t="s">
        <v>128</v>
      </c>
      <c r="E9" s="141">
        <v>40584202</v>
      </c>
      <c r="F9" s="144" t="s">
        <v>119</v>
      </c>
      <c r="G9" s="144" t="s">
        <v>122</v>
      </c>
      <c r="H9" s="141" t="s">
        <v>42</v>
      </c>
      <c r="I9" s="141" t="s">
        <v>74</v>
      </c>
      <c r="J9" s="141" t="s">
        <v>75</v>
      </c>
      <c r="K9" s="146">
        <v>45733</v>
      </c>
      <c r="L9" s="147" t="s">
        <v>123</v>
      </c>
      <c r="M9" s="147" t="s">
        <v>124</v>
      </c>
      <c r="N9" s="157" t="s">
        <v>125</v>
      </c>
      <c r="O9" s="148">
        <v>15</v>
      </c>
      <c r="P9" s="141" t="s">
        <v>22</v>
      </c>
      <c r="Q9" s="141" t="s">
        <v>74</v>
      </c>
      <c r="R9" s="149"/>
      <c r="S9" s="144" t="str">
        <f t="shared" si="0"/>
        <v>043-905-000061359</v>
      </c>
      <c r="T9" s="158" t="s">
        <v>126</v>
      </c>
      <c r="U9" s="150" t="s">
        <v>127</v>
      </c>
    </row>
    <row r="10" spans="1:21" ht="32.25" customHeight="1">
      <c r="A10">
        <v>5</v>
      </c>
      <c r="B10" s="145">
        <v>45376</v>
      </c>
      <c r="C10" s="144" t="s">
        <v>149</v>
      </c>
      <c r="D10" s="144" t="s">
        <v>307</v>
      </c>
      <c r="E10" s="141">
        <v>111000050</v>
      </c>
      <c r="F10" s="144" t="s">
        <v>308</v>
      </c>
      <c r="G10" s="144" t="s">
        <v>309</v>
      </c>
      <c r="H10" s="141" t="s">
        <v>42</v>
      </c>
      <c r="I10" s="141" t="s">
        <v>74</v>
      </c>
      <c r="J10" s="141" t="s">
        <v>75</v>
      </c>
      <c r="K10" s="146">
        <v>45733</v>
      </c>
      <c r="L10" s="147" t="s">
        <v>310</v>
      </c>
      <c r="M10" s="147" t="s">
        <v>311</v>
      </c>
      <c r="N10" s="157" t="s">
        <v>312</v>
      </c>
      <c r="O10" s="148">
        <v>20</v>
      </c>
      <c r="P10" s="141" t="s">
        <v>22</v>
      </c>
      <c r="Q10" s="141" t="s">
        <v>74</v>
      </c>
      <c r="R10" s="149"/>
      <c r="S10" s="152" t="str">
        <f t="shared" si="0"/>
        <v>001-500-000061515</v>
      </c>
      <c r="T10" s="158" t="s">
        <v>313</v>
      </c>
      <c r="U10" s="150" t="s">
        <v>314</v>
      </c>
    </row>
    <row r="11" spans="1:21" ht="32.25" customHeight="1">
      <c r="A11">
        <v>6</v>
      </c>
      <c r="B11" s="145">
        <v>45376</v>
      </c>
      <c r="C11" s="144" t="s">
        <v>149</v>
      </c>
      <c r="D11" s="144" t="s">
        <v>307</v>
      </c>
      <c r="E11" s="141">
        <v>40584320</v>
      </c>
      <c r="F11" s="144" t="s">
        <v>315</v>
      </c>
      <c r="G11" s="144" t="s">
        <v>316</v>
      </c>
      <c r="H11" s="141" t="s">
        <v>42</v>
      </c>
      <c r="I11" s="141" t="s">
        <v>74</v>
      </c>
      <c r="J11" s="141" t="s">
        <v>75</v>
      </c>
      <c r="K11" s="146">
        <v>45733</v>
      </c>
      <c r="L11" s="147" t="s">
        <v>310</v>
      </c>
      <c r="M11" s="147" t="s">
        <v>311</v>
      </c>
      <c r="N11" s="157" t="s">
        <v>312</v>
      </c>
      <c r="O11" s="148">
        <v>20</v>
      </c>
      <c r="P11" s="141" t="s">
        <v>22</v>
      </c>
      <c r="Q11" s="141" t="s">
        <v>74</v>
      </c>
      <c r="R11" s="149"/>
      <c r="S11" s="152" t="str">
        <f t="shared" ref="S11:S12" si="1">D11</f>
        <v>001-500-000061515</v>
      </c>
      <c r="T11" s="158" t="s">
        <v>313</v>
      </c>
      <c r="U11" s="150" t="s">
        <v>314</v>
      </c>
    </row>
    <row r="12" spans="1:21" ht="32.25" customHeight="1">
      <c r="A12">
        <v>7</v>
      </c>
      <c r="B12" s="145">
        <v>45714</v>
      </c>
      <c r="C12" s="144" t="s">
        <v>317</v>
      </c>
      <c r="D12" s="144" t="s">
        <v>318</v>
      </c>
      <c r="E12" s="141">
        <v>112580027</v>
      </c>
      <c r="F12" s="144" t="s">
        <v>319</v>
      </c>
      <c r="G12" s="144" t="s">
        <v>322</v>
      </c>
      <c r="H12" s="141" t="s">
        <v>42</v>
      </c>
      <c r="I12" s="141" t="s">
        <v>74</v>
      </c>
      <c r="J12" s="141" t="s">
        <v>75</v>
      </c>
      <c r="K12" s="146">
        <v>45706</v>
      </c>
      <c r="L12" s="147" t="s">
        <v>325</v>
      </c>
      <c r="M12" s="147" t="s">
        <v>326</v>
      </c>
      <c r="N12" s="157" t="s">
        <v>327</v>
      </c>
      <c r="O12" s="148">
        <v>15</v>
      </c>
      <c r="P12" s="141" t="s">
        <v>22</v>
      </c>
      <c r="Q12" s="141" t="s">
        <v>74</v>
      </c>
      <c r="R12" s="149"/>
      <c r="S12" s="152" t="str">
        <f t="shared" si="1"/>
        <v>002-201-00006009</v>
      </c>
      <c r="T12" s="158" t="s">
        <v>328</v>
      </c>
      <c r="U12" s="150" t="s">
        <v>329</v>
      </c>
    </row>
    <row r="13" spans="1:21" ht="32.25" customHeight="1">
      <c r="A13">
        <v>8</v>
      </c>
      <c r="B13" s="145">
        <v>45714</v>
      </c>
      <c r="C13" s="144" t="s">
        <v>113</v>
      </c>
      <c r="D13" s="144" t="s">
        <v>918</v>
      </c>
      <c r="E13" s="141">
        <v>111030002</v>
      </c>
      <c r="F13" s="144" t="s">
        <v>320</v>
      </c>
      <c r="G13" s="144" t="s">
        <v>323</v>
      </c>
      <c r="H13" s="141" t="s">
        <v>42</v>
      </c>
      <c r="I13" s="141" t="s">
        <v>74</v>
      </c>
      <c r="J13" s="141" t="s">
        <v>75</v>
      </c>
      <c r="K13" s="146">
        <v>45706</v>
      </c>
      <c r="L13" s="147" t="s">
        <v>325</v>
      </c>
      <c r="M13" s="147" t="s">
        <v>326</v>
      </c>
      <c r="N13" s="157" t="s">
        <v>327</v>
      </c>
      <c r="O13" s="148">
        <v>15</v>
      </c>
      <c r="P13" s="141" t="s">
        <v>22</v>
      </c>
      <c r="Q13" s="141" t="s">
        <v>74</v>
      </c>
      <c r="R13" s="149"/>
      <c r="S13" s="152" t="str">
        <f t="shared" ref="S13:S15" si="2">D13</f>
        <v>016-902-03050470</v>
      </c>
      <c r="T13" s="158" t="s">
        <v>328</v>
      </c>
      <c r="U13" s="150" t="s">
        <v>329</v>
      </c>
    </row>
    <row r="14" spans="1:21" ht="32.25" customHeight="1">
      <c r="A14">
        <v>9</v>
      </c>
      <c r="B14" s="145">
        <v>45714</v>
      </c>
      <c r="C14" s="144" t="s">
        <v>113</v>
      </c>
      <c r="D14" s="144" t="s">
        <v>918</v>
      </c>
      <c r="E14" s="141">
        <v>40590830</v>
      </c>
      <c r="F14" s="144" t="s">
        <v>321</v>
      </c>
      <c r="G14" s="144" t="s">
        <v>324</v>
      </c>
      <c r="H14" s="141" t="s">
        <v>42</v>
      </c>
      <c r="I14" s="141" t="s">
        <v>74</v>
      </c>
      <c r="J14" s="141" t="s">
        <v>75</v>
      </c>
      <c r="K14" s="146">
        <v>45706</v>
      </c>
      <c r="L14" s="147" t="s">
        <v>325</v>
      </c>
      <c r="M14" s="147" t="s">
        <v>326</v>
      </c>
      <c r="N14" s="157" t="s">
        <v>327</v>
      </c>
      <c r="O14" s="148">
        <v>15</v>
      </c>
      <c r="P14" s="141" t="s">
        <v>22</v>
      </c>
      <c r="Q14" s="141" t="s">
        <v>74</v>
      </c>
      <c r="R14" s="149"/>
      <c r="S14" s="152" t="str">
        <f t="shared" si="2"/>
        <v>016-902-03050470</v>
      </c>
      <c r="T14" s="158" t="s">
        <v>328</v>
      </c>
      <c r="U14" s="150" t="s">
        <v>329</v>
      </c>
    </row>
    <row r="15" spans="1:21" ht="32.25" customHeight="1">
      <c r="A15">
        <v>10</v>
      </c>
      <c r="B15" s="145">
        <v>45604</v>
      </c>
      <c r="C15" s="144" t="s">
        <v>149</v>
      </c>
      <c r="D15" s="144" t="s">
        <v>330</v>
      </c>
      <c r="E15" s="141">
        <v>112570041</v>
      </c>
      <c r="F15" s="144" t="s">
        <v>331</v>
      </c>
      <c r="G15" s="144" t="s">
        <v>332</v>
      </c>
      <c r="H15" s="141" t="s">
        <v>42</v>
      </c>
      <c r="I15" s="141" t="s">
        <v>74</v>
      </c>
      <c r="J15" s="141" t="s">
        <v>75</v>
      </c>
      <c r="K15" s="146">
        <v>45734</v>
      </c>
      <c r="L15" s="147" t="s">
        <v>334</v>
      </c>
      <c r="M15" s="147" t="s">
        <v>335</v>
      </c>
      <c r="N15" s="157" t="s">
        <v>336</v>
      </c>
      <c r="O15" s="148">
        <v>20</v>
      </c>
      <c r="P15" s="141" t="s">
        <v>22</v>
      </c>
      <c r="Q15" s="141" t="s">
        <v>74</v>
      </c>
      <c r="R15" s="149"/>
      <c r="S15" s="144" t="str">
        <f t="shared" si="2"/>
        <v>001-500-000067752</v>
      </c>
      <c r="T15" s="158" t="s">
        <v>337</v>
      </c>
      <c r="U15" s="150" t="s">
        <v>338</v>
      </c>
    </row>
    <row r="16" spans="1:21" ht="32.25" customHeight="1">
      <c r="A16">
        <v>11</v>
      </c>
      <c r="B16" s="145">
        <v>45604</v>
      </c>
      <c r="C16" s="144" t="s">
        <v>149</v>
      </c>
      <c r="D16" s="144" t="s">
        <v>330</v>
      </c>
      <c r="E16" s="141">
        <v>111030002</v>
      </c>
      <c r="F16" s="144" t="s">
        <v>320</v>
      </c>
      <c r="G16" s="144" t="s">
        <v>333</v>
      </c>
      <c r="H16" s="141" t="s">
        <v>42</v>
      </c>
      <c r="I16" s="141" t="s">
        <v>74</v>
      </c>
      <c r="J16" s="141" t="s">
        <v>75</v>
      </c>
      <c r="K16" s="146">
        <v>45734</v>
      </c>
      <c r="L16" s="147" t="s">
        <v>334</v>
      </c>
      <c r="M16" s="147" t="s">
        <v>335</v>
      </c>
      <c r="N16" s="157" t="s">
        <v>336</v>
      </c>
      <c r="O16" s="148">
        <v>20</v>
      </c>
      <c r="P16" s="141" t="s">
        <v>22</v>
      </c>
      <c r="Q16" s="141" t="s">
        <v>74</v>
      </c>
      <c r="R16" s="149"/>
      <c r="S16" s="144" t="str">
        <f t="shared" ref="S16:S17" si="3">D16</f>
        <v>001-500-000067752</v>
      </c>
      <c r="T16" s="158" t="s">
        <v>337</v>
      </c>
      <c r="U16" s="150" t="s">
        <v>338</v>
      </c>
    </row>
    <row r="17" spans="1:21" ht="32.25" customHeight="1">
      <c r="A17">
        <v>12</v>
      </c>
      <c r="B17" s="145">
        <v>45728</v>
      </c>
      <c r="C17" s="144" t="s">
        <v>149</v>
      </c>
      <c r="D17" s="144" t="s">
        <v>339</v>
      </c>
      <c r="E17" s="141">
        <v>111000051</v>
      </c>
      <c r="F17" s="144" t="s">
        <v>214</v>
      </c>
      <c r="G17" s="144" t="s">
        <v>340</v>
      </c>
      <c r="H17" s="141" t="s">
        <v>42</v>
      </c>
      <c r="I17" s="141" t="s">
        <v>74</v>
      </c>
      <c r="J17" s="141" t="s">
        <v>75</v>
      </c>
      <c r="K17" s="146">
        <v>45735</v>
      </c>
      <c r="L17" s="147" t="s">
        <v>341</v>
      </c>
      <c r="M17" s="147" t="s">
        <v>342</v>
      </c>
      <c r="N17" s="157" t="s">
        <v>343</v>
      </c>
      <c r="O17" s="148">
        <v>20</v>
      </c>
      <c r="P17" s="141" t="s">
        <v>22</v>
      </c>
      <c r="Q17" s="141" t="s">
        <v>74</v>
      </c>
      <c r="R17" s="149"/>
      <c r="S17" s="144" t="str">
        <f t="shared" si="3"/>
        <v>001-500-000071548</v>
      </c>
      <c r="T17" s="158" t="s">
        <v>344</v>
      </c>
      <c r="U17" s="150" t="s">
        <v>345</v>
      </c>
    </row>
    <row r="18" spans="1:21" ht="32.25" customHeight="1">
      <c r="A18">
        <v>13</v>
      </c>
      <c r="B18" s="145">
        <v>45728</v>
      </c>
      <c r="C18" s="144" t="s">
        <v>149</v>
      </c>
      <c r="D18" s="144" t="s">
        <v>339</v>
      </c>
      <c r="E18" s="141">
        <v>112030019</v>
      </c>
      <c r="F18" s="144" t="s">
        <v>346</v>
      </c>
      <c r="G18" s="144" t="s">
        <v>347</v>
      </c>
      <c r="H18" s="141" t="s">
        <v>42</v>
      </c>
      <c r="I18" s="141" t="s">
        <v>74</v>
      </c>
      <c r="J18" s="141" t="s">
        <v>75</v>
      </c>
      <c r="K18" s="146">
        <v>45735</v>
      </c>
      <c r="L18" s="147" t="s">
        <v>341</v>
      </c>
      <c r="M18" s="147" t="s">
        <v>342</v>
      </c>
      <c r="N18" s="157" t="s">
        <v>343</v>
      </c>
      <c r="O18" s="148">
        <v>20</v>
      </c>
      <c r="P18" s="141" t="s">
        <v>22</v>
      </c>
      <c r="Q18" s="141" t="s">
        <v>74</v>
      </c>
      <c r="R18" s="149"/>
      <c r="S18" s="144" t="str">
        <f t="shared" ref="S18:S19" si="4">D18</f>
        <v>001-500-000071548</v>
      </c>
      <c r="T18" s="158" t="s">
        <v>344</v>
      </c>
      <c r="U18" s="150" t="s">
        <v>345</v>
      </c>
    </row>
    <row r="19" spans="1:21" ht="32.25" customHeight="1">
      <c r="A19">
        <v>14</v>
      </c>
      <c r="B19" s="145">
        <v>45482</v>
      </c>
      <c r="C19" s="144" t="s">
        <v>149</v>
      </c>
      <c r="D19" s="144" t="s">
        <v>348</v>
      </c>
      <c r="E19" s="141">
        <v>111910000</v>
      </c>
      <c r="F19" s="144" t="s">
        <v>349</v>
      </c>
      <c r="G19" s="157" t="s">
        <v>350</v>
      </c>
      <c r="H19" s="141" t="s">
        <v>42</v>
      </c>
      <c r="I19" s="141" t="s">
        <v>74</v>
      </c>
      <c r="J19" s="141" t="s">
        <v>75</v>
      </c>
      <c r="K19" s="146">
        <v>45736</v>
      </c>
      <c r="L19" s="147" t="s">
        <v>357</v>
      </c>
      <c r="M19" s="147" t="s">
        <v>353</v>
      </c>
      <c r="N19" s="157" t="s">
        <v>354</v>
      </c>
      <c r="O19" s="148">
        <v>20</v>
      </c>
      <c r="P19" s="141" t="s">
        <v>22</v>
      </c>
      <c r="Q19" s="141" t="s">
        <v>74</v>
      </c>
      <c r="R19" s="149"/>
      <c r="S19" s="144" t="str">
        <f t="shared" si="4"/>
        <v>001-500-000064639</v>
      </c>
      <c r="T19" s="158" t="s">
        <v>355</v>
      </c>
      <c r="U19" s="150" t="s">
        <v>356</v>
      </c>
    </row>
    <row r="20" spans="1:21" ht="32.25" customHeight="1">
      <c r="A20">
        <v>15</v>
      </c>
      <c r="B20" s="174">
        <v>45482</v>
      </c>
      <c r="C20" s="175" t="s">
        <v>149</v>
      </c>
      <c r="D20" s="176" t="s">
        <v>348</v>
      </c>
      <c r="E20" s="141">
        <v>40212044</v>
      </c>
      <c r="F20" s="144" t="s">
        <v>351</v>
      </c>
      <c r="G20" s="144" t="s">
        <v>352</v>
      </c>
      <c r="H20" s="141" t="s">
        <v>42</v>
      </c>
      <c r="I20" s="141" t="s">
        <v>74</v>
      </c>
      <c r="J20" s="141" t="s">
        <v>75</v>
      </c>
      <c r="K20" s="146">
        <v>45736</v>
      </c>
      <c r="L20" s="147" t="s">
        <v>357</v>
      </c>
      <c r="M20" s="147" t="s">
        <v>353</v>
      </c>
      <c r="N20" s="157" t="s">
        <v>354</v>
      </c>
      <c r="O20" s="148">
        <v>20</v>
      </c>
      <c r="P20" s="141" t="s">
        <v>22</v>
      </c>
      <c r="Q20" s="141" t="s">
        <v>74</v>
      </c>
      <c r="R20" s="149"/>
      <c r="S20" s="144" t="str">
        <f t="shared" ref="S20:S21" si="5">D20</f>
        <v>001-500-000064639</v>
      </c>
      <c r="T20" s="158" t="s">
        <v>355</v>
      </c>
      <c r="U20" s="150" t="s">
        <v>356</v>
      </c>
    </row>
    <row r="21" spans="1:21" ht="32.25" customHeight="1">
      <c r="A21">
        <v>16</v>
      </c>
      <c r="B21" s="145">
        <v>45734</v>
      </c>
      <c r="C21" s="144" t="s">
        <v>113</v>
      </c>
      <c r="D21" s="144" t="s">
        <v>358</v>
      </c>
      <c r="E21" s="141">
        <v>40466241</v>
      </c>
      <c r="F21" s="144" t="s">
        <v>359</v>
      </c>
      <c r="G21" s="144" t="s">
        <v>360</v>
      </c>
      <c r="H21" s="141" t="s">
        <v>42</v>
      </c>
      <c r="I21" s="141" t="s">
        <v>74</v>
      </c>
      <c r="J21" s="141" t="s">
        <v>75</v>
      </c>
      <c r="K21" s="146">
        <v>45736</v>
      </c>
      <c r="L21" s="147" t="s">
        <v>362</v>
      </c>
      <c r="M21" s="147" t="s">
        <v>363</v>
      </c>
      <c r="N21" s="157" t="s">
        <v>364</v>
      </c>
      <c r="O21" s="148">
        <v>20</v>
      </c>
      <c r="P21" s="141" t="s">
        <v>22</v>
      </c>
      <c r="Q21" s="141" t="s">
        <v>74</v>
      </c>
      <c r="R21" s="149"/>
      <c r="S21" s="144" t="str">
        <f t="shared" si="5"/>
        <v>016-902-000502096</v>
      </c>
      <c r="T21" s="158" t="s">
        <v>365</v>
      </c>
      <c r="U21" s="150" t="s">
        <v>366</v>
      </c>
    </row>
    <row r="22" spans="1:21" ht="32.25" customHeight="1">
      <c r="A22">
        <v>17</v>
      </c>
      <c r="B22" s="145">
        <v>45734</v>
      </c>
      <c r="C22" s="144" t="s">
        <v>113</v>
      </c>
      <c r="D22" s="144" t="s">
        <v>358</v>
      </c>
      <c r="E22" s="141">
        <v>40466241</v>
      </c>
      <c r="F22" s="144" t="s">
        <v>359</v>
      </c>
      <c r="G22" s="144" t="s">
        <v>361</v>
      </c>
      <c r="H22" s="141" t="s">
        <v>42</v>
      </c>
      <c r="I22" s="141" t="s">
        <v>74</v>
      </c>
      <c r="J22" s="141" t="s">
        <v>75</v>
      </c>
      <c r="K22" s="146">
        <v>45736</v>
      </c>
      <c r="L22" s="147" t="s">
        <v>362</v>
      </c>
      <c r="M22" s="147" t="s">
        <v>363</v>
      </c>
      <c r="N22" s="157" t="s">
        <v>364</v>
      </c>
      <c r="O22" s="148">
        <v>20</v>
      </c>
      <c r="P22" s="141" t="s">
        <v>22</v>
      </c>
      <c r="Q22" s="141" t="s">
        <v>74</v>
      </c>
      <c r="R22" s="149"/>
      <c r="S22" s="144" t="str">
        <f t="shared" ref="S22:S23" si="6">D22</f>
        <v>016-902-000502096</v>
      </c>
      <c r="T22" s="158" t="s">
        <v>365</v>
      </c>
      <c r="U22" s="150" t="s">
        <v>366</v>
      </c>
    </row>
    <row r="23" spans="1:21" ht="32.25" customHeight="1">
      <c r="A23">
        <v>18</v>
      </c>
      <c r="B23" s="145">
        <v>45659</v>
      </c>
      <c r="C23" s="144" t="s">
        <v>149</v>
      </c>
      <c r="D23" s="144" t="s">
        <v>367</v>
      </c>
      <c r="E23" s="141">
        <v>112610069</v>
      </c>
      <c r="F23" s="144" t="s">
        <v>368</v>
      </c>
      <c r="G23" s="144" t="s">
        <v>369</v>
      </c>
      <c r="H23" s="141" t="s">
        <v>42</v>
      </c>
      <c r="I23" s="141" t="s">
        <v>74</v>
      </c>
      <c r="J23" s="141" t="s">
        <v>75</v>
      </c>
      <c r="K23" s="146">
        <v>45737</v>
      </c>
      <c r="L23" s="147" t="s">
        <v>371</v>
      </c>
      <c r="M23" s="147" t="s">
        <v>370</v>
      </c>
      <c r="N23" s="157" t="s">
        <v>372</v>
      </c>
      <c r="O23" s="148">
        <v>20</v>
      </c>
      <c r="P23" s="141" t="s">
        <v>22</v>
      </c>
      <c r="Q23" s="141" t="s">
        <v>74</v>
      </c>
      <c r="R23" s="149"/>
      <c r="S23" s="144" t="str">
        <f t="shared" si="6"/>
        <v>001-500-00006977</v>
      </c>
      <c r="T23" s="158" t="s">
        <v>373</v>
      </c>
      <c r="U23" s="150" t="s">
        <v>917</v>
      </c>
    </row>
    <row r="24" spans="1:21" ht="32.25" customHeight="1">
      <c r="A24">
        <v>19</v>
      </c>
      <c r="B24" s="145">
        <v>45659</v>
      </c>
      <c r="C24" s="144" t="s">
        <v>149</v>
      </c>
      <c r="D24" s="144" t="s">
        <v>367</v>
      </c>
      <c r="E24" s="141">
        <v>40466241</v>
      </c>
      <c r="F24" s="144" t="s">
        <v>359</v>
      </c>
      <c r="G24" s="144" t="s">
        <v>374</v>
      </c>
      <c r="H24" s="141" t="s">
        <v>42</v>
      </c>
      <c r="I24" s="141" t="s">
        <v>74</v>
      </c>
      <c r="J24" s="141" t="s">
        <v>75</v>
      </c>
      <c r="K24" s="146">
        <v>45737</v>
      </c>
      <c r="L24" s="147" t="s">
        <v>371</v>
      </c>
      <c r="M24" s="147" t="s">
        <v>370</v>
      </c>
      <c r="N24" s="157" t="s">
        <v>372</v>
      </c>
      <c r="O24" s="148">
        <v>20</v>
      </c>
      <c r="P24" s="141" t="s">
        <v>22</v>
      </c>
      <c r="Q24" s="141" t="s">
        <v>74</v>
      </c>
      <c r="R24" s="149"/>
      <c r="S24" s="144" t="str">
        <f t="shared" ref="S24:S25" si="7">D24</f>
        <v>001-500-00006977</v>
      </c>
      <c r="T24" s="158" t="s">
        <v>373</v>
      </c>
      <c r="U24" s="150" t="s">
        <v>917</v>
      </c>
    </row>
    <row r="25" spans="1:21" ht="32.25" customHeight="1">
      <c r="A25">
        <v>20</v>
      </c>
      <c r="B25" s="145">
        <v>45346</v>
      </c>
      <c r="C25" s="144" t="s">
        <v>375</v>
      </c>
      <c r="D25" s="144" t="s">
        <v>376</v>
      </c>
      <c r="E25" s="141">
        <v>111000051</v>
      </c>
      <c r="F25" s="144" t="s">
        <v>214</v>
      </c>
      <c r="G25" s="144" t="s">
        <v>379</v>
      </c>
      <c r="H25" s="141" t="s">
        <v>42</v>
      </c>
      <c r="I25" s="141" t="s">
        <v>74</v>
      </c>
      <c r="J25" s="141" t="s">
        <v>75</v>
      </c>
      <c r="K25" s="146">
        <v>45737</v>
      </c>
      <c r="L25" s="147" t="s">
        <v>384</v>
      </c>
      <c r="M25" s="147" t="s">
        <v>385</v>
      </c>
      <c r="N25" s="157" t="s">
        <v>386</v>
      </c>
      <c r="O25" s="148">
        <v>15</v>
      </c>
      <c r="P25" s="141" t="s">
        <v>22</v>
      </c>
      <c r="Q25" s="141" t="s">
        <v>74</v>
      </c>
      <c r="R25" s="149"/>
      <c r="S25" s="144" t="str">
        <f t="shared" si="7"/>
        <v>001-002-000368421</v>
      </c>
      <c r="T25" s="158" t="s">
        <v>387</v>
      </c>
      <c r="U25" s="150" t="s">
        <v>388</v>
      </c>
    </row>
    <row r="26" spans="1:21" ht="32.25" customHeight="1">
      <c r="A26">
        <v>21</v>
      </c>
      <c r="B26" s="145">
        <v>45346</v>
      </c>
      <c r="C26" s="144" t="s">
        <v>375</v>
      </c>
      <c r="D26" s="144" t="s">
        <v>376</v>
      </c>
      <c r="E26" s="141">
        <v>1710198</v>
      </c>
      <c r="F26" s="144" t="s">
        <v>377</v>
      </c>
      <c r="G26" s="144" t="s">
        <v>380</v>
      </c>
      <c r="H26" s="141" t="s">
        <v>42</v>
      </c>
      <c r="I26" s="141" t="s">
        <v>74</v>
      </c>
      <c r="J26" s="141" t="s">
        <v>75</v>
      </c>
      <c r="K26" s="146">
        <v>45737</v>
      </c>
      <c r="L26" s="147" t="s">
        <v>384</v>
      </c>
      <c r="M26" s="147" t="s">
        <v>385</v>
      </c>
      <c r="N26" s="157" t="s">
        <v>386</v>
      </c>
      <c r="O26" s="148">
        <v>15</v>
      </c>
      <c r="P26" s="141" t="s">
        <v>22</v>
      </c>
      <c r="Q26" s="141" t="s">
        <v>74</v>
      </c>
      <c r="R26" s="149"/>
      <c r="S26" s="144" t="str">
        <f t="shared" ref="S26:S30" si="8">D26</f>
        <v>001-002-000368421</v>
      </c>
      <c r="T26" s="158" t="s">
        <v>387</v>
      </c>
      <c r="U26" s="150" t="s">
        <v>388</v>
      </c>
    </row>
    <row r="27" spans="1:21" ht="32.25" customHeight="1">
      <c r="A27">
        <v>22</v>
      </c>
      <c r="B27" s="145">
        <v>45346</v>
      </c>
      <c r="C27" s="144" t="s">
        <v>375</v>
      </c>
      <c r="D27" s="144" t="s">
        <v>376</v>
      </c>
      <c r="E27" s="141">
        <v>112730000</v>
      </c>
      <c r="F27" s="144" t="s">
        <v>378</v>
      </c>
      <c r="G27" s="144" t="s">
        <v>381</v>
      </c>
      <c r="H27" s="141" t="s">
        <v>42</v>
      </c>
      <c r="I27" s="141" t="s">
        <v>74</v>
      </c>
      <c r="J27" s="141" t="s">
        <v>75</v>
      </c>
      <c r="K27" s="146">
        <v>45737</v>
      </c>
      <c r="L27" s="147" t="s">
        <v>384</v>
      </c>
      <c r="M27" s="147" t="s">
        <v>385</v>
      </c>
      <c r="N27" s="157" t="s">
        <v>386</v>
      </c>
      <c r="O27" s="148">
        <v>15</v>
      </c>
      <c r="P27" s="141" t="s">
        <v>22</v>
      </c>
      <c r="Q27" s="141" t="s">
        <v>74</v>
      </c>
      <c r="R27" s="149"/>
      <c r="S27" s="144" t="str">
        <f t="shared" si="8"/>
        <v>001-002-000368421</v>
      </c>
      <c r="T27" s="158" t="s">
        <v>387</v>
      </c>
      <c r="U27" s="150" t="s">
        <v>388</v>
      </c>
    </row>
    <row r="28" spans="1:21" ht="32.25" customHeight="1">
      <c r="A28">
        <v>23</v>
      </c>
      <c r="B28" s="145">
        <v>45346</v>
      </c>
      <c r="C28" s="144" t="s">
        <v>375</v>
      </c>
      <c r="D28" s="144" t="s">
        <v>716</v>
      </c>
      <c r="E28" s="141">
        <v>41598031</v>
      </c>
      <c r="F28" s="144" t="s">
        <v>410</v>
      </c>
      <c r="G28" s="144" t="s">
        <v>382</v>
      </c>
      <c r="H28" s="141" t="s">
        <v>42</v>
      </c>
      <c r="I28" s="141" t="s">
        <v>74</v>
      </c>
      <c r="J28" s="141" t="s">
        <v>75</v>
      </c>
      <c r="K28" s="146">
        <v>45737</v>
      </c>
      <c r="L28" s="147" t="s">
        <v>384</v>
      </c>
      <c r="M28" s="147" t="s">
        <v>385</v>
      </c>
      <c r="N28" s="157" t="s">
        <v>386</v>
      </c>
      <c r="O28" s="148">
        <v>15</v>
      </c>
      <c r="P28" s="141" t="s">
        <v>22</v>
      </c>
      <c r="Q28" s="141" t="s">
        <v>74</v>
      </c>
      <c r="R28" s="149"/>
      <c r="S28" s="144" t="str">
        <f t="shared" si="8"/>
        <v>001-002-000348083</v>
      </c>
      <c r="T28" s="158" t="s">
        <v>387</v>
      </c>
      <c r="U28" s="150" t="s">
        <v>388</v>
      </c>
    </row>
    <row r="29" spans="1:21" ht="32.25" customHeight="1">
      <c r="A29">
        <v>24</v>
      </c>
      <c r="B29" s="145">
        <v>45346</v>
      </c>
      <c r="C29" s="144" t="s">
        <v>375</v>
      </c>
      <c r="D29" s="144" t="s">
        <v>376</v>
      </c>
      <c r="E29" s="141">
        <v>113631003</v>
      </c>
      <c r="F29" s="144" t="s">
        <v>392</v>
      </c>
      <c r="G29" s="144" t="s">
        <v>383</v>
      </c>
      <c r="H29" s="141" t="s">
        <v>42</v>
      </c>
      <c r="I29" s="141" t="s">
        <v>74</v>
      </c>
      <c r="J29" s="141" t="s">
        <v>75</v>
      </c>
      <c r="K29" s="146">
        <v>45737</v>
      </c>
      <c r="L29" s="147" t="s">
        <v>384</v>
      </c>
      <c r="M29" s="147" t="s">
        <v>385</v>
      </c>
      <c r="N29" s="157" t="s">
        <v>386</v>
      </c>
      <c r="O29" s="148">
        <v>15</v>
      </c>
      <c r="P29" s="141" t="s">
        <v>22</v>
      </c>
      <c r="Q29" s="141" t="s">
        <v>74</v>
      </c>
      <c r="R29" s="149"/>
      <c r="S29" s="144" t="str">
        <f t="shared" si="8"/>
        <v>001-002-000368421</v>
      </c>
      <c r="T29" s="158" t="s">
        <v>387</v>
      </c>
      <c r="U29" s="150" t="s">
        <v>388</v>
      </c>
    </row>
    <row r="30" spans="1:21" ht="32.25" customHeight="1">
      <c r="A30">
        <v>25</v>
      </c>
      <c r="B30" s="145">
        <v>45741</v>
      </c>
      <c r="C30" s="144" t="s">
        <v>389</v>
      </c>
      <c r="D30" s="144" t="s">
        <v>390</v>
      </c>
      <c r="E30" s="141">
        <v>41596006</v>
      </c>
      <c r="F30" s="144" t="s">
        <v>274</v>
      </c>
      <c r="G30" s="144" t="s">
        <v>393</v>
      </c>
      <c r="H30" s="141" t="s">
        <v>42</v>
      </c>
      <c r="I30" s="141" t="s">
        <v>74</v>
      </c>
      <c r="J30" s="141" t="s">
        <v>75</v>
      </c>
      <c r="K30" s="146">
        <v>45741</v>
      </c>
      <c r="L30" s="147" t="s">
        <v>395</v>
      </c>
      <c r="M30" s="147" t="s">
        <v>389</v>
      </c>
      <c r="N30" s="157" t="s">
        <v>396</v>
      </c>
      <c r="O30" s="148">
        <v>20</v>
      </c>
      <c r="P30" s="141" t="s">
        <v>22</v>
      </c>
      <c r="Q30" s="141" t="s">
        <v>74</v>
      </c>
      <c r="R30" s="149"/>
      <c r="S30" s="144" t="str">
        <f t="shared" si="8"/>
        <v>040-101-000000254</v>
      </c>
      <c r="T30" s="158" t="s">
        <v>397</v>
      </c>
      <c r="U30" s="150" t="s">
        <v>398</v>
      </c>
    </row>
    <row r="31" spans="1:21" ht="32.25" customHeight="1">
      <c r="A31">
        <v>26</v>
      </c>
      <c r="B31" s="145">
        <v>45741</v>
      </c>
      <c r="C31" s="144" t="s">
        <v>389</v>
      </c>
      <c r="D31" s="144" t="s">
        <v>390</v>
      </c>
      <c r="E31" s="141" t="s">
        <v>391</v>
      </c>
      <c r="F31" s="144" t="s">
        <v>914</v>
      </c>
      <c r="G31" s="144" t="s">
        <v>394</v>
      </c>
      <c r="H31" s="141" t="s">
        <v>42</v>
      </c>
      <c r="I31" s="141" t="s">
        <v>74</v>
      </c>
      <c r="J31" s="141" t="s">
        <v>75</v>
      </c>
      <c r="K31" s="146">
        <v>45741</v>
      </c>
      <c r="L31" s="147" t="s">
        <v>395</v>
      </c>
      <c r="M31" s="147" t="s">
        <v>389</v>
      </c>
      <c r="N31" s="157" t="s">
        <v>396</v>
      </c>
      <c r="O31" s="148">
        <v>20</v>
      </c>
      <c r="P31" s="141" t="s">
        <v>22</v>
      </c>
      <c r="Q31" s="141" t="s">
        <v>74</v>
      </c>
      <c r="R31" s="149"/>
      <c r="S31" s="144" t="str">
        <f t="shared" ref="S31" si="9">D31</f>
        <v>040-101-000000254</v>
      </c>
      <c r="T31" s="158" t="s">
        <v>397</v>
      </c>
      <c r="U31" s="150" t="s">
        <v>398</v>
      </c>
    </row>
    <row r="32" spans="1:21" ht="32.25" customHeight="1">
      <c r="A32">
        <v>27</v>
      </c>
      <c r="B32" s="145">
        <v>45730</v>
      </c>
      <c r="C32" s="144" t="s">
        <v>399</v>
      </c>
      <c r="D32" s="144" t="s">
        <v>400</v>
      </c>
      <c r="E32" s="141">
        <v>40584202</v>
      </c>
      <c r="F32" s="144" t="s">
        <v>402</v>
      </c>
      <c r="G32" s="144" t="s">
        <v>401</v>
      </c>
      <c r="H32" s="141" t="s">
        <v>42</v>
      </c>
      <c r="I32" s="141" t="s">
        <v>74</v>
      </c>
      <c r="J32" s="141" t="s">
        <v>75</v>
      </c>
      <c r="K32" s="146">
        <v>45741</v>
      </c>
      <c r="L32" s="147" t="s">
        <v>399</v>
      </c>
      <c r="M32" s="147" t="s">
        <v>500</v>
      </c>
      <c r="N32" s="157" t="s">
        <v>404</v>
      </c>
      <c r="O32" s="148">
        <v>20</v>
      </c>
      <c r="P32" s="141" t="s">
        <v>22</v>
      </c>
      <c r="Q32" s="141" t="s">
        <v>74</v>
      </c>
      <c r="R32" s="149"/>
      <c r="S32" s="144" t="str">
        <f t="shared" ref="S32:S33" si="10">D32</f>
        <v>001-501-000057694</v>
      </c>
      <c r="T32" s="158" t="s">
        <v>405</v>
      </c>
      <c r="U32" s="150" t="s">
        <v>406</v>
      </c>
    </row>
    <row r="33" spans="1:21" ht="32.25" customHeight="1">
      <c r="A33">
        <v>28</v>
      </c>
      <c r="B33" s="145">
        <v>45730</v>
      </c>
      <c r="C33" s="144" t="s">
        <v>399</v>
      </c>
      <c r="D33" s="144" t="s">
        <v>400</v>
      </c>
      <c r="E33" s="141">
        <v>40584202</v>
      </c>
      <c r="F33" s="144" t="s">
        <v>402</v>
      </c>
      <c r="G33" s="144" t="s">
        <v>407</v>
      </c>
      <c r="H33" s="141" t="s">
        <v>42</v>
      </c>
      <c r="I33" s="141" t="s">
        <v>74</v>
      </c>
      <c r="J33" s="141" t="s">
        <v>75</v>
      </c>
      <c r="K33" s="146" t="s">
        <v>403</v>
      </c>
      <c r="L33" s="147" t="s">
        <v>399</v>
      </c>
      <c r="M33" s="147" t="s">
        <v>500</v>
      </c>
      <c r="N33" s="157" t="s">
        <v>404</v>
      </c>
      <c r="O33" s="148">
        <v>20</v>
      </c>
      <c r="P33" s="141" t="s">
        <v>22</v>
      </c>
      <c r="Q33" s="141" t="s">
        <v>74</v>
      </c>
      <c r="R33" s="149"/>
      <c r="S33" s="144" t="str">
        <f t="shared" si="10"/>
        <v>001-501-000057694</v>
      </c>
      <c r="T33" s="158" t="s">
        <v>405</v>
      </c>
      <c r="U33" s="150" t="s">
        <v>406</v>
      </c>
    </row>
    <row r="34" spans="1:21" ht="32.25" customHeight="1">
      <c r="A34">
        <v>29</v>
      </c>
      <c r="B34" s="145">
        <v>45722</v>
      </c>
      <c r="C34" s="144" t="s">
        <v>113</v>
      </c>
      <c r="D34" s="144" t="s">
        <v>190</v>
      </c>
      <c r="E34" s="141">
        <v>112930045</v>
      </c>
      <c r="F34" s="144" t="s">
        <v>192</v>
      </c>
      <c r="G34" s="144" t="s">
        <v>194</v>
      </c>
      <c r="H34" s="141" t="s">
        <v>42</v>
      </c>
      <c r="I34" s="141" t="s">
        <v>74</v>
      </c>
      <c r="J34" s="141" t="s">
        <v>75</v>
      </c>
      <c r="K34" s="146">
        <v>45742</v>
      </c>
      <c r="L34" s="147" t="s">
        <v>196</v>
      </c>
      <c r="M34" s="147" t="s">
        <v>197</v>
      </c>
      <c r="N34" s="157" t="s">
        <v>198</v>
      </c>
      <c r="O34" s="148">
        <v>20</v>
      </c>
      <c r="P34" s="141" t="s">
        <v>22</v>
      </c>
      <c r="Q34" s="141" t="s">
        <v>74</v>
      </c>
      <c r="R34" s="149"/>
      <c r="S34" s="144" t="str">
        <f t="shared" ref="S34:S36" si="11">D34</f>
        <v>016-907-000242064</v>
      </c>
      <c r="T34" s="158" t="s">
        <v>199</v>
      </c>
      <c r="U34" s="150" t="s">
        <v>200</v>
      </c>
    </row>
    <row r="35" spans="1:21" ht="32.25" customHeight="1">
      <c r="A35">
        <v>30</v>
      </c>
      <c r="B35" s="145">
        <v>45684</v>
      </c>
      <c r="C35" s="144" t="s">
        <v>113</v>
      </c>
      <c r="D35" s="144" t="s">
        <v>191</v>
      </c>
      <c r="E35" s="141">
        <v>11250128</v>
      </c>
      <c r="F35" s="144" t="s">
        <v>193</v>
      </c>
      <c r="G35" s="144" t="s">
        <v>195</v>
      </c>
      <c r="H35" s="141" t="s">
        <v>42</v>
      </c>
      <c r="I35" s="141" t="s">
        <v>74</v>
      </c>
      <c r="J35" s="141" t="s">
        <v>75</v>
      </c>
      <c r="K35" s="146">
        <v>45742</v>
      </c>
      <c r="L35" s="147" t="s">
        <v>196</v>
      </c>
      <c r="M35" s="147" t="s">
        <v>197</v>
      </c>
      <c r="N35" s="157" t="s">
        <v>198</v>
      </c>
      <c r="O35" s="148">
        <v>20</v>
      </c>
      <c r="P35" s="141" t="s">
        <v>22</v>
      </c>
      <c r="Q35" s="141" t="s">
        <v>74</v>
      </c>
      <c r="R35" s="149"/>
      <c r="S35" s="144" t="str">
        <f t="shared" si="11"/>
        <v>039-903-000160057</v>
      </c>
      <c r="T35" s="171" t="s">
        <v>199</v>
      </c>
      <c r="U35" s="172" t="s">
        <v>200</v>
      </c>
    </row>
    <row r="36" spans="1:21" ht="32.25" customHeight="1">
      <c r="A36">
        <v>31</v>
      </c>
      <c r="B36" s="145">
        <v>45426</v>
      </c>
      <c r="C36" s="144" t="s">
        <v>201</v>
      </c>
      <c r="D36" s="144" t="s">
        <v>408</v>
      </c>
      <c r="E36" s="141">
        <v>112500053</v>
      </c>
      <c r="F36" s="144" t="s">
        <v>409</v>
      </c>
      <c r="G36" s="144" t="s">
        <v>411</v>
      </c>
      <c r="H36" s="141" t="s">
        <v>42</v>
      </c>
      <c r="I36" s="141" t="s">
        <v>74</v>
      </c>
      <c r="J36" s="141" t="s">
        <v>75</v>
      </c>
      <c r="K36" s="146">
        <v>45742</v>
      </c>
      <c r="L36" s="147" t="s">
        <v>414</v>
      </c>
      <c r="M36" s="147" t="s">
        <v>389</v>
      </c>
      <c r="N36" s="157" t="s">
        <v>415</v>
      </c>
      <c r="O36" s="148">
        <v>15</v>
      </c>
      <c r="P36" s="141" t="s">
        <v>22</v>
      </c>
      <c r="Q36" s="141" t="s">
        <v>74</v>
      </c>
      <c r="R36" s="149"/>
      <c r="S36" s="144" t="str">
        <f t="shared" si="11"/>
        <v>001-101-000003407</v>
      </c>
      <c r="T36" s="158" t="s">
        <v>416</v>
      </c>
      <c r="U36" s="150" t="s">
        <v>417</v>
      </c>
    </row>
    <row r="37" spans="1:21" ht="32.25" customHeight="1">
      <c r="A37">
        <v>32</v>
      </c>
      <c r="B37" s="145">
        <v>45426</v>
      </c>
      <c r="C37" s="144" t="s">
        <v>201</v>
      </c>
      <c r="D37" s="144" t="s">
        <v>408</v>
      </c>
      <c r="E37" s="141">
        <v>111000051</v>
      </c>
      <c r="F37" s="144" t="s">
        <v>118</v>
      </c>
      <c r="G37" s="144" t="s">
        <v>412</v>
      </c>
      <c r="H37" s="141" t="s">
        <v>42</v>
      </c>
      <c r="I37" s="141" t="s">
        <v>74</v>
      </c>
      <c r="J37" s="141" t="s">
        <v>75</v>
      </c>
      <c r="K37" s="146">
        <v>45742</v>
      </c>
      <c r="L37" s="147" t="s">
        <v>414</v>
      </c>
      <c r="M37" s="147" t="s">
        <v>389</v>
      </c>
      <c r="N37" s="157" t="s">
        <v>415</v>
      </c>
      <c r="O37" s="148">
        <v>15</v>
      </c>
      <c r="P37" s="141" t="s">
        <v>22</v>
      </c>
      <c r="Q37" s="141" t="s">
        <v>74</v>
      </c>
      <c r="R37" s="149"/>
      <c r="S37" s="144" t="str">
        <f t="shared" ref="S37:S44" si="12">D37</f>
        <v>001-101-000003407</v>
      </c>
      <c r="T37" s="158" t="s">
        <v>416</v>
      </c>
      <c r="U37" s="150" t="s">
        <v>417</v>
      </c>
    </row>
    <row r="38" spans="1:21" ht="32.25" customHeight="1">
      <c r="A38">
        <v>33</v>
      </c>
      <c r="B38" s="145">
        <v>45426</v>
      </c>
      <c r="C38" s="144" t="s">
        <v>201</v>
      </c>
      <c r="D38" s="144" t="s">
        <v>408</v>
      </c>
      <c r="E38" s="141">
        <v>41598031</v>
      </c>
      <c r="F38" s="144" t="s">
        <v>410</v>
      </c>
      <c r="G38" s="144" t="s">
        <v>413</v>
      </c>
      <c r="H38" s="141" t="s">
        <v>42</v>
      </c>
      <c r="I38" s="141" t="s">
        <v>74</v>
      </c>
      <c r="J38" s="141" t="s">
        <v>75</v>
      </c>
      <c r="K38" s="146">
        <v>45742</v>
      </c>
      <c r="L38" s="147" t="s">
        <v>414</v>
      </c>
      <c r="M38" s="147" t="s">
        <v>389</v>
      </c>
      <c r="N38" s="157" t="s">
        <v>415</v>
      </c>
      <c r="O38" s="148">
        <v>15</v>
      </c>
      <c r="P38" s="141" t="s">
        <v>22</v>
      </c>
      <c r="Q38" s="141" t="s">
        <v>74</v>
      </c>
      <c r="R38" s="149"/>
      <c r="S38" s="144" t="str">
        <f t="shared" si="12"/>
        <v>001-101-000003407</v>
      </c>
      <c r="T38" s="158" t="s">
        <v>416</v>
      </c>
      <c r="U38" s="150" t="s">
        <v>417</v>
      </c>
    </row>
    <row r="39" spans="1:21" ht="32.25" customHeight="1">
      <c r="A39">
        <v>34</v>
      </c>
      <c r="B39" s="145">
        <v>45426</v>
      </c>
      <c r="C39" s="144" t="s">
        <v>201</v>
      </c>
      <c r="D39" s="144" t="s">
        <v>408</v>
      </c>
      <c r="E39" s="141">
        <v>11360096</v>
      </c>
      <c r="F39" s="144" t="s">
        <v>418</v>
      </c>
      <c r="G39" s="144" t="s">
        <v>426</v>
      </c>
      <c r="H39" s="141" t="s">
        <v>42</v>
      </c>
      <c r="I39" s="141" t="s">
        <v>74</v>
      </c>
      <c r="J39" s="141" t="s">
        <v>75</v>
      </c>
      <c r="K39" s="146">
        <v>45742</v>
      </c>
      <c r="L39" s="147" t="s">
        <v>414</v>
      </c>
      <c r="M39" s="147" t="s">
        <v>389</v>
      </c>
      <c r="N39" s="157" t="s">
        <v>415</v>
      </c>
      <c r="O39" s="148">
        <v>15</v>
      </c>
      <c r="P39" s="141" t="s">
        <v>22</v>
      </c>
      <c r="Q39" s="141" t="s">
        <v>74</v>
      </c>
      <c r="R39" s="149"/>
      <c r="S39" s="144" t="str">
        <f t="shared" si="12"/>
        <v>001-101-000003407</v>
      </c>
      <c r="T39" s="158" t="s">
        <v>416</v>
      </c>
      <c r="U39" s="150" t="s">
        <v>417</v>
      </c>
    </row>
    <row r="40" spans="1:21" ht="32.25" customHeight="1">
      <c r="A40">
        <v>35</v>
      </c>
      <c r="B40" s="145">
        <v>45426</v>
      </c>
      <c r="C40" s="144" t="s">
        <v>201</v>
      </c>
      <c r="D40" s="144" t="s">
        <v>408</v>
      </c>
      <c r="E40" s="141">
        <v>40446712</v>
      </c>
      <c r="F40" s="144" t="s">
        <v>419</v>
      </c>
      <c r="G40" s="144" t="s">
        <v>425</v>
      </c>
      <c r="H40" s="141" t="s">
        <v>42</v>
      </c>
      <c r="I40" s="141" t="s">
        <v>74</v>
      </c>
      <c r="J40" s="141" t="s">
        <v>75</v>
      </c>
      <c r="K40" s="146">
        <v>45742</v>
      </c>
      <c r="L40" s="147" t="s">
        <v>414</v>
      </c>
      <c r="M40" s="147" t="s">
        <v>389</v>
      </c>
      <c r="N40" s="157" t="s">
        <v>415</v>
      </c>
      <c r="O40" s="148">
        <v>15</v>
      </c>
      <c r="P40" s="141" t="s">
        <v>22</v>
      </c>
      <c r="Q40" s="141" t="s">
        <v>74</v>
      </c>
      <c r="R40" s="149"/>
      <c r="S40" s="144" t="str">
        <f t="shared" si="12"/>
        <v>001-101-000003407</v>
      </c>
      <c r="T40" s="158" t="s">
        <v>416</v>
      </c>
      <c r="U40" s="150" t="s">
        <v>417</v>
      </c>
    </row>
    <row r="41" spans="1:21" ht="32.25" customHeight="1">
      <c r="A41">
        <v>36</v>
      </c>
      <c r="B41" s="145">
        <v>45426</v>
      </c>
      <c r="C41" s="144" t="s">
        <v>201</v>
      </c>
      <c r="D41" s="144" t="s">
        <v>408</v>
      </c>
      <c r="E41" s="141">
        <v>40584305</v>
      </c>
      <c r="F41" s="144" t="s">
        <v>377</v>
      </c>
      <c r="G41" s="144" t="s">
        <v>424</v>
      </c>
      <c r="H41" s="141" t="s">
        <v>42</v>
      </c>
      <c r="I41" s="141" t="s">
        <v>74</v>
      </c>
      <c r="J41" s="141" t="s">
        <v>75</v>
      </c>
      <c r="K41" s="146">
        <v>45742</v>
      </c>
      <c r="L41" s="147" t="s">
        <v>414</v>
      </c>
      <c r="M41" s="147" t="s">
        <v>389</v>
      </c>
      <c r="N41" s="157" t="s">
        <v>415</v>
      </c>
      <c r="O41" s="148">
        <v>15</v>
      </c>
      <c r="P41" s="141" t="s">
        <v>22</v>
      </c>
      <c r="Q41" s="141" t="s">
        <v>74</v>
      </c>
      <c r="R41" s="149"/>
      <c r="S41" s="144" t="str">
        <f t="shared" si="12"/>
        <v>001-101-000003407</v>
      </c>
      <c r="T41" s="158" t="s">
        <v>416</v>
      </c>
      <c r="U41" s="150" t="s">
        <v>417</v>
      </c>
    </row>
    <row r="42" spans="1:21" ht="32.25" customHeight="1">
      <c r="A42">
        <v>37</v>
      </c>
      <c r="B42" s="145">
        <v>45426</v>
      </c>
      <c r="C42" s="144" t="s">
        <v>201</v>
      </c>
      <c r="D42" s="144" t="s">
        <v>408</v>
      </c>
      <c r="E42" s="141">
        <v>112570016</v>
      </c>
      <c r="F42" s="144" t="s">
        <v>420</v>
      </c>
      <c r="G42" s="144" t="s">
        <v>423</v>
      </c>
      <c r="H42" s="141" t="s">
        <v>42</v>
      </c>
      <c r="I42" s="141" t="s">
        <v>74</v>
      </c>
      <c r="J42" s="141" t="s">
        <v>75</v>
      </c>
      <c r="K42" s="146">
        <v>45742</v>
      </c>
      <c r="L42" s="147" t="s">
        <v>414</v>
      </c>
      <c r="M42" s="147" t="s">
        <v>389</v>
      </c>
      <c r="N42" s="157" t="s">
        <v>415</v>
      </c>
      <c r="O42" s="148">
        <v>15</v>
      </c>
      <c r="P42" s="141" t="s">
        <v>22</v>
      </c>
      <c r="Q42" s="141" t="s">
        <v>74</v>
      </c>
      <c r="R42" s="149"/>
      <c r="S42" s="144" t="str">
        <f t="shared" si="12"/>
        <v>001-101-000003407</v>
      </c>
      <c r="T42" s="158" t="s">
        <v>416</v>
      </c>
      <c r="U42" s="150" t="s">
        <v>417</v>
      </c>
    </row>
    <row r="43" spans="1:21" ht="32.25" customHeight="1">
      <c r="A43">
        <v>38</v>
      </c>
      <c r="B43" s="145">
        <v>45426</v>
      </c>
      <c r="C43" s="144" t="s">
        <v>201</v>
      </c>
      <c r="D43" s="144" t="s">
        <v>408</v>
      </c>
      <c r="E43" s="141">
        <v>407822128</v>
      </c>
      <c r="F43" s="144" t="s">
        <v>421</v>
      </c>
      <c r="G43" s="144" t="s">
        <v>422</v>
      </c>
      <c r="H43" s="141" t="s">
        <v>42</v>
      </c>
      <c r="I43" s="141" t="s">
        <v>74</v>
      </c>
      <c r="J43" s="141" t="s">
        <v>75</v>
      </c>
      <c r="K43" s="146">
        <v>45742</v>
      </c>
      <c r="L43" s="147" t="s">
        <v>414</v>
      </c>
      <c r="M43" s="147" t="s">
        <v>389</v>
      </c>
      <c r="N43" s="157" t="s">
        <v>415</v>
      </c>
      <c r="O43" s="148">
        <v>15</v>
      </c>
      <c r="P43" s="141" t="s">
        <v>22</v>
      </c>
      <c r="Q43" s="141" t="s">
        <v>74</v>
      </c>
      <c r="R43" s="149"/>
      <c r="S43" s="144" t="str">
        <f t="shared" si="12"/>
        <v>001-101-000003407</v>
      </c>
      <c r="T43" s="158" t="s">
        <v>416</v>
      </c>
      <c r="U43" s="150" t="s">
        <v>417</v>
      </c>
    </row>
    <row r="44" spans="1:21" ht="32.25" customHeight="1">
      <c r="A44">
        <v>39</v>
      </c>
      <c r="B44" s="145">
        <v>45716</v>
      </c>
      <c r="C44" s="144" t="s">
        <v>113</v>
      </c>
      <c r="D44" s="144" t="s">
        <v>427</v>
      </c>
      <c r="E44" s="141">
        <v>111000051</v>
      </c>
      <c r="F44" s="144" t="s">
        <v>428</v>
      </c>
      <c r="G44" s="144" t="s">
        <v>429</v>
      </c>
      <c r="H44" s="141" t="s">
        <v>42</v>
      </c>
      <c r="I44" s="141" t="s">
        <v>74</v>
      </c>
      <c r="J44" s="141" t="s">
        <v>75</v>
      </c>
      <c r="K44" s="146">
        <v>45742</v>
      </c>
      <c r="L44" s="147" t="s">
        <v>430</v>
      </c>
      <c r="M44" s="147" t="s">
        <v>431</v>
      </c>
      <c r="N44" s="157" t="s">
        <v>432</v>
      </c>
      <c r="O44" s="148">
        <v>20</v>
      </c>
      <c r="P44" s="141" t="s">
        <v>22</v>
      </c>
      <c r="Q44" s="141" t="s">
        <v>74</v>
      </c>
      <c r="R44" s="149"/>
      <c r="S44" s="144" t="str">
        <f t="shared" si="12"/>
        <v>043-903-000059915</v>
      </c>
      <c r="T44" s="158" t="s">
        <v>433</v>
      </c>
      <c r="U44" s="150" t="s">
        <v>434</v>
      </c>
    </row>
    <row r="45" spans="1:21" ht="32.25" customHeight="1">
      <c r="A45">
        <v>40</v>
      </c>
      <c r="B45" s="145">
        <v>45716</v>
      </c>
      <c r="C45" s="144" t="s">
        <v>113</v>
      </c>
      <c r="D45" s="144" t="s">
        <v>427</v>
      </c>
      <c r="E45" s="141">
        <v>40466241</v>
      </c>
      <c r="F45" s="144" t="s">
        <v>359</v>
      </c>
      <c r="G45" s="144" t="s">
        <v>435</v>
      </c>
      <c r="H45" s="141" t="s">
        <v>42</v>
      </c>
      <c r="I45" s="141" t="s">
        <v>74</v>
      </c>
      <c r="J45" s="141" t="s">
        <v>75</v>
      </c>
      <c r="K45" s="146">
        <v>45742</v>
      </c>
      <c r="L45" s="147" t="s">
        <v>430</v>
      </c>
      <c r="M45" s="147" t="s">
        <v>431</v>
      </c>
      <c r="N45" s="157" t="s">
        <v>432</v>
      </c>
      <c r="O45" s="148">
        <v>20</v>
      </c>
      <c r="P45" s="141" t="s">
        <v>22</v>
      </c>
      <c r="Q45" s="141" t="s">
        <v>74</v>
      </c>
      <c r="R45" s="149"/>
      <c r="S45" s="144" t="str">
        <f t="shared" ref="S45:S46" si="13">D45</f>
        <v>043-903-000059915</v>
      </c>
      <c r="T45" s="158" t="s">
        <v>433</v>
      </c>
      <c r="U45" s="150" t="s">
        <v>434</v>
      </c>
    </row>
    <row r="46" spans="1:21" ht="32.25" customHeight="1">
      <c r="A46">
        <v>41</v>
      </c>
      <c r="B46" s="145">
        <v>45741</v>
      </c>
      <c r="C46" s="144" t="s">
        <v>149</v>
      </c>
      <c r="D46" s="144" t="s">
        <v>436</v>
      </c>
      <c r="E46" s="141">
        <v>40782127</v>
      </c>
      <c r="F46" s="144" t="s">
        <v>421</v>
      </c>
      <c r="G46" s="144" t="s">
        <v>437</v>
      </c>
      <c r="H46" s="141" t="s">
        <v>42</v>
      </c>
      <c r="I46" s="141" t="s">
        <v>74</v>
      </c>
      <c r="J46" s="141" t="s">
        <v>75</v>
      </c>
      <c r="K46" s="146">
        <v>45742</v>
      </c>
      <c r="L46" s="147" t="s">
        <v>310</v>
      </c>
      <c r="M46" s="147" t="s">
        <v>438</v>
      </c>
      <c r="N46" s="157" t="s">
        <v>312</v>
      </c>
      <c r="O46" s="148">
        <v>15</v>
      </c>
      <c r="P46" s="141" t="s">
        <v>22</v>
      </c>
      <c r="Q46" s="141" t="s">
        <v>74</v>
      </c>
      <c r="R46" s="149"/>
      <c r="S46" s="144" t="str">
        <f t="shared" si="13"/>
        <v>001-500-00061515</v>
      </c>
      <c r="T46" s="158" t="s">
        <v>312</v>
      </c>
      <c r="U46" s="150" t="s">
        <v>439</v>
      </c>
    </row>
    <row r="47" spans="1:21" ht="32.25" customHeight="1">
      <c r="A47">
        <v>42</v>
      </c>
      <c r="B47" s="145">
        <v>45741</v>
      </c>
      <c r="C47" s="144" t="s">
        <v>149</v>
      </c>
      <c r="D47" s="144" t="s">
        <v>436</v>
      </c>
      <c r="E47" s="141">
        <v>40455334</v>
      </c>
      <c r="F47" s="144" t="s">
        <v>440</v>
      </c>
      <c r="G47" s="144" t="s">
        <v>441</v>
      </c>
      <c r="H47" s="141" t="s">
        <v>42</v>
      </c>
      <c r="I47" s="141" t="s">
        <v>74</v>
      </c>
      <c r="J47" s="141" t="s">
        <v>75</v>
      </c>
      <c r="K47" s="146">
        <v>45742</v>
      </c>
      <c r="L47" s="147" t="s">
        <v>310</v>
      </c>
      <c r="M47" s="147" t="s">
        <v>438</v>
      </c>
      <c r="N47" s="157" t="s">
        <v>312</v>
      </c>
      <c r="O47" s="148">
        <v>30</v>
      </c>
      <c r="P47" s="141" t="s">
        <v>22</v>
      </c>
      <c r="Q47" s="141" t="s">
        <v>74</v>
      </c>
      <c r="R47" s="149"/>
      <c r="S47" s="144" t="str">
        <f t="shared" ref="S47:S49" si="14">D47</f>
        <v>001-500-00061515</v>
      </c>
      <c r="T47" s="158" t="s">
        <v>312</v>
      </c>
      <c r="U47" s="150" t="s">
        <v>439</v>
      </c>
    </row>
    <row r="48" spans="1:21" ht="32.25" customHeight="1">
      <c r="A48">
        <v>43</v>
      </c>
      <c r="B48" s="145">
        <v>45741</v>
      </c>
      <c r="C48" s="144" t="s">
        <v>149</v>
      </c>
      <c r="D48" s="144" t="s">
        <v>436</v>
      </c>
      <c r="E48" s="141">
        <v>112570093</v>
      </c>
      <c r="F48" s="144" t="s">
        <v>442</v>
      </c>
      <c r="G48" s="144" t="s">
        <v>443</v>
      </c>
      <c r="H48" s="141" t="s">
        <v>42</v>
      </c>
      <c r="I48" s="141" t="s">
        <v>74</v>
      </c>
      <c r="J48" s="141" t="s">
        <v>75</v>
      </c>
      <c r="K48" s="146">
        <v>45742</v>
      </c>
      <c r="L48" s="147" t="s">
        <v>310</v>
      </c>
      <c r="M48" s="147" t="s">
        <v>438</v>
      </c>
      <c r="N48" s="157" t="s">
        <v>312</v>
      </c>
      <c r="O48" s="148">
        <v>15</v>
      </c>
      <c r="P48" s="141" t="s">
        <v>22</v>
      </c>
      <c r="Q48" s="141" t="s">
        <v>74</v>
      </c>
      <c r="R48" s="149"/>
      <c r="S48" s="144" t="str">
        <f t="shared" si="14"/>
        <v>001-500-00061515</v>
      </c>
      <c r="T48" s="158" t="s">
        <v>312</v>
      </c>
      <c r="U48" s="150" t="s">
        <v>439</v>
      </c>
    </row>
    <row r="49" spans="1:21" ht="32.25" customHeight="1">
      <c r="A49">
        <v>44</v>
      </c>
      <c r="B49" s="145">
        <v>45675</v>
      </c>
      <c r="C49" s="144" t="s">
        <v>229</v>
      </c>
      <c r="D49" s="144" t="s">
        <v>444</v>
      </c>
      <c r="E49" s="141">
        <v>111030002</v>
      </c>
      <c r="F49" s="144" t="s">
        <v>445</v>
      </c>
      <c r="G49" s="144" t="s">
        <v>446</v>
      </c>
      <c r="H49" s="141" t="s">
        <v>42</v>
      </c>
      <c r="I49" s="141" t="s">
        <v>74</v>
      </c>
      <c r="J49" s="141" t="s">
        <v>75</v>
      </c>
      <c r="K49" s="146">
        <v>45743</v>
      </c>
      <c r="L49" s="147" t="s">
        <v>447</v>
      </c>
      <c r="M49" s="147" t="s">
        <v>448</v>
      </c>
      <c r="N49" s="157" t="s">
        <v>449</v>
      </c>
      <c r="O49" s="148">
        <v>15</v>
      </c>
      <c r="P49" s="141" t="s">
        <v>22</v>
      </c>
      <c r="Q49" s="141" t="s">
        <v>74</v>
      </c>
      <c r="R49" s="149"/>
      <c r="S49" s="144" t="str">
        <f t="shared" si="14"/>
        <v>006-002-000137366</v>
      </c>
      <c r="T49" s="158" t="s">
        <v>450</v>
      </c>
      <c r="U49" s="150" t="s">
        <v>451</v>
      </c>
    </row>
    <row r="50" spans="1:21" ht="32.25" customHeight="1">
      <c r="A50">
        <v>45</v>
      </c>
      <c r="B50" s="145">
        <v>45675</v>
      </c>
      <c r="C50" s="144" t="s">
        <v>229</v>
      </c>
      <c r="D50" s="144" t="s">
        <v>444</v>
      </c>
      <c r="E50" s="141">
        <v>112570093</v>
      </c>
      <c r="F50" s="144" t="s">
        <v>452</v>
      </c>
      <c r="G50" s="144" t="s">
        <v>453</v>
      </c>
      <c r="H50" s="141" t="s">
        <v>42</v>
      </c>
      <c r="I50" s="141" t="s">
        <v>74</v>
      </c>
      <c r="J50" s="141" t="s">
        <v>75</v>
      </c>
      <c r="K50" s="146">
        <v>45743</v>
      </c>
      <c r="L50" s="147" t="s">
        <v>447</v>
      </c>
      <c r="M50" s="147" t="s">
        <v>448</v>
      </c>
      <c r="N50" s="157" t="s">
        <v>449</v>
      </c>
      <c r="O50" s="148">
        <v>15</v>
      </c>
      <c r="P50" s="141" t="s">
        <v>22</v>
      </c>
      <c r="Q50" s="141" t="s">
        <v>74</v>
      </c>
      <c r="R50" s="149"/>
      <c r="S50" s="144" t="str">
        <f t="shared" ref="S50:S52" si="15">D50</f>
        <v>006-002-000137366</v>
      </c>
      <c r="T50" s="158" t="s">
        <v>450</v>
      </c>
      <c r="U50" s="150" t="s">
        <v>451</v>
      </c>
    </row>
    <row r="51" spans="1:21" ht="32.25" customHeight="1">
      <c r="A51">
        <v>46</v>
      </c>
      <c r="B51" s="145">
        <v>45675</v>
      </c>
      <c r="C51" s="144" t="s">
        <v>229</v>
      </c>
      <c r="D51" s="144" t="s">
        <v>444</v>
      </c>
      <c r="E51" s="141">
        <v>40782127</v>
      </c>
      <c r="F51" s="144" t="s">
        <v>421</v>
      </c>
      <c r="G51" s="144" t="s">
        <v>454</v>
      </c>
      <c r="H51" s="141" t="s">
        <v>42</v>
      </c>
      <c r="I51" s="141" t="s">
        <v>74</v>
      </c>
      <c r="J51" s="141" t="s">
        <v>75</v>
      </c>
      <c r="K51" s="146">
        <v>45743</v>
      </c>
      <c r="L51" s="147" t="s">
        <v>447</v>
      </c>
      <c r="M51" s="147" t="s">
        <v>448</v>
      </c>
      <c r="N51" s="157" t="s">
        <v>449</v>
      </c>
      <c r="O51" s="148">
        <v>15</v>
      </c>
      <c r="P51" s="141" t="s">
        <v>22</v>
      </c>
      <c r="Q51" s="141" t="s">
        <v>74</v>
      </c>
      <c r="R51" s="149"/>
      <c r="S51" s="144" t="str">
        <f t="shared" si="15"/>
        <v>006-002-000137366</v>
      </c>
      <c r="T51" s="158" t="s">
        <v>450</v>
      </c>
      <c r="U51" s="150" t="s">
        <v>451</v>
      </c>
    </row>
    <row r="52" spans="1:21" ht="32.25" customHeight="1">
      <c r="A52">
        <v>47</v>
      </c>
      <c r="B52" s="145">
        <v>45801</v>
      </c>
      <c r="C52" s="144" t="s">
        <v>455</v>
      </c>
      <c r="D52" s="144" t="s">
        <v>456</v>
      </c>
      <c r="E52" s="141">
        <v>111010040</v>
      </c>
      <c r="F52" s="144" t="s">
        <v>457</v>
      </c>
      <c r="G52" s="144" t="s">
        <v>458</v>
      </c>
      <c r="H52" s="141" t="s">
        <v>42</v>
      </c>
      <c r="I52" s="141" t="s">
        <v>74</v>
      </c>
      <c r="J52" s="141" t="s">
        <v>75</v>
      </c>
      <c r="K52" s="146">
        <v>45743</v>
      </c>
      <c r="L52" s="147" t="s">
        <v>461</v>
      </c>
      <c r="M52" s="147" t="s">
        <v>462</v>
      </c>
      <c r="N52" s="157" t="s">
        <v>463</v>
      </c>
      <c r="O52" s="148">
        <v>20</v>
      </c>
      <c r="P52" s="141" t="s">
        <v>22</v>
      </c>
      <c r="Q52" s="141" t="s">
        <v>74</v>
      </c>
      <c r="R52" s="149"/>
      <c r="S52" s="144" t="str">
        <f t="shared" si="15"/>
        <v>040-103-00012635</v>
      </c>
      <c r="T52" s="158" t="s">
        <v>464</v>
      </c>
      <c r="U52" s="150" t="s">
        <v>465</v>
      </c>
    </row>
    <row r="53" spans="1:21" ht="32.25" customHeight="1">
      <c r="A53">
        <v>48</v>
      </c>
      <c r="B53" s="145">
        <v>45801</v>
      </c>
      <c r="C53" s="144" t="s">
        <v>455</v>
      </c>
      <c r="D53" s="144" t="s">
        <v>456</v>
      </c>
      <c r="E53" s="141">
        <v>40584202</v>
      </c>
      <c r="F53" s="144" t="s">
        <v>459</v>
      </c>
      <c r="G53" s="144" t="s">
        <v>460</v>
      </c>
      <c r="H53" s="141" t="s">
        <v>42</v>
      </c>
      <c r="I53" s="141" t="s">
        <v>74</v>
      </c>
      <c r="J53" s="141" t="s">
        <v>75</v>
      </c>
      <c r="K53" s="146">
        <v>45743</v>
      </c>
      <c r="L53" s="147" t="s">
        <v>461</v>
      </c>
      <c r="M53" s="147" t="s">
        <v>462</v>
      </c>
      <c r="N53" s="157" t="s">
        <v>463</v>
      </c>
      <c r="O53" s="148">
        <v>20</v>
      </c>
      <c r="P53" s="141" t="s">
        <v>22</v>
      </c>
      <c r="Q53" s="141" t="s">
        <v>74</v>
      </c>
      <c r="R53" s="149"/>
      <c r="S53" s="144" t="str">
        <f t="shared" ref="S53:S54" si="16">D53</f>
        <v>040-103-00012635</v>
      </c>
      <c r="T53" s="158" t="s">
        <v>464</v>
      </c>
      <c r="U53" s="150" t="s">
        <v>465</v>
      </c>
    </row>
    <row r="54" spans="1:21" ht="32.25" customHeight="1">
      <c r="A54">
        <v>49</v>
      </c>
      <c r="B54" s="145">
        <v>45411</v>
      </c>
      <c r="C54" s="144" t="s">
        <v>149</v>
      </c>
      <c r="D54" s="144" t="s">
        <v>466</v>
      </c>
      <c r="E54" s="141">
        <v>112570093</v>
      </c>
      <c r="F54" s="144" t="s">
        <v>452</v>
      </c>
      <c r="G54" s="144" t="s">
        <v>467</v>
      </c>
      <c r="H54" s="141" t="s">
        <v>42</v>
      </c>
      <c r="I54" s="141" t="s">
        <v>74</v>
      </c>
      <c r="J54" s="141" t="s">
        <v>75</v>
      </c>
      <c r="K54" s="146">
        <v>45743</v>
      </c>
      <c r="L54" s="147" t="s">
        <v>472</v>
      </c>
      <c r="M54" s="147" t="s">
        <v>473</v>
      </c>
      <c r="N54" s="157" t="s">
        <v>474</v>
      </c>
      <c r="O54" s="148">
        <v>15</v>
      </c>
      <c r="P54" s="141" t="s">
        <v>22</v>
      </c>
      <c r="Q54" s="141" t="s">
        <v>74</v>
      </c>
      <c r="R54" s="149"/>
      <c r="S54" s="144" t="str">
        <f t="shared" si="16"/>
        <v>001-500-000068461</v>
      </c>
      <c r="T54" s="158" t="s">
        <v>475</v>
      </c>
      <c r="U54" s="150" t="s">
        <v>476</v>
      </c>
    </row>
    <row r="55" spans="1:21" ht="32.25" customHeight="1">
      <c r="A55">
        <v>50</v>
      </c>
      <c r="B55" s="145">
        <v>45411</v>
      </c>
      <c r="C55" s="144" t="s">
        <v>149</v>
      </c>
      <c r="D55" s="144" t="s">
        <v>466</v>
      </c>
      <c r="E55" s="141">
        <v>40467305</v>
      </c>
      <c r="F55" s="144" t="s">
        <v>468</v>
      </c>
      <c r="G55" s="144" t="s">
        <v>469</v>
      </c>
      <c r="H55" s="141" t="s">
        <v>42</v>
      </c>
      <c r="I55" s="141" t="s">
        <v>74</v>
      </c>
      <c r="J55" s="141" t="s">
        <v>75</v>
      </c>
      <c r="K55" s="146">
        <v>45743</v>
      </c>
      <c r="L55" s="147" t="s">
        <v>472</v>
      </c>
      <c r="M55" s="147" t="s">
        <v>473</v>
      </c>
      <c r="N55" s="157" t="s">
        <v>474</v>
      </c>
      <c r="O55" s="148">
        <v>15</v>
      </c>
      <c r="P55" s="141" t="s">
        <v>22</v>
      </c>
      <c r="Q55" s="141" t="s">
        <v>74</v>
      </c>
      <c r="R55" s="149"/>
      <c r="S55" s="144" t="str">
        <f t="shared" ref="S55:S58" si="17">D55</f>
        <v>001-500-000068461</v>
      </c>
      <c r="T55" s="158" t="s">
        <v>475</v>
      </c>
      <c r="U55" s="150" t="s">
        <v>476</v>
      </c>
    </row>
    <row r="56" spans="1:21" ht="32.25" customHeight="1">
      <c r="A56">
        <v>51</v>
      </c>
      <c r="B56" s="145">
        <v>45411</v>
      </c>
      <c r="C56" s="144" t="s">
        <v>149</v>
      </c>
      <c r="D56" s="144" t="s">
        <v>466</v>
      </c>
      <c r="E56" s="141">
        <v>111030002</v>
      </c>
      <c r="F56" s="144" t="s">
        <v>320</v>
      </c>
      <c r="G56" s="144" t="s">
        <v>470</v>
      </c>
      <c r="H56" s="141" t="s">
        <v>42</v>
      </c>
      <c r="I56" s="141" t="s">
        <v>74</v>
      </c>
      <c r="J56" s="141" t="s">
        <v>75</v>
      </c>
      <c r="K56" s="146">
        <v>45743</v>
      </c>
      <c r="L56" s="147" t="s">
        <v>472</v>
      </c>
      <c r="M56" s="147" t="s">
        <v>473</v>
      </c>
      <c r="N56" s="157" t="s">
        <v>474</v>
      </c>
      <c r="O56" s="148">
        <v>15</v>
      </c>
      <c r="P56" s="141" t="s">
        <v>22</v>
      </c>
      <c r="Q56" s="141" t="s">
        <v>74</v>
      </c>
      <c r="R56" s="149"/>
      <c r="S56" s="144" t="str">
        <f t="shared" si="17"/>
        <v>001-500-000068461</v>
      </c>
      <c r="T56" s="158" t="s">
        <v>475</v>
      </c>
      <c r="U56" s="150" t="s">
        <v>476</v>
      </c>
    </row>
    <row r="57" spans="1:21" ht="32.25" customHeight="1">
      <c r="A57">
        <v>52</v>
      </c>
      <c r="B57" s="145">
        <v>45411</v>
      </c>
      <c r="C57" s="144" t="s">
        <v>149</v>
      </c>
      <c r="D57" s="144" t="s">
        <v>466</v>
      </c>
      <c r="E57" s="141">
        <v>4058465</v>
      </c>
      <c r="F57" s="144" t="s">
        <v>479</v>
      </c>
      <c r="G57" s="144" t="s">
        <v>471</v>
      </c>
      <c r="H57" s="141" t="s">
        <v>42</v>
      </c>
      <c r="I57" s="141" t="s">
        <v>74</v>
      </c>
      <c r="J57" s="141" t="s">
        <v>75</v>
      </c>
      <c r="K57" s="146">
        <v>45743</v>
      </c>
      <c r="L57" s="147" t="s">
        <v>472</v>
      </c>
      <c r="M57" s="147" t="s">
        <v>473</v>
      </c>
      <c r="N57" s="157" t="s">
        <v>474</v>
      </c>
      <c r="O57" s="148">
        <v>15</v>
      </c>
      <c r="P57" s="141" t="s">
        <v>22</v>
      </c>
      <c r="Q57" s="141" t="s">
        <v>74</v>
      </c>
      <c r="R57" s="149"/>
      <c r="S57" s="144" t="str">
        <f t="shared" si="17"/>
        <v>001-500-000068461</v>
      </c>
      <c r="T57" s="158" t="s">
        <v>475</v>
      </c>
      <c r="U57" s="150" t="s">
        <v>476</v>
      </c>
    </row>
    <row r="58" spans="1:21" ht="32.25" customHeight="1">
      <c r="A58">
        <v>53</v>
      </c>
      <c r="B58" s="145">
        <v>45457</v>
      </c>
      <c r="C58" s="144" t="s">
        <v>477</v>
      </c>
      <c r="D58" s="144" t="s">
        <v>478</v>
      </c>
      <c r="E58" s="141">
        <v>112570073</v>
      </c>
      <c r="F58" s="144" t="s">
        <v>239</v>
      </c>
      <c r="G58" s="144" t="s">
        <v>481</v>
      </c>
      <c r="H58" s="141" t="s">
        <v>42</v>
      </c>
      <c r="I58" s="141" t="s">
        <v>74</v>
      </c>
      <c r="J58" s="141" t="s">
        <v>75</v>
      </c>
      <c r="K58" s="146">
        <v>45744</v>
      </c>
      <c r="L58" s="147" t="s">
        <v>483</v>
      </c>
      <c r="M58" s="147" t="s">
        <v>484</v>
      </c>
      <c r="N58" s="157" t="s">
        <v>485</v>
      </c>
      <c r="O58" s="148">
        <v>15</v>
      </c>
      <c r="P58" s="141" t="s">
        <v>22</v>
      </c>
      <c r="Q58" s="141" t="s">
        <v>74</v>
      </c>
      <c r="R58" s="149"/>
      <c r="S58" s="144" t="str">
        <f t="shared" si="17"/>
        <v>040-103-000005832</v>
      </c>
      <c r="T58" s="158" t="s">
        <v>486</v>
      </c>
      <c r="U58" s="150" t="s">
        <v>487</v>
      </c>
    </row>
    <row r="59" spans="1:21" ht="32.25" customHeight="1">
      <c r="A59">
        <v>54</v>
      </c>
      <c r="B59" s="145">
        <v>45457</v>
      </c>
      <c r="C59" s="144" t="s">
        <v>477</v>
      </c>
      <c r="D59" s="144" t="s">
        <v>478</v>
      </c>
      <c r="E59" s="141">
        <v>41592227</v>
      </c>
      <c r="F59" s="144" t="s">
        <v>480</v>
      </c>
      <c r="G59" s="144" t="s">
        <v>482</v>
      </c>
      <c r="H59" s="141" t="s">
        <v>42</v>
      </c>
      <c r="I59" s="141" t="s">
        <v>74</v>
      </c>
      <c r="J59" s="141" t="s">
        <v>75</v>
      </c>
      <c r="K59" s="146">
        <v>45744</v>
      </c>
      <c r="L59" s="147" t="s">
        <v>483</v>
      </c>
      <c r="M59" s="147" t="s">
        <v>484</v>
      </c>
      <c r="N59" s="157" t="s">
        <v>485</v>
      </c>
      <c r="O59" s="148">
        <v>15</v>
      </c>
      <c r="P59" s="141" t="s">
        <v>22</v>
      </c>
      <c r="Q59" s="141" t="s">
        <v>74</v>
      </c>
      <c r="R59" s="149"/>
      <c r="S59" s="144" t="str">
        <f t="shared" ref="S59:S61" si="18">D59</f>
        <v>040-103-000005832</v>
      </c>
      <c r="T59" s="158" t="s">
        <v>486</v>
      </c>
      <c r="U59" s="150" t="s">
        <v>487</v>
      </c>
    </row>
    <row r="60" spans="1:21" ht="32.25" customHeight="1">
      <c r="A60">
        <v>55</v>
      </c>
      <c r="B60" s="145">
        <v>45457</v>
      </c>
      <c r="C60" s="144" t="s">
        <v>477</v>
      </c>
      <c r="D60" s="144" t="s">
        <v>478</v>
      </c>
      <c r="E60" s="141">
        <v>40446712</v>
      </c>
      <c r="F60" s="144" t="s">
        <v>496</v>
      </c>
      <c r="G60" s="144" t="s">
        <v>425</v>
      </c>
      <c r="H60" s="141" t="s">
        <v>42</v>
      </c>
      <c r="I60" s="141" t="s">
        <v>74</v>
      </c>
      <c r="J60" s="141" t="s">
        <v>75</v>
      </c>
      <c r="K60" s="146">
        <v>45744</v>
      </c>
      <c r="L60" s="147" t="s">
        <v>483</v>
      </c>
      <c r="M60" s="147" t="s">
        <v>484</v>
      </c>
      <c r="N60" s="157" t="s">
        <v>485</v>
      </c>
      <c r="O60" s="148">
        <v>15</v>
      </c>
      <c r="P60" s="141" t="s">
        <v>22</v>
      </c>
      <c r="Q60" s="141" t="s">
        <v>74</v>
      </c>
      <c r="R60" s="149"/>
      <c r="S60" s="144" t="str">
        <f t="shared" si="18"/>
        <v>040-103-000005832</v>
      </c>
      <c r="T60" s="158" t="s">
        <v>486</v>
      </c>
      <c r="U60" s="150" t="s">
        <v>487</v>
      </c>
    </row>
    <row r="61" spans="1:21" ht="31" customHeight="1">
      <c r="A61">
        <v>56</v>
      </c>
      <c r="B61" s="145" t="s">
        <v>488</v>
      </c>
      <c r="C61" s="144" t="s">
        <v>149</v>
      </c>
      <c r="D61" s="144" t="s">
        <v>489</v>
      </c>
      <c r="E61" s="141">
        <v>4156042</v>
      </c>
      <c r="F61" s="144" t="s">
        <v>497</v>
      </c>
      <c r="G61" s="144" t="s">
        <v>490</v>
      </c>
      <c r="H61" s="141" t="s">
        <v>42</v>
      </c>
      <c r="I61" s="141" t="s">
        <v>74</v>
      </c>
      <c r="J61" s="141" t="s">
        <v>75</v>
      </c>
      <c r="K61" s="146">
        <v>45744</v>
      </c>
      <c r="L61" s="147" t="s">
        <v>491</v>
      </c>
      <c r="M61" s="147" t="s">
        <v>492</v>
      </c>
      <c r="N61" s="157" t="s">
        <v>493</v>
      </c>
      <c r="O61" s="148">
        <v>20</v>
      </c>
      <c r="P61" s="141" t="s">
        <v>22</v>
      </c>
      <c r="Q61" s="141" t="s">
        <v>74</v>
      </c>
      <c r="R61" s="149"/>
      <c r="S61" s="144" t="str">
        <f t="shared" si="18"/>
        <v>001-500-000071774</v>
      </c>
      <c r="T61" s="158" t="s">
        <v>494</v>
      </c>
      <c r="U61" s="150" t="s">
        <v>495</v>
      </c>
    </row>
    <row r="62" spans="1:21" ht="31" customHeight="1">
      <c r="A62">
        <v>57</v>
      </c>
      <c r="B62" s="145">
        <v>45736</v>
      </c>
      <c r="C62" s="144" t="s">
        <v>149</v>
      </c>
      <c r="D62" s="144" t="s">
        <v>489</v>
      </c>
      <c r="E62" s="141">
        <v>11520025</v>
      </c>
      <c r="F62" s="144" t="s">
        <v>498</v>
      </c>
      <c r="G62" s="144" t="s">
        <v>499</v>
      </c>
      <c r="H62" s="141" t="s">
        <v>42</v>
      </c>
      <c r="I62" s="141" t="s">
        <v>74</v>
      </c>
      <c r="J62" s="141" t="s">
        <v>75</v>
      </c>
      <c r="K62" s="146">
        <v>45744</v>
      </c>
      <c r="L62" s="147" t="s">
        <v>491</v>
      </c>
      <c r="M62" s="147" t="s">
        <v>492</v>
      </c>
      <c r="N62" s="157" t="s">
        <v>493</v>
      </c>
      <c r="O62" s="148">
        <v>20</v>
      </c>
      <c r="P62" s="141" t="s">
        <v>22</v>
      </c>
      <c r="Q62" s="141" t="s">
        <v>74</v>
      </c>
      <c r="R62" s="149"/>
      <c r="S62" s="144" t="str">
        <f t="shared" ref="S62:S63" si="19">D62</f>
        <v>001-500-000071774</v>
      </c>
      <c r="T62" s="158" t="s">
        <v>494</v>
      </c>
      <c r="U62" s="150" t="s">
        <v>495</v>
      </c>
    </row>
    <row r="63" spans="1:21" ht="31" customHeight="1">
      <c r="A63">
        <v>58</v>
      </c>
      <c r="B63" s="145">
        <v>45737</v>
      </c>
      <c r="C63" s="144" t="s">
        <v>273</v>
      </c>
      <c r="D63" s="144" t="s">
        <v>541</v>
      </c>
      <c r="E63" s="141">
        <v>41596006</v>
      </c>
      <c r="F63" s="144" t="s">
        <v>274</v>
      </c>
      <c r="G63" s="144" t="s">
        <v>275</v>
      </c>
      <c r="H63" s="141" t="s">
        <v>42</v>
      </c>
      <c r="I63" s="141" t="s">
        <v>74</v>
      </c>
      <c r="J63" s="141" t="s">
        <v>75</v>
      </c>
      <c r="K63" s="146">
        <v>45744</v>
      </c>
      <c r="L63" s="147" t="s">
        <v>537</v>
      </c>
      <c r="M63" s="147" t="s">
        <v>276</v>
      </c>
      <c r="N63" s="157" t="s">
        <v>277</v>
      </c>
      <c r="O63" s="148">
        <v>20</v>
      </c>
      <c r="P63" s="141" t="s">
        <v>22</v>
      </c>
      <c r="Q63" s="141" t="s">
        <v>74</v>
      </c>
      <c r="R63" s="149"/>
      <c r="S63" s="144" t="str">
        <f t="shared" si="19"/>
        <v>001-001-000001112</v>
      </c>
      <c r="T63" s="158" t="s">
        <v>278</v>
      </c>
      <c r="U63" s="150" t="s">
        <v>279</v>
      </c>
    </row>
    <row r="64" spans="1:21" ht="31" customHeight="1">
      <c r="A64">
        <v>59</v>
      </c>
      <c r="B64" s="145">
        <v>45737</v>
      </c>
      <c r="C64" s="144" t="s">
        <v>273</v>
      </c>
      <c r="D64" s="144" t="s">
        <v>541</v>
      </c>
      <c r="E64" s="141">
        <v>41596006</v>
      </c>
      <c r="F64" s="144" t="s">
        <v>274</v>
      </c>
      <c r="G64" s="246" t="s">
        <v>971</v>
      </c>
      <c r="H64" s="141" t="s">
        <v>42</v>
      </c>
      <c r="I64" s="141" t="s">
        <v>74</v>
      </c>
      <c r="J64" s="141" t="s">
        <v>75</v>
      </c>
      <c r="K64" s="146">
        <v>45744</v>
      </c>
      <c r="L64" s="147" t="s">
        <v>537</v>
      </c>
      <c r="M64" s="147" t="s">
        <v>276</v>
      </c>
      <c r="N64" s="157" t="s">
        <v>277</v>
      </c>
      <c r="O64" s="148">
        <v>20</v>
      </c>
      <c r="P64" s="141" t="s">
        <v>22</v>
      </c>
      <c r="Q64" s="141" t="s">
        <v>74</v>
      </c>
      <c r="R64" s="149"/>
      <c r="S64" s="144" t="str">
        <f t="shared" ref="S64:S67" si="20">D64</f>
        <v>001-001-000001112</v>
      </c>
      <c r="T64" s="158" t="s">
        <v>278</v>
      </c>
      <c r="U64" s="150" t="s">
        <v>279</v>
      </c>
    </row>
    <row r="65" spans="1:21" ht="31" customHeight="1">
      <c r="A65">
        <v>60</v>
      </c>
      <c r="B65" s="145">
        <v>45733</v>
      </c>
      <c r="C65" s="144" t="s">
        <v>149</v>
      </c>
      <c r="D65" s="144" t="s">
        <v>542</v>
      </c>
      <c r="E65" s="141">
        <v>112580058</v>
      </c>
      <c r="F65" s="144" t="s">
        <v>131</v>
      </c>
      <c r="G65" s="144" t="s">
        <v>544</v>
      </c>
      <c r="H65" s="141" t="s">
        <v>42</v>
      </c>
      <c r="I65" s="141" t="s">
        <v>74</v>
      </c>
      <c r="J65" s="141" t="s">
        <v>75</v>
      </c>
      <c r="K65" s="146">
        <v>45747</v>
      </c>
      <c r="L65" s="147" t="s">
        <v>546</v>
      </c>
      <c r="M65" s="147" t="s">
        <v>547</v>
      </c>
      <c r="N65" s="157" t="s">
        <v>548</v>
      </c>
      <c r="O65" s="148">
        <v>20</v>
      </c>
      <c r="P65" s="141" t="s">
        <v>22</v>
      </c>
      <c r="Q65" s="141" t="s">
        <v>74</v>
      </c>
      <c r="R65" s="149"/>
      <c r="S65" s="144" t="str">
        <f t="shared" si="20"/>
        <v>001-500-000071682</v>
      </c>
      <c r="T65" s="158" t="s">
        <v>548</v>
      </c>
      <c r="U65" s="150" t="s">
        <v>549</v>
      </c>
    </row>
    <row r="66" spans="1:21" ht="31" customHeight="1">
      <c r="A66">
        <v>61</v>
      </c>
      <c r="B66" s="145">
        <v>45733</v>
      </c>
      <c r="C66" s="144" t="s">
        <v>149</v>
      </c>
      <c r="D66" s="144" t="s">
        <v>543</v>
      </c>
      <c r="E66" s="141">
        <v>111010040</v>
      </c>
      <c r="F66" s="144" t="s">
        <v>457</v>
      </c>
      <c r="G66" s="144" t="s">
        <v>545</v>
      </c>
      <c r="H66" s="141" t="s">
        <v>42</v>
      </c>
      <c r="I66" s="141" t="s">
        <v>74</v>
      </c>
      <c r="J66" s="141" t="s">
        <v>75</v>
      </c>
      <c r="K66" s="146">
        <v>45747</v>
      </c>
      <c r="L66" s="147" t="s">
        <v>546</v>
      </c>
      <c r="M66" s="147" t="s">
        <v>547</v>
      </c>
      <c r="N66" s="157" t="s">
        <v>548</v>
      </c>
      <c r="O66" s="148">
        <v>20</v>
      </c>
      <c r="P66" s="141" t="s">
        <v>22</v>
      </c>
      <c r="Q66" s="141" t="s">
        <v>74</v>
      </c>
      <c r="R66" s="149"/>
      <c r="S66" s="144" t="str">
        <f t="shared" si="20"/>
        <v>001-500-000071888</v>
      </c>
      <c r="T66" s="158" t="s">
        <v>548</v>
      </c>
      <c r="U66" s="150" t="s">
        <v>549</v>
      </c>
    </row>
    <row r="67" spans="1:21" ht="31" customHeight="1">
      <c r="A67">
        <v>62</v>
      </c>
      <c r="B67" s="145">
        <v>45703</v>
      </c>
      <c r="C67" s="144" t="s">
        <v>149</v>
      </c>
      <c r="D67" s="144" t="s">
        <v>550</v>
      </c>
      <c r="E67" s="141">
        <v>40467305</v>
      </c>
      <c r="F67" s="144" t="s">
        <v>468</v>
      </c>
      <c r="G67" s="144" t="s">
        <v>551</v>
      </c>
      <c r="H67" s="141" t="s">
        <v>42</v>
      </c>
      <c r="I67" s="141" t="s">
        <v>74</v>
      </c>
      <c r="J67" s="141" t="s">
        <v>75</v>
      </c>
      <c r="K67" s="146">
        <v>45747</v>
      </c>
      <c r="L67" s="147" t="s">
        <v>553</v>
      </c>
      <c r="M67" s="147" t="s">
        <v>370</v>
      </c>
      <c r="N67" s="157" t="s">
        <v>554</v>
      </c>
      <c r="O67" s="148">
        <v>20</v>
      </c>
      <c r="P67" s="141" t="s">
        <v>22</v>
      </c>
      <c r="Q67" s="141" t="s">
        <v>74</v>
      </c>
      <c r="R67" s="149"/>
      <c r="S67" s="144" t="str">
        <f t="shared" si="20"/>
        <v>001-500-000070972</v>
      </c>
      <c r="T67" s="158" t="s">
        <v>554</v>
      </c>
      <c r="U67" s="150" t="s">
        <v>555</v>
      </c>
    </row>
    <row r="68" spans="1:21" ht="31" customHeight="1">
      <c r="A68">
        <v>63</v>
      </c>
      <c r="B68" s="145">
        <v>45703</v>
      </c>
      <c r="C68" s="144" t="s">
        <v>149</v>
      </c>
      <c r="D68" s="144" t="s">
        <v>550</v>
      </c>
      <c r="E68" s="141">
        <v>112580027</v>
      </c>
      <c r="F68" s="144" t="s">
        <v>319</v>
      </c>
      <c r="G68" s="144" t="s">
        <v>552</v>
      </c>
      <c r="H68" s="141" t="s">
        <v>42</v>
      </c>
      <c r="I68" s="141" t="s">
        <v>74</v>
      </c>
      <c r="J68" s="141" t="s">
        <v>75</v>
      </c>
      <c r="K68" s="146">
        <v>45747</v>
      </c>
      <c r="L68" s="147" t="s">
        <v>553</v>
      </c>
      <c r="M68" s="147" t="s">
        <v>370</v>
      </c>
      <c r="N68" s="157" t="s">
        <v>554</v>
      </c>
      <c r="O68" s="148">
        <v>20</v>
      </c>
      <c r="P68" s="141" t="s">
        <v>22</v>
      </c>
      <c r="Q68" s="141" t="s">
        <v>74</v>
      </c>
      <c r="R68" s="149"/>
      <c r="S68" s="144" t="str">
        <f t="shared" ref="S68:S69" si="21">D68</f>
        <v>001-500-000070972</v>
      </c>
      <c r="T68" s="158" t="s">
        <v>554</v>
      </c>
      <c r="U68" s="150" t="s">
        <v>555</v>
      </c>
    </row>
    <row r="69" spans="1:21" ht="31" customHeight="1">
      <c r="A69">
        <v>64</v>
      </c>
      <c r="B69" s="145">
        <v>45503</v>
      </c>
      <c r="C69" s="144" t="s">
        <v>149</v>
      </c>
      <c r="D69" s="144" t="s">
        <v>556</v>
      </c>
      <c r="E69" s="141">
        <v>112730000</v>
      </c>
      <c r="F69" s="144" t="s">
        <v>557</v>
      </c>
      <c r="G69" s="144" t="s">
        <v>558</v>
      </c>
      <c r="H69" s="141" t="s">
        <v>42</v>
      </c>
      <c r="I69" s="141" t="s">
        <v>74</v>
      </c>
      <c r="J69" s="141" t="s">
        <v>75</v>
      </c>
      <c r="K69" s="146">
        <v>45748</v>
      </c>
      <c r="L69" s="147" t="s">
        <v>564</v>
      </c>
      <c r="M69" s="147" t="s">
        <v>565</v>
      </c>
      <c r="N69" s="157" t="s">
        <v>566</v>
      </c>
      <c r="O69" s="148">
        <v>15</v>
      </c>
      <c r="P69" s="141" t="s">
        <v>22</v>
      </c>
      <c r="Q69" s="141" t="s">
        <v>74</v>
      </c>
      <c r="R69" s="149"/>
      <c r="S69" s="144" t="str">
        <f t="shared" si="21"/>
        <v>001-500-000065138</v>
      </c>
      <c r="T69" s="158" t="s">
        <v>567</v>
      </c>
      <c r="U69" s="150" t="s">
        <v>568</v>
      </c>
    </row>
    <row r="70" spans="1:21" ht="31" customHeight="1">
      <c r="A70">
        <v>65</v>
      </c>
      <c r="B70" s="145">
        <v>45503</v>
      </c>
      <c r="C70" s="144" t="s">
        <v>149</v>
      </c>
      <c r="D70" s="144" t="s">
        <v>556</v>
      </c>
      <c r="E70" s="141">
        <v>41560074</v>
      </c>
      <c r="F70" s="144" t="s">
        <v>559</v>
      </c>
      <c r="G70" s="144" t="s">
        <v>561</v>
      </c>
      <c r="H70" s="141" t="s">
        <v>42</v>
      </c>
      <c r="I70" s="141" t="s">
        <v>74</v>
      </c>
      <c r="J70" s="141" t="s">
        <v>75</v>
      </c>
      <c r="K70" s="146">
        <v>45748</v>
      </c>
      <c r="L70" s="147" t="s">
        <v>564</v>
      </c>
      <c r="M70" s="147" t="s">
        <v>565</v>
      </c>
      <c r="N70" s="157" t="s">
        <v>566</v>
      </c>
      <c r="O70" s="148">
        <v>15</v>
      </c>
      <c r="P70" s="141" t="s">
        <v>22</v>
      </c>
      <c r="Q70" s="141" t="s">
        <v>74</v>
      </c>
      <c r="R70" s="149"/>
      <c r="S70" s="144" t="str">
        <f t="shared" ref="S70:S73" si="22">D70</f>
        <v>001-500-000065138</v>
      </c>
      <c r="T70" s="158" t="s">
        <v>567</v>
      </c>
      <c r="U70" s="150" t="s">
        <v>568</v>
      </c>
    </row>
    <row r="71" spans="1:21" ht="31" customHeight="1">
      <c r="A71">
        <v>66</v>
      </c>
      <c r="B71" s="145">
        <v>45503</v>
      </c>
      <c r="C71" s="144" t="s">
        <v>149</v>
      </c>
      <c r="D71" s="144" t="s">
        <v>556</v>
      </c>
      <c r="E71" s="141">
        <v>142030019</v>
      </c>
      <c r="F71" s="144" t="s">
        <v>560</v>
      </c>
      <c r="G71" s="144" t="s">
        <v>562</v>
      </c>
      <c r="H71" s="141" t="s">
        <v>42</v>
      </c>
      <c r="I71" s="141" t="s">
        <v>74</v>
      </c>
      <c r="J71" s="141" t="s">
        <v>75</v>
      </c>
      <c r="K71" s="146">
        <v>45748</v>
      </c>
      <c r="L71" s="147" t="s">
        <v>564</v>
      </c>
      <c r="M71" s="147" t="s">
        <v>565</v>
      </c>
      <c r="N71" s="157" t="s">
        <v>566</v>
      </c>
      <c r="O71" s="148">
        <v>15</v>
      </c>
      <c r="P71" s="141" t="s">
        <v>22</v>
      </c>
      <c r="Q71" s="141" t="s">
        <v>74</v>
      </c>
      <c r="R71" s="149"/>
      <c r="S71" s="144" t="str">
        <f t="shared" si="22"/>
        <v>001-500-000065138</v>
      </c>
      <c r="T71" s="158" t="s">
        <v>567</v>
      </c>
      <c r="U71" s="150" t="s">
        <v>568</v>
      </c>
    </row>
    <row r="72" spans="1:21" ht="31" customHeight="1">
      <c r="A72">
        <v>67</v>
      </c>
      <c r="B72" s="145">
        <v>45503</v>
      </c>
      <c r="C72" s="144" t="s">
        <v>149</v>
      </c>
      <c r="D72" s="144" t="s">
        <v>556</v>
      </c>
      <c r="E72" s="266">
        <v>113610005</v>
      </c>
      <c r="F72" s="267" t="s">
        <v>392</v>
      </c>
      <c r="G72" s="267" t="s">
        <v>563</v>
      </c>
      <c r="H72" s="141" t="s">
        <v>42</v>
      </c>
      <c r="I72" s="141" t="s">
        <v>74</v>
      </c>
      <c r="J72" s="141" t="s">
        <v>75</v>
      </c>
      <c r="K72" s="146">
        <v>45748</v>
      </c>
      <c r="L72" s="147" t="s">
        <v>564</v>
      </c>
      <c r="M72" s="147" t="s">
        <v>565</v>
      </c>
      <c r="N72" s="157" t="s">
        <v>566</v>
      </c>
      <c r="O72" s="148">
        <v>15</v>
      </c>
      <c r="P72" s="141" t="s">
        <v>22</v>
      </c>
      <c r="Q72" s="141" t="s">
        <v>74</v>
      </c>
      <c r="R72" s="149"/>
      <c r="S72" s="144" t="str">
        <f t="shared" si="22"/>
        <v>001-500-000065138</v>
      </c>
      <c r="T72" s="158" t="s">
        <v>567</v>
      </c>
      <c r="U72" s="150" t="s">
        <v>568</v>
      </c>
    </row>
    <row r="73" spans="1:21" ht="31" customHeight="1">
      <c r="A73">
        <v>68</v>
      </c>
      <c r="B73" s="145">
        <v>45743</v>
      </c>
      <c r="C73" s="144" t="s">
        <v>149</v>
      </c>
      <c r="D73" s="144" t="s">
        <v>569</v>
      </c>
      <c r="E73" s="141">
        <v>40782127</v>
      </c>
      <c r="F73" s="144" t="s">
        <v>421</v>
      </c>
      <c r="G73" s="144" t="s">
        <v>570</v>
      </c>
      <c r="H73" s="141" t="s">
        <v>42</v>
      </c>
      <c r="I73" s="141" t="s">
        <v>74</v>
      </c>
      <c r="J73" s="141" t="s">
        <v>75</v>
      </c>
      <c r="K73" s="146">
        <v>45748</v>
      </c>
      <c r="L73" s="147" t="s">
        <v>572</v>
      </c>
      <c r="M73" s="147" t="s">
        <v>573</v>
      </c>
      <c r="N73" s="157" t="s">
        <v>574</v>
      </c>
      <c r="O73" s="148">
        <v>20</v>
      </c>
      <c r="P73" s="141" t="s">
        <v>22</v>
      </c>
      <c r="Q73" s="141" t="s">
        <v>74</v>
      </c>
      <c r="R73" s="149"/>
      <c r="S73" s="144" t="str">
        <f t="shared" si="22"/>
        <v>001-500-000071940</v>
      </c>
      <c r="T73" s="158" t="s">
        <v>575</v>
      </c>
      <c r="U73" s="150" t="s">
        <v>576</v>
      </c>
    </row>
    <row r="74" spans="1:21" ht="31" customHeight="1">
      <c r="A74">
        <v>69</v>
      </c>
      <c r="B74" s="145">
        <v>45743</v>
      </c>
      <c r="C74" s="144" t="s">
        <v>149</v>
      </c>
      <c r="D74" s="144" t="s">
        <v>569</v>
      </c>
      <c r="E74" s="141">
        <v>41560041</v>
      </c>
      <c r="F74" s="144" t="s">
        <v>204</v>
      </c>
      <c r="G74" s="144" t="s">
        <v>571</v>
      </c>
      <c r="H74" s="141" t="s">
        <v>42</v>
      </c>
      <c r="I74" s="141" t="s">
        <v>74</v>
      </c>
      <c r="J74" s="141" t="s">
        <v>75</v>
      </c>
      <c r="K74" s="146">
        <v>45748</v>
      </c>
      <c r="L74" s="147" t="s">
        <v>572</v>
      </c>
      <c r="M74" s="147" t="s">
        <v>573</v>
      </c>
      <c r="N74" s="157" t="s">
        <v>574</v>
      </c>
      <c r="O74" s="148">
        <v>20</v>
      </c>
      <c r="P74" s="141" t="s">
        <v>22</v>
      </c>
      <c r="Q74" s="141" t="s">
        <v>74</v>
      </c>
      <c r="R74" s="149"/>
      <c r="S74" s="144" t="str">
        <f t="shared" ref="S74:S75" si="23">D74</f>
        <v>001-500-000071940</v>
      </c>
      <c r="T74" s="158" t="s">
        <v>575</v>
      </c>
      <c r="U74" s="150" t="s">
        <v>576</v>
      </c>
    </row>
    <row r="75" spans="1:21" ht="31" customHeight="1">
      <c r="A75">
        <v>70</v>
      </c>
      <c r="B75" s="145">
        <v>45722</v>
      </c>
      <c r="C75" s="144" t="s">
        <v>317</v>
      </c>
      <c r="D75" s="144" t="s">
        <v>577</v>
      </c>
      <c r="E75" s="141">
        <v>111910000</v>
      </c>
      <c r="F75" s="144" t="s">
        <v>349</v>
      </c>
      <c r="G75" s="147">
        <v>111910000000090</v>
      </c>
      <c r="H75" s="141" t="s">
        <v>42</v>
      </c>
      <c r="I75" s="141" t="s">
        <v>74</v>
      </c>
      <c r="J75" s="141" t="s">
        <v>75</v>
      </c>
      <c r="K75" s="146">
        <v>45750</v>
      </c>
      <c r="L75" s="147" t="s">
        <v>578</v>
      </c>
      <c r="M75" s="147" t="s">
        <v>579</v>
      </c>
      <c r="N75" s="157" t="s">
        <v>580</v>
      </c>
      <c r="O75" s="148">
        <v>20</v>
      </c>
      <c r="P75" s="141" t="s">
        <v>22</v>
      </c>
      <c r="Q75" s="141" t="s">
        <v>74</v>
      </c>
      <c r="R75" s="149"/>
      <c r="S75" s="144" t="str">
        <f t="shared" si="23"/>
        <v>002-201-00006242</v>
      </c>
      <c r="T75" s="158" t="s">
        <v>581</v>
      </c>
      <c r="U75" s="150" t="s">
        <v>582</v>
      </c>
    </row>
    <row r="76" spans="1:21" ht="31" customHeight="1">
      <c r="A76">
        <v>71</v>
      </c>
      <c r="B76" s="145">
        <v>45722</v>
      </c>
      <c r="C76" s="144" t="s">
        <v>317</v>
      </c>
      <c r="D76" s="144" t="s">
        <v>577</v>
      </c>
      <c r="E76" s="141">
        <v>112580027</v>
      </c>
      <c r="F76" s="144" t="s">
        <v>319</v>
      </c>
      <c r="G76" s="147" t="s">
        <v>583</v>
      </c>
      <c r="H76" s="141" t="s">
        <v>42</v>
      </c>
      <c r="I76" s="141" t="s">
        <v>74</v>
      </c>
      <c r="J76" s="141" t="s">
        <v>75</v>
      </c>
      <c r="K76" s="146">
        <v>45750</v>
      </c>
      <c r="L76" s="147" t="s">
        <v>578</v>
      </c>
      <c r="M76" s="147" t="s">
        <v>579</v>
      </c>
      <c r="N76" s="157" t="s">
        <v>580</v>
      </c>
      <c r="O76" s="148">
        <v>20</v>
      </c>
      <c r="P76" s="141" t="s">
        <v>22</v>
      </c>
      <c r="Q76" s="141" t="s">
        <v>74</v>
      </c>
      <c r="R76" s="149"/>
      <c r="S76" s="144" t="str">
        <f t="shared" ref="S76:S77" si="24">D76</f>
        <v>002-201-00006242</v>
      </c>
      <c r="T76" s="158" t="s">
        <v>581</v>
      </c>
      <c r="U76" s="150" t="s">
        <v>582</v>
      </c>
    </row>
    <row r="77" spans="1:21" ht="31" customHeight="1">
      <c r="A77">
        <v>72</v>
      </c>
      <c r="B77" s="145">
        <v>45704</v>
      </c>
      <c r="C77" s="144" t="s">
        <v>113</v>
      </c>
      <c r="D77" s="144" t="s">
        <v>584</v>
      </c>
      <c r="E77" s="141">
        <v>40466111</v>
      </c>
      <c r="F77" s="144" t="s">
        <v>585</v>
      </c>
      <c r="G77" s="144" t="s">
        <v>586</v>
      </c>
      <c r="H77" s="141" t="s">
        <v>42</v>
      </c>
      <c r="I77" s="141" t="s">
        <v>74</v>
      </c>
      <c r="J77" s="141" t="s">
        <v>75</v>
      </c>
      <c r="K77" s="146">
        <v>45750</v>
      </c>
      <c r="L77" s="147" t="s">
        <v>588</v>
      </c>
      <c r="M77" s="147" t="s">
        <v>363</v>
      </c>
      <c r="N77" s="157" t="s">
        <v>589</v>
      </c>
      <c r="O77" s="148">
        <v>20</v>
      </c>
      <c r="P77" s="141" t="s">
        <v>22</v>
      </c>
      <c r="Q77" s="141" t="s">
        <v>74</v>
      </c>
      <c r="R77" s="149"/>
      <c r="S77" s="144" t="str">
        <f t="shared" si="24"/>
        <v>016-907-000239435</v>
      </c>
      <c r="T77" s="158" t="s">
        <v>590</v>
      </c>
      <c r="U77" s="150" t="s">
        <v>591</v>
      </c>
    </row>
    <row r="78" spans="1:21" ht="31" customHeight="1">
      <c r="A78">
        <v>73</v>
      </c>
      <c r="B78" s="145">
        <v>45704</v>
      </c>
      <c r="C78" s="144" t="s">
        <v>113</v>
      </c>
      <c r="D78" s="144" t="s">
        <v>584</v>
      </c>
      <c r="E78" s="141">
        <v>112580027</v>
      </c>
      <c r="F78" s="144" t="s">
        <v>319</v>
      </c>
      <c r="G78" s="144" t="s">
        <v>587</v>
      </c>
      <c r="H78" s="141" t="s">
        <v>42</v>
      </c>
      <c r="I78" s="141" t="s">
        <v>74</v>
      </c>
      <c r="J78" s="141" t="s">
        <v>75</v>
      </c>
      <c r="K78" s="146">
        <v>45750</v>
      </c>
      <c r="L78" s="147" t="s">
        <v>588</v>
      </c>
      <c r="M78" s="147" t="s">
        <v>363</v>
      </c>
      <c r="N78" s="157" t="s">
        <v>589</v>
      </c>
      <c r="O78" s="148">
        <v>20</v>
      </c>
      <c r="P78" s="141" t="s">
        <v>22</v>
      </c>
      <c r="Q78" s="141" t="s">
        <v>74</v>
      </c>
      <c r="R78" s="149"/>
      <c r="S78" s="144" t="str">
        <f t="shared" ref="S78:S79" si="25">D78</f>
        <v>016-907-000239435</v>
      </c>
      <c r="T78" s="158" t="s">
        <v>590</v>
      </c>
      <c r="U78" s="150" t="s">
        <v>591</v>
      </c>
    </row>
    <row r="79" spans="1:21" ht="31" customHeight="1">
      <c r="A79">
        <v>74</v>
      </c>
      <c r="B79" s="145">
        <v>46020</v>
      </c>
      <c r="C79" s="144" t="s">
        <v>201</v>
      </c>
      <c r="D79" s="144" t="s">
        <v>592</v>
      </c>
      <c r="E79" s="141">
        <v>112030019</v>
      </c>
      <c r="F79" s="144" t="s">
        <v>593</v>
      </c>
      <c r="G79" s="144" t="s">
        <v>595</v>
      </c>
      <c r="H79" s="141" t="s">
        <v>42</v>
      </c>
      <c r="I79" s="141" t="s">
        <v>74</v>
      </c>
      <c r="J79" s="141" t="s">
        <v>75</v>
      </c>
      <c r="K79" s="146">
        <v>45751</v>
      </c>
      <c r="L79" s="147" t="s">
        <v>597</v>
      </c>
      <c r="M79" s="147" t="s">
        <v>598</v>
      </c>
      <c r="N79" s="157" t="s">
        <v>599</v>
      </c>
      <c r="O79" s="148">
        <v>20</v>
      </c>
      <c r="P79" s="141" t="s">
        <v>22</v>
      </c>
      <c r="Q79" s="141" t="s">
        <v>74</v>
      </c>
      <c r="R79" s="149"/>
      <c r="S79" s="144" t="str">
        <f t="shared" si="25"/>
        <v>001-001-000000463</v>
      </c>
      <c r="T79" s="158" t="s">
        <v>600</v>
      </c>
      <c r="U79" s="150" t="s">
        <v>601</v>
      </c>
    </row>
    <row r="80" spans="1:21" ht="31" customHeight="1">
      <c r="A80">
        <v>75</v>
      </c>
      <c r="B80" s="145">
        <v>46020</v>
      </c>
      <c r="C80" s="144" t="s">
        <v>201</v>
      </c>
      <c r="D80" s="144" t="s">
        <v>592</v>
      </c>
      <c r="E80" s="141">
        <v>113600016</v>
      </c>
      <c r="F80" s="144" t="s">
        <v>594</v>
      </c>
      <c r="G80" s="144" t="s">
        <v>596</v>
      </c>
      <c r="H80" s="141" t="s">
        <v>42</v>
      </c>
      <c r="I80" s="141" t="s">
        <v>74</v>
      </c>
      <c r="J80" s="141" t="s">
        <v>75</v>
      </c>
      <c r="K80" s="146">
        <v>45751</v>
      </c>
      <c r="L80" s="147" t="s">
        <v>597</v>
      </c>
      <c r="M80" s="147" t="s">
        <v>598</v>
      </c>
      <c r="N80" s="157" t="s">
        <v>599</v>
      </c>
      <c r="O80" s="148">
        <v>20</v>
      </c>
      <c r="P80" s="141" t="s">
        <v>22</v>
      </c>
      <c r="Q80" s="141" t="s">
        <v>74</v>
      </c>
      <c r="R80" s="149"/>
      <c r="S80" s="144" t="str">
        <f t="shared" ref="S80:S83" si="26">D80</f>
        <v>001-001-000000463</v>
      </c>
      <c r="T80" s="158" t="s">
        <v>600</v>
      </c>
      <c r="U80" s="150" t="s">
        <v>601</v>
      </c>
    </row>
    <row r="81" spans="1:21" ht="31" customHeight="1">
      <c r="A81">
        <v>76</v>
      </c>
      <c r="B81" s="145">
        <v>45730</v>
      </c>
      <c r="C81" s="144" t="s">
        <v>113</v>
      </c>
      <c r="D81" s="144" t="s">
        <v>687</v>
      </c>
      <c r="E81" s="141">
        <v>40460111</v>
      </c>
      <c r="F81" s="144" t="s">
        <v>585</v>
      </c>
      <c r="G81" s="147" t="s">
        <v>694</v>
      </c>
      <c r="H81" s="141" t="s">
        <v>42</v>
      </c>
      <c r="I81" s="141" t="s">
        <v>74</v>
      </c>
      <c r="J81" s="141" t="s">
        <v>75</v>
      </c>
      <c r="K81" s="146">
        <v>45754</v>
      </c>
      <c r="L81" s="147" t="s">
        <v>689</v>
      </c>
      <c r="M81" s="147" t="s">
        <v>690</v>
      </c>
      <c r="N81" s="157" t="s">
        <v>691</v>
      </c>
      <c r="O81" s="148">
        <v>20</v>
      </c>
      <c r="P81" s="141" t="s">
        <v>22</v>
      </c>
      <c r="Q81" s="141" t="s">
        <v>74</v>
      </c>
      <c r="R81" s="149"/>
      <c r="S81" s="144" t="str">
        <f t="shared" si="26"/>
        <v>043-905-000063995</v>
      </c>
      <c r="T81" s="158" t="s">
        <v>692</v>
      </c>
      <c r="U81" s="150" t="s">
        <v>693</v>
      </c>
    </row>
    <row r="82" spans="1:21" ht="31" customHeight="1">
      <c r="A82">
        <v>77</v>
      </c>
      <c r="B82" s="145">
        <v>45730</v>
      </c>
      <c r="C82" s="144" t="s">
        <v>113</v>
      </c>
      <c r="D82" s="144" t="s">
        <v>687</v>
      </c>
      <c r="E82" s="141">
        <v>112580017</v>
      </c>
      <c r="F82" s="144" t="s">
        <v>688</v>
      </c>
      <c r="G82" s="147" t="s">
        <v>695</v>
      </c>
      <c r="H82" s="141" t="s">
        <v>42</v>
      </c>
      <c r="I82" s="141" t="s">
        <v>74</v>
      </c>
      <c r="J82" s="141" t="s">
        <v>75</v>
      </c>
      <c r="K82" s="146">
        <v>45754</v>
      </c>
      <c r="L82" s="147" t="s">
        <v>689</v>
      </c>
      <c r="M82" s="147" t="s">
        <v>690</v>
      </c>
      <c r="N82" s="157" t="s">
        <v>691</v>
      </c>
      <c r="O82" s="148">
        <v>20</v>
      </c>
      <c r="P82" s="141" t="s">
        <v>22</v>
      </c>
      <c r="Q82" s="141" t="s">
        <v>74</v>
      </c>
      <c r="R82" s="149"/>
      <c r="S82" s="144" t="str">
        <f t="shared" ref="S82" si="27">D82</f>
        <v>043-905-000063995</v>
      </c>
      <c r="T82" s="158" t="s">
        <v>692</v>
      </c>
      <c r="U82" s="150" t="s">
        <v>693</v>
      </c>
    </row>
    <row r="83" spans="1:21" ht="31" customHeight="1">
      <c r="A83">
        <v>78</v>
      </c>
      <c r="B83" s="145">
        <v>45731</v>
      </c>
      <c r="C83" s="144" t="s">
        <v>149</v>
      </c>
      <c r="D83" s="144" t="s">
        <v>696</v>
      </c>
      <c r="E83" s="141">
        <v>112580017</v>
      </c>
      <c r="F83" s="144" t="s">
        <v>688</v>
      </c>
      <c r="G83" s="144" t="s">
        <v>699</v>
      </c>
      <c r="H83" s="141" t="s">
        <v>42</v>
      </c>
      <c r="I83" s="141" t="s">
        <v>74</v>
      </c>
      <c r="J83" s="141" t="s">
        <v>75</v>
      </c>
      <c r="K83" s="146">
        <v>45754</v>
      </c>
      <c r="L83" s="147" t="s">
        <v>702</v>
      </c>
      <c r="M83" s="147" t="s">
        <v>703</v>
      </c>
      <c r="N83" s="157" t="s">
        <v>704</v>
      </c>
      <c r="O83" s="148">
        <v>15</v>
      </c>
      <c r="P83" s="141" t="s">
        <v>22</v>
      </c>
      <c r="Q83" s="141" t="s">
        <v>74</v>
      </c>
      <c r="R83" s="149"/>
      <c r="S83" s="144" t="str">
        <f t="shared" si="26"/>
        <v>001-500-000071628</v>
      </c>
      <c r="T83" s="158" t="s">
        <v>705</v>
      </c>
      <c r="U83" s="150" t="s">
        <v>706</v>
      </c>
    </row>
    <row r="84" spans="1:21" ht="31" customHeight="1">
      <c r="A84">
        <v>79</v>
      </c>
      <c r="B84" s="145">
        <v>45731</v>
      </c>
      <c r="C84" s="144" t="s">
        <v>149</v>
      </c>
      <c r="D84" s="144" t="s">
        <v>696</v>
      </c>
      <c r="E84" s="141">
        <v>111010041</v>
      </c>
      <c r="F84" s="144" t="s">
        <v>697</v>
      </c>
      <c r="G84" s="144" t="s">
        <v>700</v>
      </c>
      <c r="H84" s="141" t="s">
        <v>42</v>
      </c>
      <c r="I84" s="141" t="s">
        <v>74</v>
      </c>
      <c r="J84" s="141" t="s">
        <v>75</v>
      </c>
      <c r="K84" s="146">
        <v>45754</v>
      </c>
      <c r="L84" s="147" t="s">
        <v>702</v>
      </c>
      <c r="M84" s="147" t="s">
        <v>703</v>
      </c>
      <c r="N84" s="157" t="s">
        <v>704</v>
      </c>
      <c r="O84" s="148">
        <v>15</v>
      </c>
      <c r="P84" s="141" t="s">
        <v>22</v>
      </c>
      <c r="Q84" s="141" t="s">
        <v>74</v>
      </c>
      <c r="R84" s="149"/>
      <c r="S84" s="144" t="str">
        <f t="shared" ref="S84:S85" si="28">D84</f>
        <v>001-500-000071628</v>
      </c>
      <c r="T84" s="158" t="s">
        <v>705</v>
      </c>
      <c r="U84" s="150" t="s">
        <v>706</v>
      </c>
    </row>
    <row r="85" spans="1:21" ht="31" customHeight="1">
      <c r="A85">
        <v>80</v>
      </c>
      <c r="B85" s="177">
        <v>45731</v>
      </c>
      <c r="C85" s="178" t="s">
        <v>149</v>
      </c>
      <c r="D85" s="178" t="s">
        <v>717</v>
      </c>
      <c r="E85" s="182">
        <v>40590835</v>
      </c>
      <c r="F85" s="178" t="s">
        <v>698</v>
      </c>
      <c r="G85" s="178" t="s">
        <v>701</v>
      </c>
      <c r="H85" s="182" t="s">
        <v>42</v>
      </c>
      <c r="I85" s="182" t="s">
        <v>74</v>
      </c>
      <c r="J85" s="182" t="s">
        <v>75</v>
      </c>
      <c r="K85" s="184">
        <v>45754</v>
      </c>
      <c r="L85" s="186" t="s">
        <v>702</v>
      </c>
      <c r="M85" s="186" t="s">
        <v>703</v>
      </c>
      <c r="N85" s="188" t="s">
        <v>704</v>
      </c>
      <c r="O85" s="190">
        <v>15</v>
      </c>
      <c r="P85" s="182" t="s">
        <v>22</v>
      </c>
      <c r="Q85" s="182" t="s">
        <v>74</v>
      </c>
      <c r="R85" s="192"/>
      <c r="S85" s="178" t="str">
        <f t="shared" si="28"/>
        <v>043-904-000067179</v>
      </c>
      <c r="T85" s="194" t="s">
        <v>705</v>
      </c>
      <c r="U85" s="195" t="s">
        <v>706</v>
      </c>
    </row>
    <row r="86" spans="1:21" ht="31" customHeight="1">
      <c r="A86">
        <v>81</v>
      </c>
      <c r="B86" s="180">
        <v>45746</v>
      </c>
      <c r="C86" s="179" t="s">
        <v>113</v>
      </c>
      <c r="D86" s="179" t="s">
        <v>707</v>
      </c>
      <c r="E86" s="183">
        <v>111000051</v>
      </c>
      <c r="F86" s="179" t="s">
        <v>214</v>
      </c>
      <c r="G86" s="179" t="s">
        <v>709</v>
      </c>
      <c r="H86" s="183" t="s">
        <v>42</v>
      </c>
      <c r="I86" s="183" t="s">
        <v>74</v>
      </c>
      <c r="J86" s="183" t="s">
        <v>75</v>
      </c>
      <c r="K86" s="185">
        <v>45755</v>
      </c>
      <c r="L86" s="187" t="s">
        <v>711</v>
      </c>
      <c r="M86" s="187" t="s">
        <v>712</v>
      </c>
      <c r="N86" s="189" t="s">
        <v>714</v>
      </c>
      <c r="O86" s="191">
        <v>20</v>
      </c>
      <c r="P86" s="183" t="s">
        <v>22</v>
      </c>
      <c r="Q86" s="183" t="s">
        <v>74</v>
      </c>
      <c r="R86" s="193"/>
      <c r="S86" s="179" t="str">
        <f t="shared" ref="S86" si="29">D86</f>
        <v>043-901-000020191</v>
      </c>
      <c r="T86" s="189" t="s">
        <v>713</v>
      </c>
      <c r="U86" s="196" t="s">
        <v>715</v>
      </c>
    </row>
    <row r="87" spans="1:21" ht="31" customHeight="1">
      <c r="A87">
        <v>82</v>
      </c>
      <c r="B87" s="180">
        <v>45746</v>
      </c>
      <c r="C87" s="179" t="s">
        <v>113</v>
      </c>
      <c r="D87" s="181" t="s">
        <v>707</v>
      </c>
      <c r="E87" s="183">
        <v>111000051</v>
      </c>
      <c r="F87" s="179" t="s">
        <v>708</v>
      </c>
      <c r="G87" s="179" t="s">
        <v>710</v>
      </c>
      <c r="H87" s="183" t="s">
        <v>42</v>
      </c>
      <c r="I87" s="183" t="s">
        <v>74</v>
      </c>
      <c r="J87" s="183" t="s">
        <v>75</v>
      </c>
      <c r="K87" s="185">
        <v>45755</v>
      </c>
      <c r="L87" s="187" t="s">
        <v>711</v>
      </c>
      <c r="M87" s="187" t="s">
        <v>712</v>
      </c>
      <c r="N87" s="189" t="s">
        <v>714</v>
      </c>
      <c r="O87" s="191">
        <v>20</v>
      </c>
      <c r="P87" s="183" t="s">
        <v>22</v>
      </c>
      <c r="Q87" s="183" t="s">
        <v>74</v>
      </c>
      <c r="R87" s="193"/>
      <c r="S87" s="179" t="str">
        <f t="shared" ref="S87:S91" si="30">D87</f>
        <v>043-901-000020191</v>
      </c>
      <c r="T87" s="189" t="s">
        <v>713</v>
      </c>
      <c r="U87" s="196" t="s">
        <v>715</v>
      </c>
    </row>
    <row r="88" spans="1:21" ht="31" customHeight="1">
      <c r="A88">
        <v>83</v>
      </c>
      <c r="B88" s="145">
        <v>45577</v>
      </c>
      <c r="C88" s="144" t="s">
        <v>477</v>
      </c>
      <c r="D88" s="144" t="s">
        <v>795</v>
      </c>
      <c r="E88" s="141">
        <v>112580017</v>
      </c>
      <c r="F88" s="144" t="s">
        <v>688</v>
      </c>
      <c r="G88" s="147" t="s">
        <v>798</v>
      </c>
      <c r="H88" s="141" t="s">
        <v>42</v>
      </c>
      <c r="I88" s="141" t="s">
        <v>74</v>
      </c>
      <c r="J88" s="141" t="s">
        <v>75</v>
      </c>
      <c r="K88" s="146">
        <v>45754</v>
      </c>
      <c r="L88" s="147" t="s">
        <v>414</v>
      </c>
      <c r="M88" s="147" t="s">
        <v>801</v>
      </c>
      <c r="N88" s="157" t="s">
        <v>415</v>
      </c>
      <c r="O88" s="148">
        <v>15</v>
      </c>
      <c r="P88" s="141" t="s">
        <v>22</v>
      </c>
      <c r="Q88" s="141" t="s">
        <v>74</v>
      </c>
      <c r="R88" s="149"/>
      <c r="S88" s="144" t="str">
        <f t="shared" si="30"/>
        <v>044-012-000002143</v>
      </c>
      <c r="T88" s="158" t="s">
        <v>802</v>
      </c>
      <c r="U88" s="150" t="s">
        <v>803</v>
      </c>
    </row>
    <row r="89" spans="1:21" ht="31" customHeight="1">
      <c r="A89">
        <v>84</v>
      </c>
      <c r="B89" s="145">
        <v>45577</v>
      </c>
      <c r="C89" s="144" t="s">
        <v>477</v>
      </c>
      <c r="D89" s="144" t="s">
        <v>795</v>
      </c>
      <c r="E89" s="141">
        <v>111020071</v>
      </c>
      <c r="F89" s="144" t="s">
        <v>796</v>
      </c>
      <c r="G89" s="144" t="s">
        <v>799</v>
      </c>
      <c r="H89" s="141" t="s">
        <v>42</v>
      </c>
      <c r="I89" s="141" t="s">
        <v>74</v>
      </c>
      <c r="J89" s="141" t="s">
        <v>75</v>
      </c>
      <c r="K89" s="146">
        <v>45754</v>
      </c>
      <c r="L89" s="147" t="s">
        <v>414</v>
      </c>
      <c r="M89" s="147" t="s">
        <v>801</v>
      </c>
      <c r="N89" s="157" t="s">
        <v>415</v>
      </c>
      <c r="O89" s="148">
        <v>15</v>
      </c>
      <c r="P89" s="141" t="s">
        <v>22</v>
      </c>
      <c r="Q89" s="141" t="s">
        <v>74</v>
      </c>
      <c r="R89" s="149"/>
      <c r="S89" s="144" t="str">
        <f t="shared" ref="S89:S90" si="31">D89</f>
        <v>044-012-000002143</v>
      </c>
      <c r="T89" s="158" t="s">
        <v>802</v>
      </c>
      <c r="U89" s="150" t="s">
        <v>803</v>
      </c>
    </row>
    <row r="90" spans="1:21" ht="31" customHeight="1">
      <c r="A90">
        <v>85</v>
      </c>
      <c r="B90" s="145">
        <v>45577</v>
      </c>
      <c r="C90" s="144" t="s">
        <v>477</v>
      </c>
      <c r="D90" s="144" t="s">
        <v>795</v>
      </c>
      <c r="E90" s="141">
        <v>40446702</v>
      </c>
      <c r="F90" s="144" t="s">
        <v>797</v>
      </c>
      <c r="G90" s="144" t="s">
        <v>800</v>
      </c>
      <c r="H90" s="141" t="s">
        <v>42</v>
      </c>
      <c r="I90" s="141" t="s">
        <v>74</v>
      </c>
      <c r="J90" s="141" t="s">
        <v>75</v>
      </c>
      <c r="K90" s="146">
        <v>45754</v>
      </c>
      <c r="L90" s="147" t="s">
        <v>414</v>
      </c>
      <c r="M90" s="147" t="s">
        <v>801</v>
      </c>
      <c r="N90" s="157" t="s">
        <v>415</v>
      </c>
      <c r="O90" s="148">
        <v>15</v>
      </c>
      <c r="P90" s="141" t="s">
        <v>22</v>
      </c>
      <c r="Q90" s="141" t="s">
        <v>74</v>
      </c>
      <c r="R90" s="149"/>
      <c r="S90" s="144" t="str">
        <f t="shared" si="31"/>
        <v>044-012-000002143</v>
      </c>
      <c r="T90" s="158" t="s">
        <v>802</v>
      </c>
      <c r="U90" s="150" t="s">
        <v>803</v>
      </c>
    </row>
    <row r="91" spans="1:21" ht="31" customHeight="1">
      <c r="A91">
        <v>86</v>
      </c>
      <c r="B91" s="177">
        <v>45728</v>
      </c>
      <c r="C91" s="178" t="s">
        <v>113</v>
      </c>
      <c r="D91" s="178" t="s">
        <v>804</v>
      </c>
      <c r="E91" s="182">
        <v>40584012</v>
      </c>
      <c r="F91" s="178" t="s">
        <v>805</v>
      </c>
      <c r="G91" s="178" t="s">
        <v>806</v>
      </c>
      <c r="H91" s="182" t="s">
        <v>42</v>
      </c>
      <c r="I91" s="182" t="s">
        <v>74</v>
      </c>
      <c r="J91" s="182" t="s">
        <v>75</v>
      </c>
      <c r="K91" s="184">
        <v>45754</v>
      </c>
      <c r="L91" s="186" t="s">
        <v>807</v>
      </c>
      <c r="M91" s="186" t="s">
        <v>808</v>
      </c>
      <c r="N91" s="188" t="s">
        <v>809</v>
      </c>
      <c r="O91" s="190">
        <v>20</v>
      </c>
      <c r="P91" s="182" t="s">
        <v>22</v>
      </c>
      <c r="Q91" s="182" t="s">
        <v>74</v>
      </c>
      <c r="R91" s="192"/>
      <c r="S91" s="178" t="str">
        <f t="shared" si="30"/>
        <v>043-405-000062718</v>
      </c>
      <c r="T91" s="194" t="s">
        <v>810</v>
      </c>
      <c r="U91" s="195" t="s">
        <v>811</v>
      </c>
    </row>
    <row r="92" spans="1:21" ht="31" customHeight="1">
      <c r="A92">
        <v>87</v>
      </c>
      <c r="B92" s="177">
        <v>45728</v>
      </c>
      <c r="C92" s="178" t="s">
        <v>113</v>
      </c>
      <c r="D92" s="178" t="s">
        <v>804</v>
      </c>
      <c r="E92" s="183">
        <v>41560041</v>
      </c>
      <c r="F92" s="179" t="s">
        <v>204</v>
      </c>
      <c r="G92" s="179" t="s">
        <v>812</v>
      </c>
      <c r="H92" s="183" t="s">
        <v>42</v>
      </c>
      <c r="I92" s="183" t="s">
        <v>74</v>
      </c>
      <c r="J92" s="183" t="s">
        <v>75</v>
      </c>
      <c r="K92" s="185">
        <v>45755</v>
      </c>
      <c r="L92" s="186" t="s">
        <v>807</v>
      </c>
      <c r="M92" s="186" t="s">
        <v>808</v>
      </c>
      <c r="N92" s="188" t="s">
        <v>809</v>
      </c>
      <c r="O92" s="190">
        <v>20</v>
      </c>
      <c r="P92" s="182" t="s">
        <v>22</v>
      </c>
      <c r="Q92" s="182" t="s">
        <v>74</v>
      </c>
      <c r="R92" s="192"/>
      <c r="S92" s="178" t="str">
        <f t="shared" ref="S92" si="32">D92</f>
        <v>043-405-000062718</v>
      </c>
      <c r="T92" s="194" t="s">
        <v>810</v>
      </c>
      <c r="U92" s="195" t="s">
        <v>811</v>
      </c>
    </row>
    <row r="93" spans="1:21" ht="31" customHeight="1">
      <c r="A93">
        <v>88</v>
      </c>
      <c r="B93" s="180">
        <v>45721</v>
      </c>
      <c r="C93" s="179" t="s">
        <v>113</v>
      </c>
      <c r="D93" s="181" t="s">
        <v>813</v>
      </c>
      <c r="E93" s="183">
        <v>112580027</v>
      </c>
      <c r="F93" s="179" t="s">
        <v>319</v>
      </c>
      <c r="G93" s="179" t="s">
        <v>814</v>
      </c>
      <c r="H93" s="183" t="s">
        <v>42</v>
      </c>
      <c r="I93" s="183" t="s">
        <v>74</v>
      </c>
      <c r="J93" s="183" t="s">
        <v>75</v>
      </c>
      <c r="K93" s="185">
        <v>45755</v>
      </c>
      <c r="L93" s="187" t="s">
        <v>815</v>
      </c>
      <c r="M93" s="187" t="s">
        <v>816</v>
      </c>
      <c r="N93" s="189" t="s">
        <v>817</v>
      </c>
      <c r="O93" s="191">
        <v>20</v>
      </c>
      <c r="P93" s="183" t="s">
        <v>22</v>
      </c>
      <c r="Q93" s="183" t="s">
        <v>74</v>
      </c>
      <c r="R93" s="193"/>
      <c r="S93" s="179" t="str">
        <f t="shared" ref="S93" si="33">D93</f>
        <v>043-903-000050982</v>
      </c>
      <c r="T93" s="189" t="s">
        <v>818</v>
      </c>
      <c r="U93" s="196" t="s">
        <v>819</v>
      </c>
    </row>
    <row r="94" spans="1:21" ht="31" customHeight="1">
      <c r="A94">
        <v>89</v>
      </c>
      <c r="B94" s="180">
        <v>45721</v>
      </c>
      <c r="C94" s="179" t="s">
        <v>113</v>
      </c>
      <c r="D94" s="181" t="s">
        <v>813</v>
      </c>
      <c r="E94" s="183">
        <v>111030002</v>
      </c>
      <c r="F94" s="179" t="s">
        <v>320</v>
      </c>
      <c r="G94" s="179" t="s">
        <v>820</v>
      </c>
      <c r="H94" s="183" t="s">
        <v>42</v>
      </c>
      <c r="I94" s="183" t="s">
        <v>74</v>
      </c>
      <c r="J94" s="183" t="s">
        <v>75</v>
      </c>
      <c r="K94" s="185">
        <v>45755</v>
      </c>
      <c r="L94" s="187" t="s">
        <v>815</v>
      </c>
      <c r="M94" s="187" t="s">
        <v>816</v>
      </c>
      <c r="N94" s="189" t="s">
        <v>817</v>
      </c>
      <c r="O94" s="191">
        <v>20</v>
      </c>
      <c r="P94" s="183" t="s">
        <v>22</v>
      </c>
      <c r="Q94" s="183" t="s">
        <v>74</v>
      </c>
      <c r="R94" s="193"/>
      <c r="S94" s="179" t="str">
        <f t="shared" ref="S94" si="34">D94</f>
        <v>043-903-000050982</v>
      </c>
      <c r="T94" s="189" t="s">
        <v>818</v>
      </c>
      <c r="U94" s="196" t="s">
        <v>819</v>
      </c>
    </row>
    <row r="95" spans="1:21" ht="31" customHeight="1">
      <c r="A95">
        <v>90</v>
      </c>
      <c r="B95" s="180">
        <v>45518</v>
      </c>
      <c r="C95" s="179" t="s">
        <v>149</v>
      </c>
      <c r="D95" s="181" t="s">
        <v>869</v>
      </c>
      <c r="E95" s="183">
        <v>112580027</v>
      </c>
      <c r="F95" s="179" t="s">
        <v>319</v>
      </c>
      <c r="G95" s="179" t="s">
        <v>870</v>
      </c>
      <c r="H95" s="183" t="s">
        <v>42</v>
      </c>
      <c r="I95" s="183" t="s">
        <v>74</v>
      </c>
      <c r="J95" s="183" t="s">
        <v>75</v>
      </c>
      <c r="K95" s="185">
        <v>45763</v>
      </c>
      <c r="L95" s="187" t="s">
        <v>872</v>
      </c>
      <c r="M95" s="187" t="s">
        <v>573</v>
      </c>
      <c r="N95" s="189" t="s">
        <v>873</v>
      </c>
      <c r="O95" s="191">
        <v>20</v>
      </c>
      <c r="P95" s="183" t="s">
        <v>22</v>
      </c>
      <c r="Q95" s="183" t="s">
        <v>74</v>
      </c>
      <c r="R95" s="193"/>
      <c r="S95" s="179" t="str">
        <f t="shared" ref="S95" si="35">D95</f>
        <v>001-500-000065582</v>
      </c>
      <c r="T95" s="189" t="s">
        <v>874</v>
      </c>
      <c r="U95" s="196" t="s">
        <v>875</v>
      </c>
    </row>
    <row r="96" spans="1:21" ht="31" customHeight="1">
      <c r="A96">
        <v>91</v>
      </c>
      <c r="B96" s="180">
        <v>45518</v>
      </c>
      <c r="C96" s="179" t="s">
        <v>149</v>
      </c>
      <c r="D96" s="181" t="s">
        <v>869</v>
      </c>
      <c r="E96" s="183">
        <v>111010040</v>
      </c>
      <c r="F96" s="179" t="s">
        <v>457</v>
      </c>
      <c r="G96" s="179" t="s">
        <v>871</v>
      </c>
      <c r="H96" s="183" t="s">
        <v>42</v>
      </c>
      <c r="I96" s="183" t="s">
        <v>74</v>
      </c>
      <c r="J96" s="183" t="s">
        <v>75</v>
      </c>
      <c r="K96" s="185">
        <v>45763</v>
      </c>
      <c r="L96" s="187" t="s">
        <v>872</v>
      </c>
      <c r="M96" s="187" t="s">
        <v>573</v>
      </c>
      <c r="N96" s="189" t="s">
        <v>873</v>
      </c>
      <c r="O96" s="191">
        <v>20</v>
      </c>
      <c r="P96" s="183" t="s">
        <v>22</v>
      </c>
      <c r="Q96" s="183" t="s">
        <v>74</v>
      </c>
      <c r="R96" s="193"/>
      <c r="S96" s="179" t="str">
        <f t="shared" ref="S96" si="36">D96</f>
        <v>001-500-000065582</v>
      </c>
      <c r="T96" s="189" t="s">
        <v>874</v>
      </c>
      <c r="U96" s="196" t="s">
        <v>875</v>
      </c>
    </row>
    <row r="97" spans="1:21" ht="31" customHeight="1">
      <c r="A97">
        <v>92</v>
      </c>
      <c r="B97" s="180">
        <v>46046</v>
      </c>
      <c r="C97" s="179" t="s">
        <v>149</v>
      </c>
      <c r="D97" s="181" t="s">
        <v>876</v>
      </c>
      <c r="E97" s="183">
        <v>112580017</v>
      </c>
      <c r="F97" s="179" t="s">
        <v>688</v>
      </c>
      <c r="G97" s="179" t="s">
        <v>877</v>
      </c>
      <c r="H97" s="183" t="s">
        <v>42</v>
      </c>
      <c r="I97" s="183" t="s">
        <v>74</v>
      </c>
      <c r="J97" s="183" t="s">
        <v>75</v>
      </c>
      <c r="K97" s="185">
        <v>45763</v>
      </c>
      <c r="L97" s="187" t="s">
        <v>884</v>
      </c>
      <c r="M97" s="187" t="s">
        <v>885</v>
      </c>
      <c r="N97" s="189" t="s">
        <v>886</v>
      </c>
      <c r="O97" s="191">
        <v>15</v>
      </c>
      <c r="P97" s="183" t="s">
        <v>22</v>
      </c>
      <c r="Q97" s="183" t="s">
        <v>74</v>
      </c>
      <c r="R97" s="193"/>
      <c r="S97" s="179" t="str">
        <f t="shared" ref="S97" si="37">D97</f>
        <v>001-500-000070390</v>
      </c>
      <c r="T97" s="189" t="s">
        <v>887</v>
      </c>
      <c r="U97" s="196" t="s">
        <v>888</v>
      </c>
    </row>
    <row r="98" spans="1:21" ht="31" customHeight="1">
      <c r="A98">
        <v>93</v>
      </c>
      <c r="B98" s="180">
        <v>46046</v>
      </c>
      <c r="C98" s="179" t="s">
        <v>149</v>
      </c>
      <c r="D98" s="181" t="s">
        <v>896</v>
      </c>
      <c r="E98" s="183">
        <v>112580017</v>
      </c>
      <c r="F98" s="179" t="s">
        <v>688</v>
      </c>
      <c r="G98" s="179" t="s">
        <v>878</v>
      </c>
      <c r="H98" s="183" t="s">
        <v>42</v>
      </c>
      <c r="I98" s="183" t="s">
        <v>74</v>
      </c>
      <c r="J98" s="183" t="s">
        <v>75</v>
      </c>
      <c r="K98" s="185">
        <v>45763</v>
      </c>
      <c r="L98" s="187" t="s">
        <v>884</v>
      </c>
      <c r="M98" s="187" t="s">
        <v>885</v>
      </c>
      <c r="N98" s="189" t="s">
        <v>886</v>
      </c>
      <c r="O98" s="191">
        <v>15</v>
      </c>
      <c r="P98" s="183" t="s">
        <v>22</v>
      </c>
      <c r="Q98" s="183" t="s">
        <v>74</v>
      </c>
      <c r="R98" s="193"/>
      <c r="S98" s="179" t="str">
        <f t="shared" ref="S98:S103" si="38">D98</f>
        <v>001-500-000070523</v>
      </c>
      <c r="T98" s="189" t="s">
        <v>887</v>
      </c>
      <c r="U98" s="196" t="s">
        <v>888</v>
      </c>
    </row>
    <row r="99" spans="1:21" ht="31" customHeight="1">
      <c r="A99">
        <v>94</v>
      </c>
      <c r="B99" s="180">
        <v>46046</v>
      </c>
      <c r="C99" s="179" t="s">
        <v>149</v>
      </c>
      <c r="D99" s="181" t="s">
        <v>896</v>
      </c>
      <c r="E99" s="183">
        <v>112580017</v>
      </c>
      <c r="F99" s="179" t="s">
        <v>688</v>
      </c>
      <c r="G99" s="179" t="s">
        <v>879</v>
      </c>
      <c r="H99" s="183" t="s">
        <v>42</v>
      </c>
      <c r="I99" s="183" t="s">
        <v>74</v>
      </c>
      <c r="J99" s="183" t="s">
        <v>75</v>
      </c>
      <c r="K99" s="185">
        <v>45763</v>
      </c>
      <c r="L99" s="187" t="s">
        <v>884</v>
      </c>
      <c r="M99" s="187" t="s">
        <v>885</v>
      </c>
      <c r="N99" s="189" t="s">
        <v>886</v>
      </c>
      <c r="O99" s="191">
        <v>15</v>
      </c>
      <c r="P99" s="183" t="s">
        <v>22</v>
      </c>
      <c r="Q99" s="183" t="s">
        <v>74</v>
      </c>
      <c r="R99" s="193"/>
      <c r="S99" s="179" t="str">
        <f t="shared" si="38"/>
        <v>001-500-000070523</v>
      </c>
      <c r="T99" s="189" t="s">
        <v>887</v>
      </c>
      <c r="U99" s="196" t="s">
        <v>888</v>
      </c>
    </row>
    <row r="100" spans="1:21" ht="31" customHeight="1">
      <c r="A100">
        <v>95</v>
      </c>
      <c r="B100" s="180">
        <v>46046</v>
      </c>
      <c r="C100" s="179" t="s">
        <v>149</v>
      </c>
      <c r="D100" s="181" t="s">
        <v>896</v>
      </c>
      <c r="E100" s="183">
        <v>112580017</v>
      </c>
      <c r="F100" s="179" t="s">
        <v>688</v>
      </c>
      <c r="G100" s="179" t="s">
        <v>880</v>
      </c>
      <c r="H100" s="183" t="s">
        <v>42</v>
      </c>
      <c r="I100" s="183" t="s">
        <v>74</v>
      </c>
      <c r="J100" s="183" t="s">
        <v>75</v>
      </c>
      <c r="K100" s="185">
        <v>45763</v>
      </c>
      <c r="L100" s="187" t="s">
        <v>884</v>
      </c>
      <c r="M100" s="187" t="s">
        <v>885</v>
      </c>
      <c r="N100" s="189" t="s">
        <v>886</v>
      </c>
      <c r="O100" s="191">
        <v>15</v>
      </c>
      <c r="P100" s="183" t="s">
        <v>22</v>
      </c>
      <c r="Q100" s="183" t="s">
        <v>74</v>
      </c>
      <c r="R100" s="193"/>
      <c r="S100" s="179" t="str">
        <f t="shared" si="38"/>
        <v>001-500-000070523</v>
      </c>
      <c r="T100" s="189" t="s">
        <v>887</v>
      </c>
      <c r="U100" s="196" t="s">
        <v>888</v>
      </c>
    </row>
    <row r="101" spans="1:21" ht="31" customHeight="1">
      <c r="A101">
        <v>96</v>
      </c>
      <c r="B101" s="180">
        <v>46046</v>
      </c>
      <c r="C101" s="179" t="s">
        <v>149</v>
      </c>
      <c r="D101" s="181" t="s">
        <v>876</v>
      </c>
      <c r="E101" s="183">
        <v>112580017</v>
      </c>
      <c r="F101" s="179" t="s">
        <v>688</v>
      </c>
      <c r="G101" s="179" t="s">
        <v>881</v>
      </c>
      <c r="H101" s="183" t="s">
        <v>42</v>
      </c>
      <c r="I101" s="183" t="s">
        <v>74</v>
      </c>
      <c r="J101" s="183" t="s">
        <v>75</v>
      </c>
      <c r="K101" s="185">
        <v>45763</v>
      </c>
      <c r="L101" s="187" t="s">
        <v>884</v>
      </c>
      <c r="M101" s="187" t="s">
        <v>885</v>
      </c>
      <c r="N101" s="189" t="s">
        <v>886</v>
      </c>
      <c r="O101" s="191">
        <v>15</v>
      </c>
      <c r="P101" s="183" t="s">
        <v>22</v>
      </c>
      <c r="Q101" s="183" t="s">
        <v>74</v>
      </c>
      <c r="R101" s="193"/>
      <c r="S101" s="179" t="str">
        <f t="shared" si="38"/>
        <v>001-500-000070390</v>
      </c>
      <c r="T101" s="189" t="s">
        <v>887</v>
      </c>
      <c r="U101" s="196" t="s">
        <v>888</v>
      </c>
    </row>
    <row r="102" spans="1:21" ht="31" customHeight="1">
      <c r="A102">
        <v>97</v>
      </c>
      <c r="B102" s="180">
        <v>46046</v>
      </c>
      <c r="C102" s="179" t="s">
        <v>149</v>
      </c>
      <c r="D102" s="181" t="s">
        <v>876</v>
      </c>
      <c r="E102" s="183">
        <v>112580017</v>
      </c>
      <c r="F102" s="179" t="s">
        <v>688</v>
      </c>
      <c r="G102" s="179" t="s">
        <v>882</v>
      </c>
      <c r="H102" s="183" t="s">
        <v>42</v>
      </c>
      <c r="I102" s="183" t="s">
        <v>74</v>
      </c>
      <c r="J102" s="183" t="s">
        <v>75</v>
      </c>
      <c r="K102" s="185">
        <v>45763</v>
      </c>
      <c r="L102" s="187" t="s">
        <v>884</v>
      </c>
      <c r="M102" s="187" t="s">
        <v>885</v>
      </c>
      <c r="N102" s="189" t="s">
        <v>886</v>
      </c>
      <c r="O102" s="191">
        <v>15</v>
      </c>
      <c r="P102" s="183" t="s">
        <v>22</v>
      </c>
      <c r="Q102" s="183" t="s">
        <v>74</v>
      </c>
      <c r="R102" s="193"/>
      <c r="S102" s="179" t="str">
        <f t="shared" si="38"/>
        <v>001-500-000070390</v>
      </c>
      <c r="T102" s="189" t="s">
        <v>887</v>
      </c>
      <c r="U102" s="196" t="s">
        <v>888</v>
      </c>
    </row>
    <row r="103" spans="1:21" ht="31" customHeight="1">
      <c r="A103">
        <v>98</v>
      </c>
      <c r="B103" s="180">
        <v>46046</v>
      </c>
      <c r="C103" s="179" t="s">
        <v>149</v>
      </c>
      <c r="D103" s="181" t="s">
        <v>876</v>
      </c>
      <c r="E103" s="183">
        <v>112580017</v>
      </c>
      <c r="F103" s="179" t="s">
        <v>688</v>
      </c>
      <c r="G103" s="179" t="s">
        <v>883</v>
      </c>
      <c r="H103" s="183" t="s">
        <v>42</v>
      </c>
      <c r="I103" s="183" t="s">
        <v>74</v>
      </c>
      <c r="J103" s="183" t="s">
        <v>75</v>
      </c>
      <c r="K103" s="185">
        <v>45763</v>
      </c>
      <c r="L103" s="187" t="s">
        <v>884</v>
      </c>
      <c r="M103" s="187" t="s">
        <v>885</v>
      </c>
      <c r="N103" s="189" t="s">
        <v>886</v>
      </c>
      <c r="O103" s="191">
        <v>15</v>
      </c>
      <c r="P103" s="183" t="s">
        <v>22</v>
      </c>
      <c r="Q103" s="183" t="s">
        <v>74</v>
      </c>
      <c r="R103" s="193"/>
      <c r="S103" s="179" t="str">
        <f t="shared" si="38"/>
        <v>001-500-000070390</v>
      </c>
      <c r="T103" s="189" t="s">
        <v>887</v>
      </c>
      <c r="U103" s="196" t="s">
        <v>888</v>
      </c>
    </row>
    <row r="104" spans="1:21" ht="31" customHeight="1">
      <c r="A104">
        <v>99</v>
      </c>
      <c r="B104" s="180">
        <v>46046</v>
      </c>
      <c r="C104" s="179" t="s">
        <v>149</v>
      </c>
      <c r="D104" s="181" t="s">
        <v>896</v>
      </c>
      <c r="E104" s="183">
        <v>40466111</v>
      </c>
      <c r="F104" s="179" t="s">
        <v>585</v>
      </c>
      <c r="G104" s="179" t="s">
        <v>889</v>
      </c>
      <c r="H104" s="183" t="s">
        <v>42</v>
      </c>
      <c r="I104" s="183" t="s">
        <v>74</v>
      </c>
      <c r="J104" s="183" t="s">
        <v>75</v>
      </c>
      <c r="K104" s="185">
        <v>45763</v>
      </c>
      <c r="L104" s="187" t="s">
        <v>884</v>
      </c>
      <c r="M104" s="187" t="s">
        <v>885</v>
      </c>
      <c r="N104" s="189" t="s">
        <v>886</v>
      </c>
      <c r="O104" s="191">
        <v>15</v>
      </c>
      <c r="P104" s="183" t="s">
        <v>22</v>
      </c>
      <c r="Q104" s="183" t="s">
        <v>74</v>
      </c>
      <c r="R104" s="193"/>
      <c r="S104" s="179" t="str">
        <f t="shared" ref="S104:S110" si="39">D104</f>
        <v>001-500-000070523</v>
      </c>
      <c r="T104" s="189" t="s">
        <v>887</v>
      </c>
      <c r="U104" s="196" t="s">
        <v>888</v>
      </c>
    </row>
    <row r="105" spans="1:21" ht="31" customHeight="1">
      <c r="A105">
        <v>100</v>
      </c>
      <c r="B105" s="180">
        <v>46046</v>
      </c>
      <c r="C105" s="179" t="s">
        <v>149</v>
      </c>
      <c r="D105" s="181" t="s">
        <v>896</v>
      </c>
      <c r="E105" s="183">
        <v>40466111</v>
      </c>
      <c r="F105" s="179" t="s">
        <v>585</v>
      </c>
      <c r="G105" s="179" t="s">
        <v>890</v>
      </c>
      <c r="H105" s="183" t="s">
        <v>42</v>
      </c>
      <c r="I105" s="183" t="s">
        <v>74</v>
      </c>
      <c r="J105" s="183" t="s">
        <v>75</v>
      </c>
      <c r="K105" s="185">
        <v>45763</v>
      </c>
      <c r="L105" s="187" t="s">
        <v>884</v>
      </c>
      <c r="M105" s="187" t="s">
        <v>885</v>
      </c>
      <c r="N105" s="189" t="s">
        <v>886</v>
      </c>
      <c r="O105" s="191">
        <v>15</v>
      </c>
      <c r="P105" s="183" t="s">
        <v>22</v>
      </c>
      <c r="Q105" s="183" t="s">
        <v>74</v>
      </c>
      <c r="R105" s="193"/>
      <c r="S105" s="179" t="str">
        <f t="shared" si="39"/>
        <v>001-500-000070523</v>
      </c>
      <c r="T105" s="189" t="s">
        <v>887</v>
      </c>
      <c r="U105" s="196" t="s">
        <v>888</v>
      </c>
    </row>
    <row r="106" spans="1:21" ht="31" customHeight="1">
      <c r="A106">
        <v>101</v>
      </c>
      <c r="B106" s="180">
        <v>46046</v>
      </c>
      <c r="C106" s="179" t="s">
        <v>149</v>
      </c>
      <c r="D106" s="181" t="s">
        <v>896</v>
      </c>
      <c r="E106" s="183">
        <v>40466111</v>
      </c>
      <c r="F106" s="179" t="s">
        <v>585</v>
      </c>
      <c r="G106" s="179" t="s">
        <v>891</v>
      </c>
      <c r="H106" s="183" t="s">
        <v>42</v>
      </c>
      <c r="I106" s="183" t="s">
        <v>74</v>
      </c>
      <c r="J106" s="183" t="s">
        <v>75</v>
      </c>
      <c r="K106" s="185">
        <v>45763</v>
      </c>
      <c r="L106" s="187" t="s">
        <v>884</v>
      </c>
      <c r="M106" s="187" t="s">
        <v>885</v>
      </c>
      <c r="N106" s="189" t="s">
        <v>886</v>
      </c>
      <c r="O106" s="191">
        <v>15</v>
      </c>
      <c r="P106" s="183" t="s">
        <v>22</v>
      </c>
      <c r="Q106" s="183" t="s">
        <v>74</v>
      </c>
      <c r="R106" s="193"/>
      <c r="S106" s="179" t="str">
        <f t="shared" si="39"/>
        <v>001-500-000070523</v>
      </c>
      <c r="T106" s="189" t="s">
        <v>887</v>
      </c>
      <c r="U106" s="196" t="s">
        <v>888</v>
      </c>
    </row>
    <row r="107" spans="1:21" ht="31" customHeight="1">
      <c r="A107">
        <v>102</v>
      </c>
      <c r="B107" s="180">
        <v>46046</v>
      </c>
      <c r="C107" s="179" t="s">
        <v>149</v>
      </c>
      <c r="D107" s="181" t="s">
        <v>896</v>
      </c>
      <c r="E107" s="183">
        <v>40466111</v>
      </c>
      <c r="F107" s="179" t="s">
        <v>585</v>
      </c>
      <c r="G107" s="179" t="s">
        <v>892</v>
      </c>
      <c r="H107" s="183" t="s">
        <v>42</v>
      </c>
      <c r="I107" s="183" t="s">
        <v>74</v>
      </c>
      <c r="J107" s="183" t="s">
        <v>75</v>
      </c>
      <c r="K107" s="185">
        <v>45763</v>
      </c>
      <c r="L107" s="187" t="s">
        <v>884</v>
      </c>
      <c r="M107" s="187" t="s">
        <v>885</v>
      </c>
      <c r="N107" s="189" t="s">
        <v>886</v>
      </c>
      <c r="O107" s="191">
        <v>15</v>
      </c>
      <c r="P107" s="183" t="s">
        <v>22</v>
      </c>
      <c r="Q107" s="183" t="s">
        <v>74</v>
      </c>
      <c r="R107" s="193"/>
      <c r="S107" s="179" t="str">
        <f t="shared" si="39"/>
        <v>001-500-000070523</v>
      </c>
      <c r="T107" s="189" t="s">
        <v>887</v>
      </c>
      <c r="U107" s="196" t="s">
        <v>888</v>
      </c>
    </row>
    <row r="108" spans="1:21" ht="31" customHeight="1">
      <c r="A108">
        <v>103</v>
      </c>
      <c r="B108" s="180">
        <v>46046</v>
      </c>
      <c r="C108" s="179" t="s">
        <v>149</v>
      </c>
      <c r="D108" s="181" t="s">
        <v>876</v>
      </c>
      <c r="E108" s="183">
        <v>40466111</v>
      </c>
      <c r="F108" s="179" t="s">
        <v>585</v>
      </c>
      <c r="G108" s="179" t="s">
        <v>893</v>
      </c>
      <c r="H108" s="183" t="s">
        <v>42</v>
      </c>
      <c r="I108" s="183" t="s">
        <v>74</v>
      </c>
      <c r="J108" s="183" t="s">
        <v>75</v>
      </c>
      <c r="K108" s="185">
        <v>45763</v>
      </c>
      <c r="L108" s="187" t="s">
        <v>884</v>
      </c>
      <c r="M108" s="187" t="s">
        <v>885</v>
      </c>
      <c r="N108" s="189" t="s">
        <v>886</v>
      </c>
      <c r="O108" s="191">
        <v>15</v>
      </c>
      <c r="P108" s="183" t="s">
        <v>22</v>
      </c>
      <c r="Q108" s="183" t="s">
        <v>74</v>
      </c>
      <c r="R108" s="193"/>
      <c r="S108" s="179" t="str">
        <f t="shared" si="39"/>
        <v>001-500-000070390</v>
      </c>
      <c r="T108" s="189" t="s">
        <v>887</v>
      </c>
      <c r="U108" s="196" t="s">
        <v>888</v>
      </c>
    </row>
    <row r="109" spans="1:21" ht="31" customHeight="1">
      <c r="A109">
        <v>104</v>
      </c>
      <c r="B109" s="180">
        <v>46046</v>
      </c>
      <c r="C109" s="179" t="s">
        <v>149</v>
      </c>
      <c r="D109" s="181" t="s">
        <v>876</v>
      </c>
      <c r="E109" s="183">
        <v>40466111</v>
      </c>
      <c r="F109" s="179" t="s">
        <v>585</v>
      </c>
      <c r="G109" s="179" t="s">
        <v>894</v>
      </c>
      <c r="H109" s="183" t="s">
        <v>42</v>
      </c>
      <c r="I109" s="183" t="s">
        <v>74</v>
      </c>
      <c r="J109" s="183" t="s">
        <v>75</v>
      </c>
      <c r="K109" s="185">
        <v>45763</v>
      </c>
      <c r="L109" s="187" t="s">
        <v>884</v>
      </c>
      <c r="M109" s="187" t="s">
        <v>885</v>
      </c>
      <c r="N109" s="189" t="s">
        <v>886</v>
      </c>
      <c r="O109" s="191">
        <v>15</v>
      </c>
      <c r="P109" s="183" t="s">
        <v>22</v>
      </c>
      <c r="Q109" s="183" t="s">
        <v>74</v>
      </c>
      <c r="R109" s="193"/>
      <c r="S109" s="179" t="str">
        <f t="shared" si="39"/>
        <v>001-500-000070390</v>
      </c>
      <c r="T109" s="189" t="s">
        <v>887</v>
      </c>
      <c r="U109" s="196" t="s">
        <v>888</v>
      </c>
    </row>
    <row r="110" spans="1:21" ht="31" customHeight="1">
      <c r="A110">
        <v>105</v>
      </c>
      <c r="B110" s="180">
        <v>46046</v>
      </c>
      <c r="C110" s="179" t="s">
        <v>149</v>
      </c>
      <c r="D110" s="181" t="s">
        <v>876</v>
      </c>
      <c r="E110" s="183">
        <v>40466111</v>
      </c>
      <c r="F110" s="179" t="s">
        <v>585</v>
      </c>
      <c r="G110" s="179" t="s">
        <v>895</v>
      </c>
      <c r="H110" s="183" t="s">
        <v>42</v>
      </c>
      <c r="I110" s="183" t="s">
        <v>74</v>
      </c>
      <c r="J110" s="183" t="s">
        <v>75</v>
      </c>
      <c r="K110" s="185">
        <v>45763</v>
      </c>
      <c r="L110" s="187" t="s">
        <v>884</v>
      </c>
      <c r="M110" s="187" t="s">
        <v>885</v>
      </c>
      <c r="N110" s="189" t="s">
        <v>886</v>
      </c>
      <c r="O110" s="191">
        <v>15</v>
      </c>
      <c r="P110" s="183" t="s">
        <v>22</v>
      </c>
      <c r="Q110" s="183" t="s">
        <v>74</v>
      </c>
      <c r="R110" s="193"/>
      <c r="S110" s="179" t="str">
        <f t="shared" si="39"/>
        <v>001-500-000070390</v>
      </c>
      <c r="T110" s="189" t="s">
        <v>887</v>
      </c>
      <c r="U110" s="196" t="s">
        <v>888</v>
      </c>
    </row>
    <row r="111" spans="1:21" ht="31" customHeight="1">
      <c r="A111">
        <v>106</v>
      </c>
      <c r="B111" s="180">
        <v>45625</v>
      </c>
      <c r="C111" s="179" t="s">
        <v>201</v>
      </c>
      <c r="D111" s="181" t="s">
        <v>897</v>
      </c>
      <c r="E111" s="183">
        <v>111000</v>
      </c>
      <c r="F111" s="179" t="s">
        <v>214</v>
      </c>
      <c r="G111" s="179" t="s">
        <v>898</v>
      </c>
      <c r="H111" s="183" t="s">
        <v>42</v>
      </c>
      <c r="I111" s="183" t="s">
        <v>74</v>
      </c>
      <c r="J111" s="183" t="s">
        <v>75</v>
      </c>
      <c r="K111" s="185">
        <v>45763</v>
      </c>
      <c r="L111" s="187" t="s">
        <v>899</v>
      </c>
      <c r="M111" s="187" t="s">
        <v>900</v>
      </c>
      <c r="N111" s="189" t="s">
        <v>901</v>
      </c>
      <c r="O111" s="191">
        <v>15</v>
      </c>
      <c r="P111" s="183" t="s">
        <v>22</v>
      </c>
      <c r="Q111" s="183" t="s">
        <v>74</v>
      </c>
      <c r="R111" s="193"/>
      <c r="S111" s="179" t="str">
        <f t="shared" ref="S111" si="40">D111</f>
        <v>001-001-00000319</v>
      </c>
      <c r="T111" s="189" t="s">
        <v>902</v>
      </c>
      <c r="U111" s="196" t="s">
        <v>903</v>
      </c>
    </row>
    <row r="112" spans="1:21" ht="31" customHeight="1">
      <c r="A112">
        <v>107</v>
      </c>
      <c r="B112" s="180">
        <v>45625</v>
      </c>
      <c r="C112" s="179" t="s">
        <v>201</v>
      </c>
      <c r="D112" s="181" t="s">
        <v>897</v>
      </c>
      <c r="E112" s="183">
        <v>40584202</v>
      </c>
      <c r="F112" s="179" t="s">
        <v>402</v>
      </c>
      <c r="G112" s="179" t="s">
        <v>905</v>
      </c>
      <c r="H112" s="183" t="s">
        <v>42</v>
      </c>
      <c r="I112" s="183" t="s">
        <v>74</v>
      </c>
      <c r="J112" s="183" t="s">
        <v>75</v>
      </c>
      <c r="K112" s="185">
        <v>45763</v>
      </c>
      <c r="L112" s="187" t="s">
        <v>899</v>
      </c>
      <c r="M112" s="187" t="s">
        <v>900</v>
      </c>
      <c r="N112" s="189" t="s">
        <v>901</v>
      </c>
      <c r="O112" s="191">
        <v>15</v>
      </c>
      <c r="P112" s="183" t="s">
        <v>22</v>
      </c>
      <c r="Q112" s="183" t="s">
        <v>74</v>
      </c>
      <c r="R112" s="193"/>
      <c r="S112" s="179" t="str">
        <f t="shared" ref="S112:S114" si="41">D112</f>
        <v>001-001-00000319</v>
      </c>
      <c r="T112" s="189" t="s">
        <v>902</v>
      </c>
      <c r="U112" s="196" t="s">
        <v>903</v>
      </c>
    </row>
    <row r="113" spans="1:21" ht="31" customHeight="1">
      <c r="A113">
        <v>108</v>
      </c>
      <c r="B113" s="180">
        <v>45625</v>
      </c>
      <c r="C113" s="179" t="s">
        <v>201</v>
      </c>
      <c r="D113" s="181" t="s">
        <v>897</v>
      </c>
      <c r="E113" s="183">
        <v>112570073</v>
      </c>
      <c r="F113" s="179" t="s">
        <v>239</v>
      </c>
      <c r="G113" s="179" t="s">
        <v>906</v>
      </c>
      <c r="H113" s="183" t="s">
        <v>42</v>
      </c>
      <c r="I113" s="183" t="s">
        <v>74</v>
      </c>
      <c r="J113" s="183" t="s">
        <v>75</v>
      </c>
      <c r="K113" s="185">
        <v>45763</v>
      </c>
      <c r="L113" s="187" t="s">
        <v>899</v>
      </c>
      <c r="M113" s="187" t="s">
        <v>900</v>
      </c>
      <c r="N113" s="189" t="s">
        <v>901</v>
      </c>
      <c r="O113" s="191">
        <v>15</v>
      </c>
      <c r="P113" s="183" t="s">
        <v>22</v>
      </c>
      <c r="Q113" s="183" t="s">
        <v>74</v>
      </c>
      <c r="R113" s="193"/>
      <c r="S113" s="179" t="str">
        <f t="shared" si="41"/>
        <v>001-001-00000319</v>
      </c>
      <c r="T113" s="189" t="s">
        <v>902</v>
      </c>
      <c r="U113" s="196" t="s">
        <v>903</v>
      </c>
    </row>
    <row r="114" spans="1:21" ht="31" customHeight="1">
      <c r="A114">
        <v>109</v>
      </c>
      <c r="B114" s="180">
        <v>45625</v>
      </c>
      <c r="C114" s="179" t="s">
        <v>201</v>
      </c>
      <c r="D114" s="181" t="s">
        <v>897</v>
      </c>
      <c r="E114" s="183">
        <v>40480321</v>
      </c>
      <c r="F114" s="179" t="s">
        <v>904</v>
      </c>
      <c r="G114" s="179" t="s">
        <v>907</v>
      </c>
      <c r="H114" s="183" t="s">
        <v>42</v>
      </c>
      <c r="I114" s="183" t="s">
        <v>74</v>
      </c>
      <c r="J114" s="183" t="s">
        <v>75</v>
      </c>
      <c r="K114" s="185">
        <v>45763</v>
      </c>
      <c r="L114" s="187" t="s">
        <v>899</v>
      </c>
      <c r="M114" s="187" t="s">
        <v>900</v>
      </c>
      <c r="N114" s="189" t="s">
        <v>901</v>
      </c>
      <c r="O114" s="191">
        <v>30</v>
      </c>
      <c r="P114" s="183" t="s">
        <v>22</v>
      </c>
      <c r="Q114" s="183" t="s">
        <v>74</v>
      </c>
      <c r="R114" s="193"/>
      <c r="S114" s="179" t="str">
        <f t="shared" si="41"/>
        <v>001-001-00000319</v>
      </c>
      <c r="T114" s="189" t="s">
        <v>902</v>
      </c>
      <c r="U114" s="196" t="s">
        <v>903</v>
      </c>
    </row>
    <row r="115" spans="1:21" ht="31" customHeight="1">
      <c r="A115">
        <v>111</v>
      </c>
      <c r="B115" s="180">
        <v>45728</v>
      </c>
      <c r="C115" s="179" t="s">
        <v>113</v>
      </c>
      <c r="D115" s="181" t="s">
        <v>908</v>
      </c>
      <c r="E115" s="183">
        <v>112520025</v>
      </c>
      <c r="F115" s="179" t="s">
        <v>733</v>
      </c>
      <c r="G115" s="179" t="s">
        <v>909</v>
      </c>
      <c r="H115" s="183" t="s">
        <v>42</v>
      </c>
      <c r="I115" s="183" t="s">
        <v>74</v>
      </c>
      <c r="J115" s="183" t="s">
        <v>75</v>
      </c>
      <c r="K115" s="185">
        <v>45764</v>
      </c>
      <c r="L115" s="187" t="s">
        <v>911</v>
      </c>
      <c r="M115" s="187" t="s">
        <v>912</v>
      </c>
      <c r="N115" s="189" t="s">
        <v>913</v>
      </c>
      <c r="O115" s="191">
        <v>20</v>
      </c>
      <c r="P115" s="183" t="s">
        <v>22</v>
      </c>
      <c r="Q115" s="183" t="s">
        <v>74</v>
      </c>
      <c r="R115" s="193"/>
      <c r="S115" s="179" t="str">
        <f t="shared" ref="S115" si="42">D115</f>
        <v>043-905-000062718</v>
      </c>
      <c r="T115" s="189" t="s">
        <v>810</v>
      </c>
      <c r="U115" s="196" t="s">
        <v>811</v>
      </c>
    </row>
    <row r="116" spans="1:21" ht="31" customHeight="1">
      <c r="A116">
        <v>112</v>
      </c>
      <c r="B116" s="180">
        <v>45728</v>
      </c>
      <c r="C116" s="179" t="s">
        <v>113</v>
      </c>
      <c r="D116" s="181" t="s">
        <v>908</v>
      </c>
      <c r="E116" s="183">
        <v>40480321</v>
      </c>
      <c r="F116" s="179" t="s">
        <v>904</v>
      </c>
      <c r="G116" s="179" t="s">
        <v>910</v>
      </c>
      <c r="H116" s="183" t="s">
        <v>42</v>
      </c>
      <c r="I116" s="183" t="s">
        <v>74</v>
      </c>
      <c r="J116" s="183" t="s">
        <v>75</v>
      </c>
      <c r="K116" s="185">
        <v>45764</v>
      </c>
      <c r="L116" s="187" t="s">
        <v>911</v>
      </c>
      <c r="M116" s="187" t="s">
        <v>912</v>
      </c>
      <c r="N116" s="189" t="s">
        <v>913</v>
      </c>
      <c r="O116" s="191">
        <v>30</v>
      </c>
      <c r="P116" s="183" t="s">
        <v>22</v>
      </c>
      <c r="Q116" s="183" t="s">
        <v>74</v>
      </c>
      <c r="R116" s="193"/>
      <c r="S116" s="179" t="str">
        <f t="shared" ref="S116" si="43">D116</f>
        <v>043-905-000062718</v>
      </c>
      <c r="T116" s="189" t="s">
        <v>810</v>
      </c>
      <c r="U116" s="196" t="s">
        <v>811</v>
      </c>
    </row>
    <row r="117" spans="1:21" ht="31" customHeight="1">
      <c r="A117">
        <v>112</v>
      </c>
      <c r="B117" s="180">
        <v>45660</v>
      </c>
      <c r="C117" s="179" t="s">
        <v>477</v>
      </c>
      <c r="D117" s="181" t="s">
        <v>919</v>
      </c>
      <c r="E117" s="183">
        <v>112580017</v>
      </c>
      <c r="F117" s="179" t="s">
        <v>688</v>
      </c>
      <c r="G117" s="179" t="s">
        <v>920</v>
      </c>
      <c r="H117" s="183" t="s">
        <v>42</v>
      </c>
      <c r="I117" s="183" t="s">
        <v>74</v>
      </c>
      <c r="J117" s="183" t="s">
        <v>75</v>
      </c>
      <c r="K117" s="185">
        <v>45764</v>
      </c>
      <c r="L117" s="187" t="s">
        <v>921</v>
      </c>
      <c r="M117" s="187" t="s">
        <v>922</v>
      </c>
      <c r="N117" s="189" t="s">
        <v>923</v>
      </c>
      <c r="O117" s="191">
        <v>20</v>
      </c>
      <c r="P117" s="183" t="s">
        <v>22</v>
      </c>
      <c r="Q117" s="183" t="s">
        <v>74</v>
      </c>
      <c r="R117" s="193"/>
      <c r="S117" s="179" t="str">
        <f t="shared" ref="S117" si="44">D117</f>
        <v>040-103-000010855</v>
      </c>
      <c r="T117" s="189" t="s">
        <v>924</v>
      </c>
      <c r="U117" s="196" t="s">
        <v>925</v>
      </c>
    </row>
    <row r="118" spans="1:21" ht="31" customHeight="1">
      <c r="A118">
        <v>112</v>
      </c>
      <c r="B118" s="180">
        <v>45686</v>
      </c>
      <c r="C118" s="179" t="s">
        <v>859</v>
      </c>
      <c r="D118" s="181" t="s">
        <v>926</v>
      </c>
      <c r="E118" s="183">
        <v>40446702</v>
      </c>
      <c r="F118" s="179" t="s">
        <v>797</v>
      </c>
      <c r="G118" s="179" t="s">
        <v>927</v>
      </c>
      <c r="H118" s="183" t="s">
        <v>42</v>
      </c>
      <c r="I118" s="183" t="s">
        <v>74</v>
      </c>
      <c r="J118" s="183" t="s">
        <v>75</v>
      </c>
      <c r="K118" s="185">
        <v>45764</v>
      </c>
      <c r="L118" s="187" t="s">
        <v>921</v>
      </c>
      <c r="M118" s="187" t="s">
        <v>922</v>
      </c>
      <c r="N118" s="189" t="s">
        <v>923</v>
      </c>
      <c r="O118" s="191">
        <v>20</v>
      </c>
      <c r="P118" s="183" t="s">
        <v>22</v>
      </c>
      <c r="Q118" s="183" t="s">
        <v>74</v>
      </c>
      <c r="R118" s="193"/>
      <c r="S118" s="179" t="str">
        <f t="shared" ref="S118" si="45">D118</f>
        <v>014-004-000065316</v>
      </c>
      <c r="T118" s="189" t="s">
        <v>924</v>
      </c>
      <c r="U118" s="196" t="s">
        <v>925</v>
      </c>
    </row>
    <row r="119" spans="1:21">
      <c r="O119" s="105">
        <f>SUM(O6:O118)</f>
        <v>1995</v>
      </c>
    </row>
    <row r="123" spans="1:21">
      <c r="K123">
        <v>3</v>
      </c>
      <c r="L123">
        <v>30</v>
      </c>
      <c r="M123">
        <f>K123*L123</f>
        <v>90</v>
      </c>
    </row>
    <row r="124" spans="1:21">
      <c r="K124">
        <v>59</v>
      </c>
      <c r="L124">
        <v>15</v>
      </c>
      <c r="M124">
        <f>K124*L124</f>
        <v>885</v>
      </c>
    </row>
    <row r="125" spans="1:21">
      <c r="K125">
        <v>51</v>
      </c>
      <c r="L125">
        <v>20</v>
      </c>
      <c r="M125">
        <f>K125*L125</f>
        <v>1020</v>
      </c>
    </row>
    <row r="126" spans="1:21">
      <c r="M126">
        <f>SUM(M123:M125)</f>
        <v>1995</v>
      </c>
    </row>
  </sheetData>
  <hyperlinks>
    <hyperlink ref="U6" r:id="rId1" xr:uid="{5489CE4B-625B-2F44-8E51-09DF697EFC69}"/>
    <hyperlink ref="U7" r:id="rId2" xr:uid="{385BAD4A-188B-D449-81E6-91F8D10E8337}"/>
    <hyperlink ref="U8" r:id="rId3" xr:uid="{0445A494-DD32-B342-8608-AF22FBFE28E7}"/>
    <hyperlink ref="U9" r:id="rId4" xr:uid="{6996E293-36AF-2A4B-B86C-ABC64C83B798}"/>
    <hyperlink ref="U10" r:id="rId5" xr:uid="{1287EC0B-FAE6-3C46-873D-423AC974DAE8}"/>
    <hyperlink ref="U11" r:id="rId6" xr:uid="{7AD6A4F6-0E3D-4248-A10A-E25D57554309}"/>
    <hyperlink ref="U12" r:id="rId7" xr:uid="{C0A09A79-3437-3644-BA9B-689207377197}"/>
    <hyperlink ref="U13" r:id="rId8" xr:uid="{025D1D0A-E39F-194A-BCB9-0CE16EB216EE}"/>
    <hyperlink ref="U14" r:id="rId9" xr:uid="{13974111-2227-CF4A-877F-FA7D1D04D938}"/>
    <hyperlink ref="U15" r:id="rId10" xr:uid="{5BFF64A6-B616-5849-86DA-8DC70B0FF41D}"/>
    <hyperlink ref="U16" r:id="rId11" xr:uid="{ACA50B81-EBB7-D24D-87EB-AFB0A243F85F}"/>
    <hyperlink ref="U17" r:id="rId12" xr:uid="{B1B15DA6-C129-2F47-B5F3-2483FAA42820}"/>
    <hyperlink ref="U18" r:id="rId13" xr:uid="{49304962-1EAF-4D45-B1F4-2F0CE0435848}"/>
    <hyperlink ref="U19" r:id="rId14" xr:uid="{184CF29A-9CB6-9B40-86AA-E9400917764B}"/>
    <hyperlink ref="U20" r:id="rId15" xr:uid="{5BBA1D64-7439-2B40-B9F3-A6DFC9B264BD}"/>
    <hyperlink ref="U21" r:id="rId16" xr:uid="{140720CA-5E26-9B49-937B-138332A80878}"/>
    <hyperlink ref="U22" r:id="rId17" xr:uid="{636C1CE8-4E4C-FF48-A2D3-B81BB7D98DB5}"/>
    <hyperlink ref="U25" r:id="rId18" xr:uid="{A940A7BF-24A9-6F4A-AE0D-5EBD89BC4174}"/>
    <hyperlink ref="U26" r:id="rId19" xr:uid="{82A78D8E-0B60-AB4D-BE72-48939BBD49B1}"/>
    <hyperlink ref="U27" r:id="rId20" xr:uid="{40E13325-B0DF-F947-83F2-919F8372B214}"/>
    <hyperlink ref="U28" r:id="rId21" xr:uid="{4BEAA5B0-1104-8347-9F17-625E9403A0B0}"/>
    <hyperlink ref="U29" r:id="rId22" xr:uid="{AB064BC1-92E3-1244-A6A0-13D0EEE199F7}"/>
    <hyperlink ref="U30" r:id="rId23" xr:uid="{A049E357-B60B-F44D-A7B9-32C0731288E6}"/>
    <hyperlink ref="U31" r:id="rId24" xr:uid="{89EDC260-340C-9A49-B030-0D92CCC240E8}"/>
    <hyperlink ref="U34" r:id="rId25" xr:uid="{025CA2CF-8BEF-9646-89E2-2A2F5BCFE702}"/>
    <hyperlink ref="U35" r:id="rId26" display="mailto:dignasaltoc@gmail.com" xr:uid="{FF4DC64D-8CE4-A448-A013-E3530FA126CA}"/>
    <hyperlink ref="U32" r:id="rId27" xr:uid="{707F0E2C-0C7A-C646-933B-66D46EBB77B6}"/>
    <hyperlink ref="U33" r:id="rId28" xr:uid="{1CA2F5A7-03B4-354F-8402-1F76ECEC5296}"/>
    <hyperlink ref="U36" r:id="rId29" xr:uid="{B4C37CD6-6D5A-A74C-A829-BAA8C508CF61}"/>
    <hyperlink ref="U37" r:id="rId30" xr:uid="{5B4A12F7-832A-2446-A28C-5F64C0D10600}"/>
    <hyperlink ref="U38" r:id="rId31" xr:uid="{B63BF5BC-60B1-4546-BE9B-F68169A669EA}"/>
    <hyperlink ref="U39" r:id="rId32" xr:uid="{2367B66C-7B65-6B42-8148-1CB05DC71E3B}"/>
    <hyperlink ref="U40" r:id="rId33" xr:uid="{CC0949D3-884A-8040-8042-EA6DDFBCAB4C}"/>
    <hyperlink ref="U41" r:id="rId34" xr:uid="{D3E56BB9-0D89-6548-A351-14974293CA81}"/>
    <hyperlink ref="U42" r:id="rId35" xr:uid="{EA8D1F4B-95EF-E749-B75D-8E6CF5001FC9}"/>
    <hyperlink ref="U43" r:id="rId36" xr:uid="{2AAFC952-53E8-0B42-AA89-7106AAEA4F66}"/>
    <hyperlink ref="U44" r:id="rId37" xr:uid="{45EFC06E-BE4B-2F46-9DAC-53959D7DC7F6}"/>
    <hyperlink ref="U45" r:id="rId38" xr:uid="{6F79AB3A-88F8-F74F-B3E7-35AC10CBB1FB}"/>
    <hyperlink ref="U46" r:id="rId39" xr:uid="{FBD66A3E-C241-DE49-AEFD-B1B5C2B807CA}"/>
    <hyperlink ref="U47" r:id="rId40" xr:uid="{5CCB067C-E23C-9947-9FC4-65B2A80FD079}"/>
    <hyperlink ref="U48" r:id="rId41" xr:uid="{97E125F6-E0CE-BE45-BD4A-050C1611C3EF}"/>
    <hyperlink ref="U49" r:id="rId42" xr:uid="{BA7D1C4A-9B43-3A46-94C8-67B93E2F2CBF}"/>
    <hyperlink ref="U50" r:id="rId43" xr:uid="{7136E0BB-03C0-B144-B205-DC87324754A5}"/>
    <hyperlink ref="U51" r:id="rId44" xr:uid="{337503FD-DA38-0B44-AF32-C98755DEF426}"/>
    <hyperlink ref="U52" r:id="rId45" xr:uid="{DEBEF2E5-E7C2-CC45-AF88-0EBD532219A0}"/>
    <hyperlink ref="U53" r:id="rId46" xr:uid="{6B2A49CB-C949-9F41-83A9-F4474C033A25}"/>
    <hyperlink ref="U54" r:id="rId47" xr:uid="{87A5A2FD-E136-8B4A-AF5F-7130BE2CFEFE}"/>
    <hyperlink ref="U55" r:id="rId48" xr:uid="{01B6146D-6D9E-194D-9F1C-6D2A4F026759}"/>
    <hyperlink ref="U56" r:id="rId49" xr:uid="{33DA47C2-A32D-6147-8706-1A6ABB2AFC17}"/>
    <hyperlink ref="U57" r:id="rId50" xr:uid="{4BC5BB8B-250E-5D47-B6B4-CB2FDC55C8BF}"/>
    <hyperlink ref="U58" r:id="rId51" xr:uid="{16B5D6D3-A933-1C4F-8CD5-45EB52BCDCF2}"/>
    <hyperlink ref="U59" r:id="rId52" xr:uid="{8A516B19-E31F-9948-9387-A29EDD53A0FC}"/>
    <hyperlink ref="U60" r:id="rId53" xr:uid="{ADD1B145-8A9D-DB43-A45E-45B67B9D2D6B}"/>
    <hyperlink ref="U61" r:id="rId54" xr:uid="{FCE085EE-24C8-204D-B2AE-D62A83E0386F}"/>
    <hyperlink ref="U62" r:id="rId55" xr:uid="{674CD2D7-4F1B-764D-BB58-99B2837F4326}"/>
    <hyperlink ref="U63" r:id="rId56" xr:uid="{4A512003-63C6-EC4A-A673-8B37AF85ACED}"/>
    <hyperlink ref="U64" r:id="rId57" xr:uid="{6B3DA8BD-8FF6-694A-A4FD-1D36D87E5189}"/>
    <hyperlink ref="U65" r:id="rId58" xr:uid="{6DAAE48C-F918-1847-A5E0-839B082B26A4}"/>
    <hyperlink ref="U66" r:id="rId59" xr:uid="{69D05261-AA9D-D34A-B489-760FEFCF67C9}"/>
    <hyperlink ref="U67" r:id="rId60" xr:uid="{E147C479-8DA3-F74A-8512-25EE5058C8F0}"/>
    <hyperlink ref="U68" r:id="rId61" xr:uid="{7B19DD97-7D2B-CB4E-9A2E-E49F4DE637A0}"/>
    <hyperlink ref="U69" r:id="rId62" xr:uid="{1BC9DD00-CC59-BE46-8F4E-0156BF232F09}"/>
    <hyperlink ref="U70" r:id="rId63" xr:uid="{2FFA0273-25D5-034B-B9B6-CC6E2BC929DC}"/>
    <hyperlink ref="U71" r:id="rId64" xr:uid="{D2B024A8-9D29-3F42-94B6-D8E3EF2236E1}"/>
    <hyperlink ref="U72" r:id="rId65" xr:uid="{CE6FC260-C32B-774B-8864-F7D07FA221E9}"/>
    <hyperlink ref="U73" r:id="rId66" xr:uid="{A3218712-0F59-BC4F-ACFC-ED10A5216C56}"/>
    <hyperlink ref="U74" r:id="rId67" xr:uid="{ACB13375-CD68-BE4C-B795-EC5CA639644C}"/>
    <hyperlink ref="U75" r:id="rId68" xr:uid="{0595FC6A-F4B9-EB48-82F3-073FB51BBAF1}"/>
    <hyperlink ref="U76" r:id="rId69" xr:uid="{D674EEE4-EDAE-C746-BE7E-EC9F7716A3CE}"/>
    <hyperlink ref="U77" r:id="rId70" xr:uid="{A4D494C0-A76C-604D-9B15-4485DD5C7363}"/>
    <hyperlink ref="U78" r:id="rId71" xr:uid="{A77506F5-5D11-FA4B-9966-DF672B176AA3}"/>
    <hyperlink ref="U79" r:id="rId72" xr:uid="{DA3F7248-F166-9544-824E-8DB5A9967201}"/>
    <hyperlink ref="U80" r:id="rId73" xr:uid="{1EE1C362-E6E4-5149-A526-52FA3D631209}"/>
    <hyperlink ref="U81" r:id="rId74" xr:uid="{9F9A7F14-8002-A940-B905-B0A79CAF8074}"/>
    <hyperlink ref="U82" r:id="rId75" xr:uid="{15B7A768-9725-A642-A11A-DF44AD070548}"/>
    <hyperlink ref="U83" r:id="rId76" xr:uid="{A0E37531-FF2D-D64D-A7BD-E254F8266A3A}"/>
    <hyperlink ref="U84" r:id="rId77" xr:uid="{3852A551-8225-8941-BDC1-4678B563BD56}"/>
    <hyperlink ref="U85" r:id="rId78" xr:uid="{00493DC6-95BF-BA41-B4F1-0F5AC929424F}"/>
    <hyperlink ref="U86" r:id="rId79" xr:uid="{C7A33D9F-92D3-3B40-9596-EE2AE0EB305B}"/>
    <hyperlink ref="U87" r:id="rId80" xr:uid="{D3D91F3B-C564-7B48-AA8E-B58BEB0A52AC}"/>
    <hyperlink ref="U88" r:id="rId81" xr:uid="{6593A10F-3766-7D40-A9EB-2B8B6927F9D0}"/>
    <hyperlink ref="U89" r:id="rId82" xr:uid="{1BC44516-9176-7E4B-B400-B64BD5D57152}"/>
    <hyperlink ref="U90" r:id="rId83" xr:uid="{4BA2BBAA-13CF-5245-91B4-AC2146018FDF}"/>
    <hyperlink ref="U91" r:id="rId84" xr:uid="{FB53A539-B436-114E-A520-5954B397E544}"/>
    <hyperlink ref="U92" r:id="rId85" xr:uid="{8B00F210-A607-5549-8E2D-18854C65F0B5}"/>
    <hyperlink ref="U93" r:id="rId86" xr:uid="{E1C11AE6-DA59-C840-8C48-C59FF1097170}"/>
    <hyperlink ref="U94" r:id="rId87" xr:uid="{5101F587-8C7C-2947-9631-945704976B6E}"/>
    <hyperlink ref="U95" r:id="rId88" xr:uid="{9A01634A-075A-6445-B27B-A880E0F74EB2}"/>
    <hyperlink ref="U96" r:id="rId89" xr:uid="{08C2722B-BE46-1941-A466-ADBBB3509E0F}"/>
    <hyperlink ref="U97" r:id="rId90" xr:uid="{74CA91C9-D61E-F34C-80C5-70D79BEAE047}"/>
    <hyperlink ref="U98" r:id="rId91" xr:uid="{F6131525-6F66-DE42-9F0A-C3594A3CC09F}"/>
    <hyperlink ref="U99" r:id="rId92" xr:uid="{D5820F74-708F-8A4B-BE36-77291E8CB197}"/>
    <hyperlink ref="U100" r:id="rId93" xr:uid="{2E3DE327-2DC3-4247-BC7D-1A19E3E10878}"/>
    <hyperlink ref="U101" r:id="rId94" xr:uid="{030365BE-3FBE-1C4B-B050-30A14FD901C2}"/>
    <hyperlink ref="U102" r:id="rId95" xr:uid="{BA42A6CF-C403-504A-9F3B-11E0A17B8FB6}"/>
    <hyperlink ref="U103" r:id="rId96" xr:uid="{100ACB1C-5FB7-C648-8D2F-700767BDF3D2}"/>
    <hyperlink ref="U104" r:id="rId97" xr:uid="{217751AB-280A-0447-A890-D089DE90540D}"/>
    <hyperlink ref="U105" r:id="rId98" xr:uid="{28E46283-6975-4149-B68D-5170CAFAC437}"/>
    <hyperlink ref="U106" r:id="rId99" xr:uid="{A6EBE90E-181D-1049-9D89-52D81C8A83B0}"/>
    <hyperlink ref="U107" r:id="rId100" xr:uid="{E4838A78-4346-F043-8079-5D1E05808255}"/>
    <hyperlink ref="U108" r:id="rId101" xr:uid="{A4081518-0F22-2F45-9427-BA6699B3F296}"/>
    <hyperlink ref="U109" r:id="rId102" xr:uid="{0CC990A6-6F1C-554D-A80D-25AD81E8FE91}"/>
    <hyperlink ref="U110" r:id="rId103" xr:uid="{AA22A4BD-7205-054A-803D-D793F4C7BF26}"/>
    <hyperlink ref="U111" r:id="rId104" xr:uid="{85D36FFB-BE85-3D4B-819C-6DBD42FDC00F}"/>
    <hyperlink ref="U112:U114" r:id="rId105" display="amorosoremigio@gmail.com" xr:uid="{526565C6-DF92-AF40-B54C-4DC672E3EB42}"/>
    <hyperlink ref="U115" r:id="rId106" xr:uid="{BD8F1D0B-1CD7-F643-AE1C-DDD68E3E9DA7}"/>
    <hyperlink ref="U116" r:id="rId107" xr:uid="{9F157F7F-95F5-BC47-A02D-C5830A875816}"/>
    <hyperlink ref="U23" r:id="rId108" xr:uid="{EA8474D2-2FDD-0B43-A222-1FBA91A8F1E6}"/>
    <hyperlink ref="U24" r:id="rId109" xr:uid="{E0229287-3485-A84E-9687-D0324C943A58}"/>
    <hyperlink ref="U117" r:id="rId110" xr:uid="{1EBC0074-3591-884E-93B8-8C3937B6064A}"/>
    <hyperlink ref="U118" r:id="rId111" xr:uid="{CB54CF38-7A0F-104B-94B2-703D4DB5F8A2}"/>
  </hyperlinks>
  <pageMargins left="0.7" right="0.7" top="0.75" bottom="0.75" header="0.3" footer="0.3"/>
  <pageSetup paperSize="9" orientation="portrait" horizontalDpi="0" verticalDpi="0" r:id="rId112"/>
  <drawing r:id="rId1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47"/>
  <sheetViews>
    <sheetView topLeftCell="A17" zoomScaleNormal="100" workbookViewId="0">
      <selection activeCell="B18" sqref="B18:S18"/>
    </sheetView>
  </sheetViews>
  <sheetFormatPr baseColWidth="10" defaultRowHeight="15"/>
  <cols>
    <col min="1" max="1" width="5.3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32.5" customWidth="1"/>
    <col min="17" max="17" width="12.83203125" bestFit="1" customWidth="1"/>
    <col min="18" max="18" width="11.6640625" bestFit="1" customWidth="1"/>
    <col min="19" max="19" width="24.33203125" customWidth="1"/>
  </cols>
  <sheetData>
    <row r="2" spans="1:20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8"/>
      <c r="B3" s="29"/>
      <c r="C3" s="30" t="s">
        <v>0</v>
      </c>
      <c r="D3" s="31"/>
      <c r="E3" s="32"/>
      <c r="F3" s="33"/>
      <c r="G3" s="34"/>
      <c r="H3" s="35"/>
      <c r="I3" s="35"/>
      <c r="J3" s="35"/>
      <c r="K3" s="35"/>
      <c r="L3" s="35"/>
      <c r="M3" s="36"/>
      <c r="N3" s="35"/>
      <c r="O3" s="28"/>
      <c r="P3" s="35"/>
      <c r="Q3" s="35"/>
      <c r="R3" s="35"/>
      <c r="S3" s="35"/>
    </row>
    <row r="4" spans="1:20">
      <c r="A4" s="28"/>
      <c r="B4" s="29"/>
      <c r="C4" s="37" t="s">
        <v>1</v>
      </c>
      <c r="D4" s="38"/>
      <c r="E4" s="39"/>
      <c r="F4" s="39"/>
      <c r="G4" s="34"/>
      <c r="H4" s="35"/>
      <c r="I4" s="35"/>
      <c r="J4" s="35"/>
      <c r="K4" s="35"/>
      <c r="L4" s="35"/>
      <c r="M4" s="36"/>
      <c r="N4" s="35"/>
      <c r="O4" s="28"/>
      <c r="P4" s="35"/>
      <c r="Q4" s="35"/>
      <c r="R4" s="35"/>
      <c r="S4" s="35"/>
    </row>
    <row r="5" spans="1:20" ht="28.5" customHeight="1">
      <c r="B5" s="40" t="s">
        <v>79</v>
      </c>
      <c r="C5" s="41"/>
      <c r="D5" s="42"/>
      <c r="E5" s="43" t="s">
        <v>24</v>
      </c>
      <c r="F5" s="44"/>
      <c r="G5" s="45"/>
      <c r="H5" s="46"/>
      <c r="I5" s="42"/>
      <c r="J5" s="47"/>
      <c r="K5" s="47"/>
      <c r="L5" s="48"/>
      <c r="M5" s="49" t="s">
        <v>86</v>
      </c>
      <c r="O5" s="50"/>
    </row>
    <row r="6" spans="1:20">
      <c r="B6" s="51" t="s">
        <v>25</v>
      </c>
      <c r="C6" s="52"/>
      <c r="D6" s="53"/>
      <c r="E6" s="53"/>
      <c r="F6" s="53"/>
      <c r="G6" s="53"/>
      <c r="H6" s="53"/>
      <c r="I6" s="53"/>
      <c r="J6" s="53"/>
      <c r="K6" s="53"/>
      <c r="L6" s="53"/>
      <c r="M6" s="54"/>
      <c r="O6" s="50"/>
    </row>
    <row r="7" spans="1:20">
      <c r="B7" s="55" t="s">
        <v>916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7"/>
      <c r="O7" s="50"/>
    </row>
    <row r="8" spans="1:20" s="25" customFormat="1" ht="34">
      <c r="A8"/>
      <c r="B8" s="106" t="s">
        <v>26</v>
      </c>
      <c r="C8" s="106" t="s">
        <v>27</v>
      </c>
      <c r="D8" s="106" t="s">
        <v>28</v>
      </c>
      <c r="E8" s="106" t="s">
        <v>29</v>
      </c>
      <c r="F8" s="106" t="s">
        <v>30</v>
      </c>
      <c r="G8" s="106" t="s">
        <v>31</v>
      </c>
      <c r="H8" s="106" t="s">
        <v>32</v>
      </c>
      <c r="I8" s="106" t="s">
        <v>33</v>
      </c>
      <c r="J8" s="106" t="s">
        <v>34</v>
      </c>
      <c r="K8" s="106" t="s">
        <v>35</v>
      </c>
      <c r="L8" s="106" t="s">
        <v>36</v>
      </c>
      <c r="M8" s="106" t="s">
        <v>37</v>
      </c>
      <c r="N8" s="106" t="s">
        <v>38</v>
      </c>
      <c r="O8" s="106" t="s">
        <v>39</v>
      </c>
      <c r="P8" s="106" t="s">
        <v>40</v>
      </c>
      <c r="Q8" s="106" t="s">
        <v>41</v>
      </c>
      <c r="R8" s="107" t="s">
        <v>18</v>
      </c>
      <c r="S8" s="108" t="s">
        <v>19</v>
      </c>
    </row>
    <row r="9" spans="1:20" s="139" customFormat="1" ht="52" customHeight="1">
      <c r="A9" s="137">
        <v>1</v>
      </c>
      <c r="B9" s="211">
        <v>44679</v>
      </c>
      <c r="C9" s="212">
        <v>45733</v>
      </c>
      <c r="D9" s="213">
        <v>1</v>
      </c>
      <c r="E9" s="213">
        <v>60803127</v>
      </c>
      <c r="F9" s="214" t="s">
        <v>90</v>
      </c>
      <c r="G9" s="215">
        <v>112500011</v>
      </c>
      <c r="H9" s="216" t="s">
        <v>91</v>
      </c>
      <c r="I9" s="217" t="s">
        <v>92</v>
      </c>
      <c r="J9" s="218" t="s">
        <v>42</v>
      </c>
      <c r="K9" s="215" t="s">
        <v>76</v>
      </c>
      <c r="L9" s="215" t="s">
        <v>148</v>
      </c>
      <c r="M9" s="214" t="s">
        <v>93</v>
      </c>
      <c r="N9" s="219">
        <v>12.5</v>
      </c>
      <c r="O9" s="220" t="s">
        <v>100</v>
      </c>
      <c r="P9" s="221" t="s">
        <v>94</v>
      </c>
      <c r="Q9" s="156" t="s">
        <v>102</v>
      </c>
      <c r="R9" s="136"/>
      <c r="S9" s="136" t="s">
        <v>95</v>
      </c>
      <c r="T9" s="138"/>
    </row>
    <row r="10" spans="1:20" s="209" customFormat="1" ht="52" customHeight="1">
      <c r="A10" s="208">
        <v>2</v>
      </c>
      <c r="B10" s="222">
        <v>45552</v>
      </c>
      <c r="C10" s="223">
        <v>45733</v>
      </c>
      <c r="D10" s="224">
        <v>1</v>
      </c>
      <c r="E10" s="224">
        <v>60803326</v>
      </c>
      <c r="F10" s="225" t="s">
        <v>948</v>
      </c>
      <c r="G10" s="226">
        <v>112500049</v>
      </c>
      <c r="H10" s="225" t="s">
        <v>764</v>
      </c>
      <c r="I10" s="227" t="s">
        <v>949</v>
      </c>
      <c r="J10" s="228" t="s">
        <v>42</v>
      </c>
      <c r="K10" s="226" t="s">
        <v>76</v>
      </c>
      <c r="L10" s="226" t="s">
        <v>950</v>
      </c>
      <c r="M10" s="229" t="s">
        <v>951</v>
      </c>
      <c r="N10" s="230">
        <v>12.5</v>
      </c>
      <c r="O10" s="231">
        <v>500609417</v>
      </c>
      <c r="P10" s="232" t="s">
        <v>952</v>
      </c>
      <c r="Q10" s="233">
        <v>994509684</v>
      </c>
      <c r="R10" s="233"/>
      <c r="S10" s="234" t="s">
        <v>953</v>
      </c>
    </row>
    <row r="11" spans="1:20" s="139" customFormat="1" ht="52" customHeight="1">
      <c r="A11" s="137">
        <v>3</v>
      </c>
      <c r="B11" s="211">
        <v>45624</v>
      </c>
      <c r="C11" s="212">
        <v>45733</v>
      </c>
      <c r="D11" s="213">
        <v>1</v>
      </c>
      <c r="E11" s="213"/>
      <c r="F11" s="214"/>
      <c r="G11" s="215">
        <v>40297052</v>
      </c>
      <c r="H11" s="216" t="s">
        <v>96</v>
      </c>
      <c r="I11" s="217">
        <v>2524040566</v>
      </c>
      <c r="J11" s="218" t="s">
        <v>42</v>
      </c>
      <c r="K11" s="215" t="s">
        <v>76</v>
      </c>
      <c r="L11" s="215" t="s">
        <v>97</v>
      </c>
      <c r="M11" s="214" t="s">
        <v>98</v>
      </c>
      <c r="N11" s="219">
        <v>12.5</v>
      </c>
      <c r="O11" s="220" t="s">
        <v>99</v>
      </c>
      <c r="P11" s="221" t="s">
        <v>101</v>
      </c>
      <c r="Q11" s="156" t="s">
        <v>103</v>
      </c>
      <c r="R11" s="136"/>
      <c r="S11" s="136" t="s">
        <v>104</v>
      </c>
      <c r="T11" s="138"/>
    </row>
    <row r="12" spans="1:20" s="139" customFormat="1" ht="52" customHeight="1">
      <c r="A12" s="208">
        <v>4</v>
      </c>
      <c r="B12" s="211">
        <v>45668</v>
      </c>
      <c r="C12" s="212">
        <v>45733</v>
      </c>
      <c r="D12" s="213">
        <v>1</v>
      </c>
      <c r="E12" s="213"/>
      <c r="F12" s="214"/>
      <c r="G12" s="215">
        <v>113430018</v>
      </c>
      <c r="H12" s="216" t="s">
        <v>105</v>
      </c>
      <c r="I12" s="217" t="s">
        <v>106</v>
      </c>
      <c r="J12" s="218" t="s">
        <v>42</v>
      </c>
      <c r="K12" s="215" t="s">
        <v>76</v>
      </c>
      <c r="L12" s="215" t="s">
        <v>107</v>
      </c>
      <c r="M12" s="214" t="s">
        <v>108</v>
      </c>
      <c r="N12" s="219">
        <v>18.75</v>
      </c>
      <c r="O12" s="220" t="s">
        <v>109</v>
      </c>
      <c r="P12" s="221" t="s">
        <v>110</v>
      </c>
      <c r="Q12" s="156" t="s">
        <v>111</v>
      </c>
      <c r="R12" s="136"/>
      <c r="S12" s="136" t="s">
        <v>112</v>
      </c>
      <c r="T12" s="138"/>
    </row>
    <row r="13" spans="1:20" s="209" customFormat="1" ht="52" customHeight="1">
      <c r="A13" s="137">
        <v>5</v>
      </c>
      <c r="B13" s="222">
        <v>44751</v>
      </c>
      <c r="C13" s="223">
        <v>45733</v>
      </c>
      <c r="D13" s="224">
        <v>1</v>
      </c>
      <c r="E13" s="224"/>
      <c r="F13" s="225"/>
      <c r="G13" s="226">
        <v>112520025</v>
      </c>
      <c r="H13" s="225" t="s">
        <v>733</v>
      </c>
      <c r="I13" s="227" t="s">
        <v>954</v>
      </c>
      <c r="J13" s="228" t="s">
        <v>42</v>
      </c>
      <c r="K13" s="226" t="s">
        <v>76</v>
      </c>
      <c r="L13" s="226" t="s">
        <v>955</v>
      </c>
      <c r="M13" s="229" t="s">
        <v>956</v>
      </c>
      <c r="N13" s="230">
        <v>12.5</v>
      </c>
      <c r="O13" s="231" t="s">
        <v>957</v>
      </c>
      <c r="P13" s="232" t="s">
        <v>958</v>
      </c>
      <c r="Q13" s="234">
        <v>989550351</v>
      </c>
      <c r="R13" s="234"/>
      <c r="S13" s="234" t="s">
        <v>959</v>
      </c>
    </row>
    <row r="14" spans="1:20" s="139" customFormat="1" ht="52" customHeight="1">
      <c r="A14" s="208">
        <v>6</v>
      </c>
      <c r="B14" s="211">
        <v>45014</v>
      </c>
      <c r="C14" s="212">
        <v>45733</v>
      </c>
      <c r="D14" s="213">
        <v>1</v>
      </c>
      <c r="E14" s="213" t="s">
        <v>164</v>
      </c>
      <c r="F14" s="214" t="s">
        <v>165</v>
      </c>
      <c r="G14" s="215">
        <v>115000008</v>
      </c>
      <c r="H14" s="216" t="s">
        <v>166</v>
      </c>
      <c r="I14" s="217"/>
      <c r="J14" s="218" t="s">
        <v>42</v>
      </c>
      <c r="K14" s="215" t="s">
        <v>76</v>
      </c>
      <c r="L14" s="215" t="s">
        <v>167</v>
      </c>
      <c r="M14" s="214" t="s">
        <v>168</v>
      </c>
      <c r="N14" s="219">
        <v>12.5</v>
      </c>
      <c r="O14" s="220" t="s">
        <v>169</v>
      </c>
      <c r="P14" s="221" t="s">
        <v>170</v>
      </c>
      <c r="Q14" s="156" t="s">
        <v>171</v>
      </c>
      <c r="R14" s="136"/>
      <c r="S14" s="136" t="s">
        <v>172</v>
      </c>
      <c r="T14" s="138"/>
    </row>
    <row r="15" spans="1:20" s="139" customFormat="1" ht="52" customHeight="1">
      <c r="A15" s="137">
        <v>7</v>
      </c>
      <c r="B15" s="211">
        <v>45564</v>
      </c>
      <c r="C15" s="212">
        <v>45734</v>
      </c>
      <c r="D15" s="213">
        <v>1</v>
      </c>
      <c r="E15" s="213"/>
      <c r="F15" s="214"/>
      <c r="G15" s="215">
        <v>112570211</v>
      </c>
      <c r="H15" s="216" t="s">
        <v>173</v>
      </c>
      <c r="I15" s="217" t="s">
        <v>174</v>
      </c>
      <c r="J15" s="218" t="s">
        <v>42</v>
      </c>
      <c r="K15" s="215" t="s">
        <v>76</v>
      </c>
      <c r="L15" s="215" t="s">
        <v>175</v>
      </c>
      <c r="M15" s="214" t="s">
        <v>176</v>
      </c>
      <c r="N15" s="219">
        <v>12.5</v>
      </c>
      <c r="O15" s="220" t="s">
        <v>177</v>
      </c>
      <c r="P15" s="221" t="s">
        <v>178</v>
      </c>
      <c r="Q15" s="156" t="s">
        <v>179</v>
      </c>
      <c r="R15" s="136"/>
      <c r="S15" s="136" t="s">
        <v>189</v>
      </c>
      <c r="T15" s="138"/>
    </row>
    <row r="16" spans="1:20" s="209" customFormat="1" ht="52" customHeight="1">
      <c r="A16" s="208">
        <v>8</v>
      </c>
      <c r="B16" s="222">
        <v>44884</v>
      </c>
      <c r="C16" s="223">
        <v>45735</v>
      </c>
      <c r="D16" s="224">
        <v>1</v>
      </c>
      <c r="E16" s="224"/>
      <c r="F16" s="225"/>
      <c r="G16" s="226">
        <v>40197255</v>
      </c>
      <c r="H16" s="225" t="s">
        <v>941</v>
      </c>
      <c r="I16" s="227" t="s">
        <v>960</v>
      </c>
      <c r="J16" s="228" t="s">
        <v>42</v>
      </c>
      <c r="K16" s="226" t="s">
        <v>76</v>
      </c>
      <c r="L16" s="226" t="s">
        <v>961</v>
      </c>
      <c r="M16" s="229" t="s">
        <v>962</v>
      </c>
      <c r="N16" s="230">
        <v>12.5</v>
      </c>
      <c r="O16" s="231" t="s">
        <v>963</v>
      </c>
      <c r="P16" s="232" t="s">
        <v>964</v>
      </c>
      <c r="Q16" s="234">
        <v>72828939</v>
      </c>
      <c r="R16" s="234"/>
      <c r="S16" s="234" t="s">
        <v>965</v>
      </c>
    </row>
    <row r="17" spans="1:20" s="139" customFormat="1" ht="52" customHeight="1">
      <c r="A17" s="137">
        <v>9</v>
      </c>
      <c r="B17" s="211">
        <v>45540</v>
      </c>
      <c r="C17" s="212">
        <v>45735</v>
      </c>
      <c r="D17" s="213">
        <v>1</v>
      </c>
      <c r="E17" s="213">
        <v>93172390</v>
      </c>
      <c r="F17" s="214" t="s">
        <v>180</v>
      </c>
      <c r="G17" s="215">
        <v>40589202</v>
      </c>
      <c r="H17" s="216" t="s">
        <v>181</v>
      </c>
      <c r="I17" s="217" t="s">
        <v>182</v>
      </c>
      <c r="J17" s="218" t="s">
        <v>42</v>
      </c>
      <c r="K17" s="215" t="s">
        <v>76</v>
      </c>
      <c r="L17" s="215" t="s">
        <v>183</v>
      </c>
      <c r="M17" s="214" t="s">
        <v>184</v>
      </c>
      <c r="N17" s="219">
        <v>15</v>
      </c>
      <c r="O17" s="220" t="s">
        <v>185</v>
      </c>
      <c r="P17" s="221" t="s">
        <v>186</v>
      </c>
      <c r="Q17" s="156" t="s">
        <v>187</v>
      </c>
      <c r="R17" s="136"/>
      <c r="S17" s="136" t="s">
        <v>188</v>
      </c>
      <c r="T17" s="138"/>
    </row>
    <row r="18" spans="1:20" s="210" customFormat="1" ht="52" customHeight="1">
      <c r="A18" s="208">
        <v>10</v>
      </c>
      <c r="B18" s="254">
        <v>45381</v>
      </c>
      <c r="C18" s="255">
        <v>45740</v>
      </c>
      <c r="D18" s="256">
        <v>1</v>
      </c>
      <c r="E18" s="256">
        <v>99119774</v>
      </c>
      <c r="F18" s="257" t="s">
        <v>940</v>
      </c>
      <c r="G18" s="258">
        <v>40197255</v>
      </c>
      <c r="H18" s="257" t="s">
        <v>941</v>
      </c>
      <c r="I18" s="259" t="s">
        <v>966</v>
      </c>
      <c r="J18" s="260" t="s">
        <v>42</v>
      </c>
      <c r="K18" s="258" t="s">
        <v>76</v>
      </c>
      <c r="L18" s="258" t="s">
        <v>967</v>
      </c>
      <c r="M18" s="261" t="s">
        <v>944</v>
      </c>
      <c r="N18" s="262">
        <v>12.5</v>
      </c>
      <c r="O18" s="263" t="s">
        <v>968</v>
      </c>
      <c r="P18" s="264" t="s">
        <v>969</v>
      </c>
      <c r="Q18" s="265">
        <v>990194159</v>
      </c>
      <c r="R18" s="265"/>
      <c r="S18" s="265" t="s">
        <v>970</v>
      </c>
    </row>
    <row r="19" spans="1:20" s="139" customFormat="1" ht="52" customHeight="1">
      <c r="A19" s="137">
        <v>11</v>
      </c>
      <c r="B19" s="211">
        <v>44965</v>
      </c>
      <c r="C19" s="212">
        <v>45740</v>
      </c>
      <c r="D19" s="213">
        <v>1</v>
      </c>
      <c r="E19" s="213"/>
      <c r="F19" s="214"/>
      <c r="G19" s="215">
        <v>40197255</v>
      </c>
      <c r="H19" s="216" t="s">
        <v>299</v>
      </c>
      <c r="I19" s="217" t="s">
        <v>300</v>
      </c>
      <c r="J19" s="218" t="s">
        <v>42</v>
      </c>
      <c r="K19" s="215" t="s">
        <v>76</v>
      </c>
      <c r="L19" s="215" t="s">
        <v>301</v>
      </c>
      <c r="M19" s="214" t="s">
        <v>302</v>
      </c>
      <c r="N19" s="219">
        <v>12.5</v>
      </c>
      <c r="O19" s="220" t="s">
        <v>303</v>
      </c>
      <c r="P19" s="221" t="s">
        <v>304</v>
      </c>
      <c r="Q19" s="156" t="s">
        <v>305</v>
      </c>
      <c r="R19" s="136"/>
      <c r="S19" s="136" t="s">
        <v>306</v>
      </c>
      <c r="T19" s="138"/>
    </row>
    <row r="20" spans="1:20" s="139" customFormat="1" ht="52" customHeight="1">
      <c r="A20" s="208">
        <v>12</v>
      </c>
      <c r="B20" s="211">
        <v>45256</v>
      </c>
      <c r="C20" s="212">
        <v>45741</v>
      </c>
      <c r="D20" s="213">
        <v>1</v>
      </c>
      <c r="E20" s="213">
        <v>81597018</v>
      </c>
      <c r="F20" s="214" t="s">
        <v>502</v>
      </c>
      <c r="G20" s="215">
        <v>41596121</v>
      </c>
      <c r="H20" s="216" t="s">
        <v>503</v>
      </c>
      <c r="I20" s="217" t="s">
        <v>504</v>
      </c>
      <c r="J20" s="218" t="s">
        <v>42</v>
      </c>
      <c r="K20" s="215" t="s">
        <v>76</v>
      </c>
      <c r="L20" s="215" t="s">
        <v>505</v>
      </c>
      <c r="M20" s="214" t="s">
        <v>506</v>
      </c>
      <c r="N20" s="219">
        <v>18.75</v>
      </c>
      <c r="O20" s="220" t="s">
        <v>507</v>
      </c>
      <c r="P20" s="221" t="s">
        <v>508</v>
      </c>
      <c r="Q20" s="156" t="s">
        <v>509</v>
      </c>
      <c r="R20" s="136"/>
      <c r="S20" s="136" t="s">
        <v>510</v>
      </c>
      <c r="T20" s="138"/>
    </row>
    <row r="21" spans="1:20" s="139" customFormat="1" ht="52" customHeight="1">
      <c r="A21" s="137">
        <v>13</v>
      </c>
      <c r="B21" s="211">
        <v>45419</v>
      </c>
      <c r="C21" s="212">
        <v>45741</v>
      </c>
      <c r="D21" s="213">
        <v>1</v>
      </c>
      <c r="E21" s="213">
        <v>60803268</v>
      </c>
      <c r="F21" s="214" t="s">
        <v>511</v>
      </c>
      <c r="G21" s="215">
        <v>112500098</v>
      </c>
      <c r="H21" s="216" t="s">
        <v>512</v>
      </c>
      <c r="I21" s="217" t="s">
        <v>513</v>
      </c>
      <c r="J21" s="218" t="s">
        <v>42</v>
      </c>
      <c r="K21" s="215" t="s">
        <v>76</v>
      </c>
      <c r="L21" s="215" t="s">
        <v>514</v>
      </c>
      <c r="M21" s="214" t="s">
        <v>515</v>
      </c>
      <c r="N21" s="219">
        <v>12.5</v>
      </c>
      <c r="O21" s="220" t="s">
        <v>516</v>
      </c>
      <c r="P21" s="221" t="s">
        <v>517</v>
      </c>
      <c r="Q21" s="156" t="s">
        <v>518</v>
      </c>
      <c r="R21" s="136"/>
      <c r="S21" s="136" t="s">
        <v>519</v>
      </c>
      <c r="T21" s="138"/>
    </row>
    <row r="22" spans="1:20" s="209" customFormat="1" ht="52" customHeight="1">
      <c r="A22" s="208">
        <v>14</v>
      </c>
      <c r="B22" s="235">
        <v>45154</v>
      </c>
      <c r="C22" s="236">
        <v>45742</v>
      </c>
      <c r="D22" s="237">
        <v>1</v>
      </c>
      <c r="E22" s="237">
        <v>83340602</v>
      </c>
      <c r="F22" s="238" t="s">
        <v>928</v>
      </c>
      <c r="G22" s="239">
        <v>111000031</v>
      </c>
      <c r="H22" s="238" t="s">
        <v>214</v>
      </c>
      <c r="I22" s="240" t="s">
        <v>929</v>
      </c>
      <c r="J22" s="241" t="s">
        <v>42</v>
      </c>
      <c r="K22" s="239" t="s">
        <v>76</v>
      </c>
      <c r="L22" s="239" t="s">
        <v>930</v>
      </c>
      <c r="M22" s="242" t="s">
        <v>931</v>
      </c>
      <c r="N22" s="243">
        <v>15</v>
      </c>
      <c r="O22" s="244">
        <v>1716141047</v>
      </c>
      <c r="P22" s="245" t="s">
        <v>932</v>
      </c>
      <c r="Q22" s="234">
        <v>980682260</v>
      </c>
      <c r="R22" s="234"/>
      <c r="S22" s="234" t="s">
        <v>933</v>
      </c>
    </row>
    <row r="23" spans="1:20" s="139" customFormat="1" ht="52" customHeight="1">
      <c r="A23" s="137">
        <v>15</v>
      </c>
      <c r="B23" s="211">
        <v>45645</v>
      </c>
      <c r="C23" s="212">
        <v>45742</v>
      </c>
      <c r="D23" s="213">
        <v>1</v>
      </c>
      <c r="E23" s="213"/>
      <c r="F23" s="214"/>
      <c r="G23" s="215">
        <v>40197255</v>
      </c>
      <c r="H23" s="216" t="s">
        <v>520</v>
      </c>
      <c r="I23" s="217" t="s">
        <v>521</v>
      </c>
      <c r="J23" s="218" t="s">
        <v>42</v>
      </c>
      <c r="K23" s="215" t="s">
        <v>76</v>
      </c>
      <c r="L23" s="215" t="s">
        <v>522</v>
      </c>
      <c r="M23" s="214" t="s">
        <v>523</v>
      </c>
      <c r="N23" s="219">
        <v>12.5</v>
      </c>
      <c r="O23" s="220" t="s">
        <v>524</v>
      </c>
      <c r="P23" s="221" t="s">
        <v>525</v>
      </c>
      <c r="Q23" s="156" t="s">
        <v>526</v>
      </c>
      <c r="R23" s="136"/>
      <c r="S23" s="136" t="s">
        <v>527</v>
      </c>
      <c r="T23" s="138"/>
    </row>
    <row r="24" spans="1:20" s="139" customFormat="1" ht="52" customHeight="1">
      <c r="A24" s="208">
        <v>16</v>
      </c>
      <c r="B24" s="211">
        <v>45004</v>
      </c>
      <c r="C24" s="212">
        <v>45748</v>
      </c>
      <c r="D24" s="213">
        <v>1</v>
      </c>
      <c r="E24" s="213"/>
      <c r="F24" s="214"/>
      <c r="G24" s="215">
        <v>112570068</v>
      </c>
      <c r="H24" s="216" t="s">
        <v>265</v>
      </c>
      <c r="I24" s="217" t="s">
        <v>528</v>
      </c>
      <c r="J24" s="218" t="s">
        <v>42</v>
      </c>
      <c r="K24" s="215" t="s">
        <v>76</v>
      </c>
      <c r="L24" s="215" t="s">
        <v>529</v>
      </c>
      <c r="M24" s="214" t="s">
        <v>530</v>
      </c>
      <c r="N24" s="219">
        <v>12.5</v>
      </c>
      <c r="O24" s="220" t="s">
        <v>531</v>
      </c>
      <c r="P24" s="221" t="s">
        <v>532</v>
      </c>
      <c r="Q24" s="156" t="s">
        <v>533</v>
      </c>
      <c r="R24" s="136"/>
      <c r="S24" s="136" t="s">
        <v>534</v>
      </c>
      <c r="T24" s="138"/>
    </row>
    <row r="25" spans="1:20" s="209" customFormat="1" ht="52" customHeight="1">
      <c r="A25" s="137">
        <v>17</v>
      </c>
      <c r="B25" s="235">
        <v>45540</v>
      </c>
      <c r="C25" s="236">
        <v>45749</v>
      </c>
      <c r="D25" s="237">
        <v>1</v>
      </c>
      <c r="E25" s="237"/>
      <c r="F25" s="238"/>
      <c r="G25" s="239">
        <v>112570239</v>
      </c>
      <c r="H25" s="238" t="s">
        <v>934</v>
      </c>
      <c r="I25" s="240" t="s">
        <v>935</v>
      </c>
      <c r="J25" s="241" t="s">
        <v>42</v>
      </c>
      <c r="K25" s="239" t="s">
        <v>76</v>
      </c>
      <c r="L25" s="239" t="s">
        <v>936</v>
      </c>
      <c r="M25" s="242" t="s">
        <v>937</v>
      </c>
      <c r="N25" s="243">
        <v>12.5</v>
      </c>
      <c r="O25" s="244">
        <v>104196647</v>
      </c>
      <c r="P25" s="245" t="s">
        <v>938</v>
      </c>
      <c r="Q25" s="234">
        <v>997436897</v>
      </c>
      <c r="R25" s="234"/>
      <c r="S25" s="234" t="s">
        <v>939</v>
      </c>
    </row>
    <row r="26" spans="1:20" s="139" customFormat="1" ht="52" customHeight="1">
      <c r="A26" s="208">
        <v>18</v>
      </c>
      <c r="B26" s="211">
        <v>45737</v>
      </c>
      <c r="C26" s="212">
        <v>45751</v>
      </c>
      <c r="D26" s="213">
        <v>1</v>
      </c>
      <c r="E26" s="213"/>
      <c r="F26" s="214"/>
      <c r="G26" s="215">
        <v>41596006</v>
      </c>
      <c r="H26" s="216" t="s">
        <v>535</v>
      </c>
      <c r="I26" s="217" t="s">
        <v>536</v>
      </c>
      <c r="J26" s="218" t="s">
        <v>42</v>
      </c>
      <c r="K26" s="215" t="s">
        <v>76</v>
      </c>
      <c r="L26" s="215" t="s">
        <v>537</v>
      </c>
      <c r="M26" s="214" t="s">
        <v>538</v>
      </c>
      <c r="N26" s="219">
        <v>18.75</v>
      </c>
      <c r="O26" s="220" t="s">
        <v>539</v>
      </c>
      <c r="P26" s="221" t="s">
        <v>279</v>
      </c>
      <c r="Q26" s="156" t="s">
        <v>540</v>
      </c>
      <c r="R26" s="136"/>
      <c r="S26" s="136" t="s">
        <v>541</v>
      </c>
      <c r="T26" s="138"/>
    </row>
    <row r="27" spans="1:20" s="139" customFormat="1" ht="52" customHeight="1">
      <c r="A27" s="137">
        <v>19</v>
      </c>
      <c r="B27" s="211">
        <v>45649</v>
      </c>
      <c r="C27" s="212">
        <v>45758</v>
      </c>
      <c r="D27" s="213">
        <v>1</v>
      </c>
      <c r="E27" s="213"/>
      <c r="F27" s="214"/>
      <c r="G27" s="215">
        <v>113430018</v>
      </c>
      <c r="H27" s="216" t="s">
        <v>105</v>
      </c>
      <c r="I27" s="217" t="s">
        <v>756</v>
      </c>
      <c r="J27" s="218" t="s">
        <v>42</v>
      </c>
      <c r="K27" s="215" t="s">
        <v>76</v>
      </c>
      <c r="L27" s="215" t="s">
        <v>757</v>
      </c>
      <c r="M27" s="214" t="s">
        <v>758</v>
      </c>
      <c r="N27" s="219">
        <v>18.75</v>
      </c>
      <c r="O27" s="220" t="s">
        <v>759</v>
      </c>
      <c r="P27" s="221" t="s">
        <v>760</v>
      </c>
      <c r="Q27" s="156" t="s">
        <v>761</v>
      </c>
      <c r="R27" s="136"/>
      <c r="S27" s="136" t="s">
        <v>762</v>
      </c>
      <c r="T27" s="138"/>
    </row>
    <row r="28" spans="1:20" s="139" customFormat="1" ht="52" customHeight="1">
      <c r="A28" s="208">
        <v>20</v>
      </c>
      <c r="B28" s="211">
        <v>45273</v>
      </c>
      <c r="C28" s="212">
        <v>45759</v>
      </c>
      <c r="D28" s="213">
        <v>1</v>
      </c>
      <c r="E28" s="213">
        <v>60803326</v>
      </c>
      <c r="F28" s="214" t="s">
        <v>763</v>
      </c>
      <c r="G28" s="215">
        <v>112500049</v>
      </c>
      <c r="H28" s="216" t="s">
        <v>764</v>
      </c>
      <c r="I28" s="217" t="s">
        <v>765</v>
      </c>
      <c r="J28" s="218" t="s">
        <v>42</v>
      </c>
      <c r="K28" s="215" t="s">
        <v>76</v>
      </c>
      <c r="L28" s="215" t="s">
        <v>972</v>
      </c>
      <c r="M28" s="214" t="s">
        <v>766</v>
      </c>
      <c r="N28" s="219">
        <v>12.5</v>
      </c>
      <c r="O28" s="220" t="s">
        <v>767</v>
      </c>
      <c r="P28" s="221" t="s">
        <v>768</v>
      </c>
      <c r="Q28" s="156" t="s">
        <v>769</v>
      </c>
      <c r="R28" s="136"/>
      <c r="S28" s="136" t="s">
        <v>770</v>
      </c>
      <c r="T28" s="138"/>
    </row>
    <row r="29" spans="1:20" s="209" customFormat="1" ht="52" customHeight="1">
      <c r="A29" s="137">
        <v>21</v>
      </c>
      <c r="B29" s="254">
        <v>45498</v>
      </c>
      <c r="C29" s="255">
        <v>45760</v>
      </c>
      <c r="D29" s="256">
        <v>1</v>
      </c>
      <c r="E29" s="256">
        <v>99119774</v>
      </c>
      <c r="F29" s="257" t="s">
        <v>940</v>
      </c>
      <c r="G29" s="258">
        <v>40197255</v>
      </c>
      <c r="H29" s="257" t="s">
        <v>941</v>
      </c>
      <c r="I29" s="259" t="s">
        <v>942</v>
      </c>
      <c r="J29" s="260" t="s">
        <v>42</v>
      </c>
      <c r="K29" s="258" t="s">
        <v>76</v>
      </c>
      <c r="L29" s="258" t="s">
        <v>943</v>
      </c>
      <c r="M29" s="261" t="s">
        <v>944</v>
      </c>
      <c r="N29" s="262">
        <v>12.5</v>
      </c>
      <c r="O29" s="263" t="s">
        <v>945</v>
      </c>
      <c r="P29" s="264" t="s">
        <v>946</v>
      </c>
      <c r="Q29" s="265">
        <v>984929898</v>
      </c>
      <c r="R29" s="265"/>
      <c r="S29" s="265" t="s">
        <v>947</v>
      </c>
    </row>
    <row r="30" spans="1:20" s="139" customFormat="1" ht="52" customHeight="1">
      <c r="A30" s="208">
        <v>22</v>
      </c>
      <c r="B30" s="211">
        <v>45565</v>
      </c>
      <c r="C30" s="212">
        <v>45761</v>
      </c>
      <c r="D30" s="213">
        <v>1</v>
      </c>
      <c r="E30" s="213"/>
      <c r="F30" s="214"/>
      <c r="G30" s="215">
        <v>113430051</v>
      </c>
      <c r="H30" s="216" t="s">
        <v>771</v>
      </c>
      <c r="I30" s="217" t="s">
        <v>772</v>
      </c>
      <c r="J30" s="218" t="s">
        <v>42</v>
      </c>
      <c r="K30" s="215" t="s">
        <v>76</v>
      </c>
      <c r="L30" s="215" t="s">
        <v>773</v>
      </c>
      <c r="M30" s="214" t="s">
        <v>774</v>
      </c>
      <c r="N30" s="219">
        <v>18.75</v>
      </c>
      <c r="O30" s="220" t="s">
        <v>775</v>
      </c>
      <c r="P30" s="221" t="s">
        <v>776</v>
      </c>
      <c r="Q30" s="156" t="s">
        <v>777</v>
      </c>
      <c r="R30" s="136"/>
      <c r="S30" s="136" t="s">
        <v>778</v>
      </c>
      <c r="T30" s="138"/>
    </row>
    <row r="31" spans="1:20" s="139" customFormat="1" ht="52" customHeight="1">
      <c r="A31" s="137">
        <v>23</v>
      </c>
      <c r="B31" s="211">
        <v>45373</v>
      </c>
      <c r="C31" s="212">
        <v>45761</v>
      </c>
      <c r="D31" s="213">
        <v>1</v>
      </c>
      <c r="E31" s="213">
        <v>83340735</v>
      </c>
      <c r="F31" s="214" t="s">
        <v>779</v>
      </c>
      <c r="G31" s="215">
        <v>111200005</v>
      </c>
      <c r="H31" s="216" t="s">
        <v>780</v>
      </c>
      <c r="I31" s="217" t="s">
        <v>781</v>
      </c>
      <c r="J31" s="218" t="s">
        <v>42</v>
      </c>
      <c r="K31" s="215" t="s">
        <v>76</v>
      </c>
      <c r="L31" s="215" t="s">
        <v>782</v>
      </c>
      <c r="M31" s="214" t="s">
        <v>783</v>
      </c>
      <c r="N31" s="219">
        <v>15</v>
      </c>
      <c r="O31" s="220" t="s">
        <v>784</v>
      </c>
      <c r="P31" s="221" t="s">
        <v>785</v>
      </c>
      <c r="Q31" s="156" t="s">
        <v>786</v>
      </c>
      <c r="R31" s="136"/>
      <c r="S31" s="136" t="s">
        <v>787</v>
      </c>
      <c r="T31" s="138"/>
    </row>
    <row r="32" spans="1:20" s="139" customFormat="1" ht="52" customHeight="1">
      <c r="A32" s="208">
        <v>24</v>
      </c>
      <c r="B32" s="211">
        <v>45677</v>
      </c>
      <c r="C32" s="212">
        <v>45761</v>
      </c>
      <c r="D32" s="213">
        <v>1</v>
      </c>
      <c r="E32" s="213"/>
      <c r="F32" s="214"/>
      <c r="G32" s="215">
        <v>111000051</v>
      </c>
      <c r="H32" s="216" t="s">
        <v>214</v>
      </c>
      <c r="I32" s="217" t="s">
        <v>788</v>
      </c>
      <c r="J32" s="218" t="s">
        <v>42</v>
      </c>
      <c r="K32" s="215" t="s">
        <v>76</v>
      </c>
      <c r="L32" s="215" t="s">
        <v>789</v>
      </c>
      <c r="M32" s="214" t="s">
        <v>790</v>
      </c>
      <c r="N32" s="219">
        <v>15</v>
      </c>
      <c r="O32" s="220" t="s">
        <v>791</v>
      </c>
      <c r="P32" s="221" t="s">
        <v>792</v>
      </c>
      <c r="Q32" s="156" t="s">
        <v>793</v>
      </c>
      <c r="R32" s="136"/>
      <c r="S32" s="136" t="s">
        <v>794</v>
      </c>
      <c r="T32" s="138"/>
    </row>
    <row r="33" spans="1:20" s="139" customFormat="1" ht="52" customHeight="1">
      <c r="A33" s="137">
        <v>25</v>
      </c>
      <c r="B33" s="211">
        <v>45374</v>
      </c>
      <c r="C33" s="212">
        <v>45763</v>
      </c>
      <c r="D33" s="213">
        <v>1</v>
      </c>
      <c r="E33" s="213"/>
      <c r="F33" s="214"/>
      <c r="G33" s="215">
        <v>112580027</v>
      </c>
      <c r="H33" s="216" t="s">
        <v>319</v>
      </c>
      <c r="I33" s="217" t="s">
        <v>852</v>
      </c>
      <c r="J33" s="218" t="s">
        <v>42</v>
      </c>
      <c r="K33" s="215" t="s">
        <v>76</v>
      </c>
      <c r="L33" s="215" t="s">
        <v>853</v>
      </c>
      <c r="M33" s="214" t="s">
        <v>854</v>
      </c>
      <c r="N33" s="219">
        <v>12.5</v>
      </c>
      <c r="O33" s="220" t="s">
        <v>855</v>
      </c>
      <c r="P33" s="221" t="s">
        <v>856</v>
      </c>
      <c r="Q33" s="156" t="s">
        <v>857</v>
      </c>
      <c r="R33" s="136"/>
      <c r="S33" s="136" t="s">
        <v>858</v>
      </c>
      <c r="T33" s="138"/>
    </row>
    <row r="34" spans="1:20">
      <c r="N34" s="140">
        <f>SUM(N9:N33)</f>
        <v>353.75</v>
      </c>
    </row>
    <row r="40" spans="1:20" ht="17">
      <c r="J40" s="153">
        <v>3</v>
      </c>
      <c r="K40" s="154" t="s">
        <v>839</v>
      </c>
      <c r="L40" s="154">
        <v>18.75</v>
      </c>
      <c r="M40">
        <f t="shared" ref="M40:M46" si="0">J40*L40</f>
        <v>56.25</v>
      </c>
    </row>
    <row r="41" spans="1:20" ht="17">
      <c r="J41" s="153">
        <v>10</v>
      </c>
      <c r="K41" s="154" t="s">
        <v>84</v>
      </c>
      <c r="L41" s="154">
        <v>12.5</v>
      </c>
      <c r="M41">
        <f t="shared" si="0"/>
        <v>125</v>
      </c>
    </row>
    <row r="42" spans="1:20" ht="17">
      <c r="J42" s="153">
        <v>1</v>
      </c>
      <c r="K42" s="154" t="s">
        <v>840</v>
      </c>
      <c r="L42" s="155">
        <v>12.5</v>
      </c>
      <c r="M42">
        <f t="shared" si="0"/>
        <v>12.5</v>
      </c>
    </row>
    <row r="43" spans="1:20" ht="17">
      <c r="J43" s="153">
        <v>1</v>
      </c>
      <c r="K43" s="154" t="s">
        <v>841</v>
      </c>
      <c r="L43" s="154">
        <v>15</v>
      </c>
      <c r="M43">
        <f t="shared" si="0"/>
        <v>15</v>
      </c>
    </row>
    <row r="44" spans="1:20" ht="16">
      <c r="J44" s="153">
        <v>5</v>
      </c>
      <c r="K44" s="197" t="s">
        <v>842</v>
      </c>
      <c r="L44" s="155">
        <v>12.5</v>
      </c>
      <c r="M44">
        <f t="shared" si="0"/>
        <v>62.5</v>
      </c>
    </row>
    <row r="45" spans="1:20" ht="17">
      <c r="J45" s="197">
        <v>3</v>
      </c>
      <c r="K45" s="154" t="s">
        <v>843</v>
      </c>
      <c r="L45" s="154">
        <v>15</v>
      </c>
      <c r="M45">
        <f t="shared" si="0"/>
        <v>45</v>
      </c>
    </row>
    <row r="46" spans="1:20" ht="17">
      <c r="J46" s="197">
        <v>2</v>
      </c>
      <c r="K46" s="154" t="s">
        <v>915</v>
      </c>
      <c r="L46" s="154">
        <v>18.75</v>
      </c>
      <c r="M46">
        <f t="shared" si="0"/>
        <v>37.5</v>
      </c>
    </row>
    <row r="47" spans="1:20">
      <c r="M47">
        <f>SUM(M40:M46)</f>
        <v>353.75</v>
      </c>
    </row>
  </sheetData>
  <hyperlinks>
    <hyperlink ref="P9" r:id="rId1" xr:uid="{6D1D6881-1CA5-734D-AE76-C96F915E413D}"/>
    <hyperlink ref="P11" r:id="rId2" xr:uid="{04D0040E-4C70-F744-929E-14F37B6BFA10}"/>
    <hyperlink ref="P12" r:id="rId3" xr:uid="{A0E29F5B-514B-E84D-BC07-67B8EAF78917}"/>
    <hyperlink ref="P14" r:id="rId4" xr:uid="{B209BCAF-D73D-E640-8510-06C3F1595ADB}"/>
    <hyperlink ref="P15" r:id="rId5" xr:uid="{820149CF-8BAB-2B45-AF25-631AF3942540}"/>
    <hyperlink ref="P17" r:id="rId6" xr:uid="{1E4DAEFE-9EFD-5540-969A-BA1843B33A19}"/>
    <hyperlink ref="P19" r:id="rId7" xr:uid="{56CB4FDA-B6DE-4849-BA94-CFC8E6ABDB05}"/>
    <hyperlink ref="P20" r:id="rId8" xr:uid="{9C97A218-ED22-F845-BC0B-A9F6406655E1}"/>
    <hyperlink ref="P21" r:id="rId9" xr:uid="{1E1A7471-9516-D640-A7E2-AAE0D2902A27}"/>
    <hyperlink ref="P23" r:id="rId10" xr:uid="{03357F30-1C82-B846-BF4F-0E6FB4765938}"/>
    <hyperlink ref="P24" r:id="rId11" xr:uid="{CE993FF9-221C-7947-BD64-542E663170E4}"/>
    <hyperlink ref="P26" r:id="rId12" xr:uid="{21ABE300-C9C5-994A-A56B-35BAC00A66D5}"/>
    <hyperlink ref="P27" r:id="rId13" xr:uid="{C808E530-5F9C-6443-BF07-2773E0B2FAD4}"/>
    <hyperlink ref="P28" r:id="rId14" xr:uid="{3E9A8535-9E31-E94E-8439-8F3862C2599F}"/>
    <hyperlink ref="P30" r:id="rId15" xr:uid="{A956DB4C-7216-7D47-AE73-DDDCAF077219}"/>
    <hyperlink ref="P31" r:id="rId16" xr:uid="{BC3C68C5-D368-CB4E-B776-1C1744079852}"/>
    <hyperlink ref="P32" r:id="rId17" xr:uid="{56093C09-6081-F641-86D5-C0564E8B27FC}"/>
    <hyperlink ref="P33" r:id="rId18" xr:uid="{93028E35-4CF6-6741-8320-A4B2F2464EB3}"/>
    <hyperlink ref="P22" r:id="rId19" xr:uid="{5EE79E99-C8FF-BD44-A0A6-EBD64E5A5ABA}"/>
    <hyperlink ref="P25" r:id="rId20" xr:uid="{91FBC948-7392-C44B-9E03-3EB7F55612CE}"/>
    <hyperlink ref="P29" r:id="rId21" xr:uid="{3BA3887A-215D-8D48-BAA8-11228381429F}"/>
    <hyperlink ref="P10" r:id="rId22" xr:uid="{2D18933C-F563-5E49-BBE8-A0D96C4B687B}"/>
    <hyperlink ref="P13" r:id="rId23" xr:uid="{801383B0-5EF7-6F4E-90F9-362CAD6D88E7}"/>
    <hyperlink ref="P16" r:id="rId24" xr:uid="{D484E92E-213E-684D-A55F-5604DB8D91E9}"/>
    <hyperlink ref="P18" r:id="rId25" xr:uid="{F0BF5724-760C-2C42-A1BC-C7CAABC79252}"/>
  </hyperlinks>
  <pageMargins left="0.7" right="0.7" top="0.75" bottom="0.75" header="0.3" footer="0.3"/>
  <pageSetup paperSize="9" orientation="portrait" horizontalDpi="0" verticalDpi="0" r:id="rId26"/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3"/>
  <sheetViews>
    <sheetView zoomScale="120" zoomScaleNormal="120" workbookViewId="0">
      <selection activeCell="O15" sqref="O15"/>
    </sheetView>
  </sheetViews>
  <sheetFormatPr baseColWidth="10" defaultRowHeight="15"/>
  <cols>
    <col min="1" max="1" width="2.5" customWidth="1"/>
    <col min="2" max="2" width="8.83203125" customWidth="1"/>
    <col min="3" max="3" width="21.33203125" customWidth="1"/>
    <col min="4" max="4" width="20.33203125" customWidth="1"/>
    <col min="5" max="5" width="10.83203125" customWidth="1"/>
    <col min="6" max="6" width="29.33203125" customWidth="1"/>
    <col min="7" max="7" width="16" customWidth="1"/>
    <col min="8" max="8" width="5.33203125" customWidth="1"/>
    <col min="9" max="10" width="8" customWidth="1"/>
    <col min="11" max="11" width="9.33203125" customWidth="1"/>
    <col min="12" max="12" width="18.83203125" customWidth="1"/>
    <col min="13" max="13" width="25" customWidth="1"/>
    <col min="14" max="14" width="10" customWidth="1"/>
    <col min="15" max="15" width="7.6640625" customWidth="1"/>
    <col min="16" max="16" width="22.6640625" customWidth="1"/>
    <col min="17" max="17" width="9.1640625" customWidth="1"/>
    <col min="18" max="18" width="6.33203125" customWidth="1"/>
    <col min="19" max="19" width="21.33203125" customWidth="1"/>
    <col min="20" max="20" width="13.83203125" bestFit="1" customWidth="1"/>
    <col min="21" max="21" width="31" customWidth="1"/>
  </cols>
  <sheetData>
    <row r="3" spans="1:21">
      <c r="A3" s="58"/>
      <c r="B3" s="59"/>
      <c r="C3" s="60" t="s">
        <v>43</v>
      </c>
      <c r="D3" s="59"/>
      <c r="E3" s="61"/>
      <c r="F3" s="59"/>
      <c r="G3" s="62"/>
      <c r="H3" s="59"/>
      <c r="I3" s="59"/>
      <c r="J3" s="59"/>
      <c r="K3" s="63"/>
      <c r="L3" s="63"/>
      <c r="M3" s="59"/>
      <c r="N3" s="59"/>
      <c r="O3" s="64"/>
      <c r="P3" s="59"/>
      <c r="Q3" s="59"/>
      <c r="R3" s="59"/>
      <c r="S3" s="59"/>
      <c r="T3" s="59"/>
      <c r="U3" s="65"/>
    </row>
    <row r="4" spans="1:21">
      <c r="A4" s="58"/>
      <c r="B4" s="59"/>
      <c r="C4" s="66" t="s">
        <v>44</v>
      </c>
      <c r="D4" s="59"/>
      <c r="E4" s="59"/>
      <c r="F4" s="59"/>
      <c r="G4" s="62"/>
      <c r="H4" s="59"/>
      <c r="I4" s="59" t="s">
        <v>45</v>
      </c>
      <c r="J4" s="59"/>
      <c r="K4" s="63"/>
      <c r="L4" s="63"/>
      <c r="M4" s="110" t="s">
        <v>87</v>
      </c>
      <c r="N4" s="59"/>
      <c r="O4" s="64"/>
      <c r="P4" s="59"/>
      <c r="Q4" s="67"/>
      <c r="R4" s="59"/>
      <c r="S4" s="59"/>
      <c r="T4" s="68"/>
      <c r="U4" s="69">
        <v>45536</v>
      </c>
    </row>
    <row r="5" spans="1:21" ht="37">
      <c r="A5" s="65"/>
      <c r="B5" s="70" t="s">
        <v>2</v>
      </c>
      <c r="C5" s="70" t="s">
        <v>3</v>
      </c>
      <c r="D5" s="70" t="s">
        <v>4</v>
      </c>
      <c r="E5" s="70" t="s">
        <v>5</v>
      </c>
      <c r="F5" s="70" t="s">
        <v>6</v>
      </c>
      <c r="G5" s="70" t="s">
        <v>7</v>
      </c>
      <c r="H5" s="70" t="s">
        <v>8</v>
      </c>
      <c r="I5" s="70" t="s">
        <v>9</v>
      </c>
      <c r="J5" s="70" t="s">
        <v>10</v>
      </c>
      <c r="K5" s="71" t="s">
        <v>46</v>
      </c>
      <c r="L5" s="71" t="s">
        <v>12</v>
      </c>
      <c r="M5" s="71" t="s">
        <v>13</v>
      </c>
      <c r="N5" s="71" t="s">
        <v>14</v>
      </c>
      <c r="O5" s="72" t="s">
        <v>15</v>
      </c>
      <c r="P5" s="71" t="s">
        <v>47</v>
      </c>
      <c r="Q5" s="71" t="s">
        <v>48</v>
      </c>
      <c r="R5" s="73" t="s">
        <v>49</v>
      </c>
      <c r="S5" s="73" t="s">
        <v>19</v>
      </c>
      <c r="T5" s="74" t="s">
        <v>20</v>
      </c>
      <c r="U5" s="75" t="s">
        <v>50</v>
      </c>
    </row>
    <row r="6" spans="1:21" s="24" customFormat="1" ht="23.25" customHeight="1">
      <c r="A6" s="76">
        <v>1</v>
      </c>
      <c r="B6" s="161">
        <v>45736</v>
      </c>
      <c r="C6" s="162" t="s">
        <v>149</v>
      </c>
      <c r="D6" s="163" t="s">
        <v>150</v>
      </c>
      <c r="E6" s="163">
        <v>11570003</v>
      </c>
      <c r="F6" s="164" t="s">
        <v>78</v>
      </c>
      <c r="G6" s="163" t="s">
        <v>151</v>
      </c>
      <c r="H6" s="165"/>
      <c r="I6" s="166" t="s">
        <v>74</v>
      </c>
      <c r="J6" s="166" t="s">
        <v>75</v>
      </c>
      <c r="K6" s="161">
        <v>45737</v>
      </c>
      <c r="L6" s="162" t="s">
        <v>152</v>
      </c>
      <c r="M6" s="162" t="s">
        <v>153</v>
      </c>
      <c r="N6" s="167">
        <v>998056679</v>
      </c>
      <c r="O6" s="168">
        <v>29</v>
      </c>
      <c r="P6" s="162" t="s">
        <v>81</v>
      </c>
      <c r="Q6" s="162" t="s">
        <v>76</v>
      </c>
      <c r="R6" s="169"/>
      <c r="S6" s="169" t="str">
        <f>+D6</f>
        <v>001-500-000071771</v>
      </c>
      <c r="T6" s="170">
        <v>101400802</v>
      </c>
      <c r="U6" s="109" t="s">
        <v>154</v>
      </c>
    </row>
    <row r="7" spans="1:21" ht="18">
      <c r="A7" s="76">
        <v>2</v>
      </c>
      <c r="B7" s="161">
        <v>45736</v>
      </c>
      <c r="C7" s="162" t="s">
        <v>149</v>
      </c>
      <c r="D7" s="163" t="s">
        <v>155</v>
      </c>
      <c r="E7" s="163">
        <v>11570003</v>
      </c>
      <c r="F7" s="164" t="s">
        <v>78</v>
      </c>
      <c r="G7" s="163" t="s">
        <v>156</v>
      </c>
      <c r="H7" s="165"/>
      <c r="I7" s="166" t="s">
        <v>74</v>
      </c>
      <c r="J7" s="166" t="s">
        <v>75</v>
      </c>
      <c r="K7" s="161">
        <v>45737</v>
      </c>
      <c r="L7" s="162" t="s">
        <v>157</v>
      </c>
      <c r="M7" s="162" t="s">
        <v>158</v>
      </c>
      <c r="N7" s="167">
        <v>998628914</v>
      </c>
      <c r="O7" s="168">
        <v>29</v>
      </c>
      <c r="P7" s="162" t="s">
        <v>81</v>
      </c>
      <c r="Q7" s="162" t="s">
        <v>76</v>
      </c>
      <c r="R7" s="169"/>
      <c r="S7" s="169" t="str">
        <f>+D7</f>
        <v>001-502-000000185</v>
      </c>
      <c r="T7" s="170">
        <v>103205993</v>
      </c>
      <c r="U7" s="109" t="s">
        <v>163</v>
      </c>
    </row>
    <row r="8" spans="1:21" ht="18">
      <c r="A8" s="76">
        <v>3</v>
      </c>
      <c r="B8" s="161">
        <v>45736</v>
      </c>
      <c r="C8" s="162" t="s">
        <v>149</v>
      </c>
      <c r="D8" s="163" t="s">
        <v>159</v>
      </c>
      <c r="E8" s="163">
        <v>11570003</v>
      </c>
      <c r="F8" s="164" t="s">
        <v>78</v>
      </c>
      <c r="G8" s="163" t="s">
        <v>160</v>
      </c>
      <c r="H8" s="165"/>
      <c r="I8" s="166" t="s">
        <v>74</v>
      </c>
      <c r="J8" s="166" t="s">
        <v>75</v>
      </c>
      <c r="K8" s="161">
        <v>45737</v>
      </c>
      <c r="L8" s="162" t="s">
        <v>161</v>
      </c>
      <c r="M8" s="162" t="s">
        <v>162</v>
      </c>
      <c r="N8" s="167">
        <v>998056679</v>
      </c>
      <c r="O8" s="168">
        <v>29</v>
      </c>
      <c r="P8" s="162" t="s">
        <v>81</v>
      </c>
      <c r="Q8" s="162" t="s">
        <v>76</v>
      </c>
      <c r="R8" s="169"/>
      <c r="S8" s="169" t="str">
        <f>+D8</f>
        <v>001-500-000071772</v>
      </c>
      <c r="T8" s="170">
        <v>102291267</v>
      </c>
      <c r="U8" s="109" t="s">
        <v>154</v>
      </c>
    </row>
    <row r="9" spans="1:21" ht="18">
      <c r="A9" s="76">
        <v>4</v>
      </c>
      <c r="B9" s="161"/>
      <c r="C9" s="162" t="s">
        <v>293</v>
      </c>
      <c r="D9" s="163"/>
      <c r="E9" s="163">
        <v>11570003</v>
      </c>
      <c r="F9" s="164" t="s">
        <v>78</v>
      </c>
      <c r="G9" s="163" t="s">
        <v>296</v>
      </c>
      <c r="H9" s="165"/>
      <c r="I9" s="166" t="s">
        <v>74</v>
      </c>
      <c r="J9" s="166" t="s">
        <v>75</v>
      </c>
      <c r="K9" s="161">
        <v>45738</v>
      </c>
      <c r="L9" s="162" t="s">
        <v>149</v>
      </c>
      <c r="M9" s="162" t="s">
        <v>295</v>
      </c>
      <c r="N9" s="167">
        <v>987665567</v>
      </c>
      <c r="O9" s="168">
        <v>29</v>
      </c>
      <c r="P9" s="162" t="s">
        <v>82</v>
      </c>
      <c r="Q9" s="162" t="s">
        <v>76</v>
      </c>
      <c r="R9" s="169"/>
      <c r="S9" s="169">
        <f t="shared" ref="S9" si="0">+D9</f>
        <v>0</v>
      </c>
      <c r="T9" s="170">
        <v>103642708</v>
      </c>
      <c r="U9" s="109" t="s">
        <v>297</v>
      </c>
    </row>
    <row r="10" spans="1:21" ht="18">
      <c r="A10" s="76">
        <v>5</v>
      </c>
      <c r="B10" s="161"/>
      <c r="C10" s="162" t="s">
        <v>293</v>
      </c>
      <c r="D10" s="163"/>
      <c r="E10" s="163">
        <v>11570002</v>
      </c>
      <c r="F10" s="164" t="s">
        <v>222</v>
      </c>
      <c r="G10" s="163" t="s">
        <v>298</v>
      </c>
      <c r="H10" s="165"/>
      <c r="I10" s="166" t="s">
        <v>74</v>
      </c>
      <c r="J10" s="166" t="s">
        <v>75</v>
      </c>
      <c r="K10" s="161">
        <v>45738</v>
      </c>
      <c r="L10" s="162" t="s">
        <v>149</v>
      </c>
      <c r="M10" s="162" t="s">
        <v>295</v>
      </c>
      <c r="N10" s="167">
        <v>987665567</v>
      </c>
      <c r="O10" s="168">
        <v>29</v>
      </c>
      <c r="P10" s="162" t="s">
        <v>82</v>
      </c>
      <c r="Q10" s="162" t="s">
        <v>76</v>
      </c>
      <c r="R10" s="169"/>
      <c r="S10" s="169">
        <f t="shared" ref="S10" si="1">+D10</f>
        <v>0</v>
      </c>
      <c r="T10" s="170">
        <v>103642708</v>
      </c>
      <c r="U10" s="109" t="s">
        <v>297</v>
      </c>
    </row>
    <row r="11" spans="1:21" ht="18">
      <c r="A11" s="76">
        <v>6</v>
      </c>
      <c r="B11" s="161">
        <v>45734</v>
      </c>
      <c r="C11" s="162" t="s">
        <v>220</v>
      </c>
      <c r="D11" s="163" t="s">
        <v>221</v>
      </c>
      <c r="E11" s="163">
        <v>11570002</v>
      </c>
      <c r="F11" s="164" t="s">
        <v>222</v>
      </c>
      <c r="G11" s="163" t="s">
        <v>223</v>
      </c>
      <c r="H11" s="165"/>
      <c r="I11" s="166" t="s">
        <v>74</v>
      </c>
      <c r="J11" s="166" t="s">
        <v>75</v>
      </c>
      <c r="K11" s="161">
        <v>45741</v>
      </c>
      <c r="L11" s="162" t="s">
        <v>224</v>
      </c>
      <c r="M11" s="162" t="s">
        <v>225</v>
      </c>
      <c r="N11" s="167">
        <v>958806603</v>
      </c>
      <c r="O11" s="168">
        <v>29</v>
      </c>
      <c r="P11" s="162" t="s">
        <v>81</v>
      </c>
      <c r="Q11" s="162" t="s">
        <v>76</v>
      </c>
      <c r="R11" s="169"/>
      <c r="S11" s="169" t="str">
        <f>+D11</f>
        <v>002-002-000000888</v>
      </c>
      <c r="T11" s="170">
        <v>103676573</v>
      </c>
      <c r="U11" s="109" t="s">
        <v>226</v>
      </c>
    </row>
    <row r="12" spans="1:21" ht="18">
      <c r="A12" s="76">
        <v>7</v>
      </c>
      <c r="B12" s="161">
        <v>45749</v>
      </c>
      <c r="C12" s="162" t="s">
        <v>293</v>
      </c>
      <c r="D12" s="163"/>
      <c r="E12" s="163">
        <v>11570003</v>
      </c>
      <c r="F12" s="164" t="s">
        <v>78</v>
      </c>
      <c r="G12" s="163" t="s">
        <v>501</v>
      </c>
      <c r="H12" s="165"/>
      <c r="I12" s="166" t="s">
        <v>74</v>
      </c>
      <c r="J12" s="166" t="s">
        <v>75</v>
      </c>
      <c r="K12" s="161">
        <v>45749</v>
      </c>
      <c r="L12" s="162" t="s">
        <v>149</v>
      </c>
      <c r="M12" s="162" t="s">
        <v>295</v>
      </c>
      <c r="N12" s="167">
        <v>987665567</v>
      </c>
      <c r="O12" s="168">
        <v>29</v>
      </c>
      <c r="P12" s="162" t="s">
        <v>82</v>
      </c>
      <c r="Q12" s="162" t="s">
        <v>76</v>
      </c>
      <c r="R12" s="169"/>
      <c r="S12" s="169">
        <f t="shared" ref="S12" si="2">+D12</f>
        <v>0</v>
      </c>
      <c r="T12" s="170">
        <v>103642708</v>
      </c>
      <c r="U12" s="109" t="s">
        <v>297</v>
      </c>
    </row>
    <row r="13" spans="1:21" ht="18">
      <c r="A13" s="76">
        <v>8</v>
      </c>
      <c r="B13" s="161">
        <v>45756</v>
      </c>
      <c r="C13" s="162" t="s">
        <v>718</v>
      </c>
      <c r="D13" s="163" t="s">
        <v>719</v>
      </c>
      <c r="E13" s="163">
        <v>11570002</v>
      </c>
      <c r="F13" s="164" t="s">
        <v>222</v>
      </c>
      <c r="G13" s="163" t="s">
        <v>720</v>
      </c>
      <c r="H13" s="165"/>
      <c r="I13" s="166" t="s">
        <v>74</v>
      </c>
      <c r="J13" s="166" t="s">
        <v>75</v>
      </c>
      <c r="K13" s="161">
        <v>45756</v>
      </c>
      <c r="L13" s="162" t="s">
        <v>721</v>
      </c>
      <c r="M13" s="162" t="s">
        <v>473</v>
      </c>
      <c r="N13" s="167">
        <v>997927792</v>
      </c>
      <c r="O13" s="168">
        <v>29</v>
      </c>
      <c r="P13" s="162" t="s">
        <v>81</v>
      </c>
      <c r="Q13" s="162" t="s">
        <v>76</v>
      </c>
      <c r="R13" s="169"/>
      <c r="S13" s="169" t="str">
        <f t="shared" ref="S13" si="3">+D13</f>
        <v>043-903-000662794</v>
      </c>
      <c r="T13" s="170">
        <v>101813731</v>
      </c>
      <c r="U13" s="109" t="s">
        <v>722</v>
      </c>
    </row>
    <row r="14" spans="1:21">
      <c r="O14" s="140">
        <f>SUM(O6:O13)</f>
        <v>232</v>
      </c>
    </row>
    <row r="21" spans="4:15">
      <c r="O21" s="140"/>
    </row>
    <row r="23" spans="4:15">
      <c r="D23" t="s">
        <v>83</v>
      </c>
    </row>
  </sheetData>
  <hyperlinks>
    <hyperlink ref="U6" r:id="rId1" xr:uid="{D8EBD88E-8DB5-1B4F-9759-ABB70DD51E8C}"/>
    <hyperlink ref="U8" r:id="rId2" xr:uid="{A37880A1-49DC-7241-A46A-BB3848BB4622}"/>
    <hyperlink ref="U7" r:id="rId3" xr:uid="{C7BE7797-7D83-7C42-9110-67CF8D3E0620}"/>
    <hyperlink ref="U9" r:id="rId4" xr:uid="{882790F7-715D-694A-BC2B-ACD9E688BE24}"/>
    <hyperlink ref="U10" r:id="rId5" xr:uid="{FD5FCC7F-2E65-3046-A352-4AEB8CA2D5E6}"/>
    <hyperlink ref="U11" r:id="rId6" xr:uid="{D1A06ADF-FA60-8D4F-A84D-D295E42F140B}"/>
    <hyperlink ref="U12" r:id="rId7" xr:uid="{723229D6-B2B9-174E-A431-FE6816B33D7B}"/>
    <hyperlink ref="U13" r:id="rId8" xr:uid="{84E59505-0A9E-5F49-AD00-DE62F59159D1}"/>
  </hyperlinks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8"/>
  <sheetViews>
    <sheetView topLeftCell="A2" workbookViewId="0">
      <selection activeCell="H7" sqref="H7"/>
    </sheetView>
  </sheetViews>
  <sheetFormatPr baseColWidth="10" defaultRowHeight="15"/>
  <cols>
    <col min="1" max="1" width="4.33203125" customWidth="1"/>
    <col min="3" max="3" width="15.33203125" customWidth="1"/>
    <col min="4" max="4" width="11.5" customWidth="1"/>
    <col min="5" max="5" width="15.5" customWidth="1"/>
    <col min="6" max="6" width="32.1640625" customWidth="1"/>
    <col min="7" max="7" width="17.83203125" customWidth="1"/>
    <col min="8" max="8" width="8.5" customWidth="1"/>
    <col min="10" max="10" width="15.6640625" customWidth="1"/>
    <col min="11" max="11" width="11.1640625" customWidth="1"/>
    <col min="12" max="12" width="18.33203125" customWidth="1"/>
    <col min="13" max="13" width="21" customWidth="1"/>
    <col min="14" max="14" width="16" customWidth="1"/>
    <col min="16" max="16" width="27.33203125" customWidth="1"/>
  </cols>
  <sheetData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5"/>
      <c r="B4" s="5"/>
      <c r="C4" s="77" t="s">
        <v>51</v>
      </c>
      <c r="D4" s="78"/>
      <c r="E4" s="78"/>
      <c r="F4" s="5"/>
      <c r="G4" s="78"/>
      <c r="H4" s="78"/>
      <c r="I4" s="78"/>
      <c r="J4" s="78"/>
      <c r="K4" s="78"/>
      <c r="L4" s="78"/>
      <c r="M4" s="78"/>
      <c r="N4" s="78"/>
      <c r="O4" s="78"/>
      <c r="P4" s="5"/>
    </row>
    <row r="5" spans="1:16" ht="16" thickBot="1">
      <c r="A5" s="5"/>
      <c r="B5" s="78"/>
      <c r="C5" s="79" t="s">
        <v>1</v>
      </c>
      <c r="D5" s="79"/>
      <c r="E5" s="79"/>
      <c r="F5" s="5"/>
      <c r="J5" t="s">
        <v>62</v>
      </c>
      <c r="K5" s="5"/>
      <c r="L5" s="86" t="s">
        <v>88</v>
      </c>
      <c r="P5" s="5"/>
    </row>
    <row r="6" spans="1:16" s="23" customFormat="1" ht="58.5" customHeight="1">
      <c r="A6" s="80"/>
      <c r="B6" s="81" t="s">
        <v>52</v>
      </c>
      <c r="C6" s="82" t="s">
        <v>53</v>
      </c>
      <c r="D6" s="82" t="s">
        <v>4</v>
      </c>
      <c r="E6" s="83" t="s">
        <v>54</v>
      </c>
      <c r="F6" s="82" t="s">
        <v>55</v>
      </c>
      <c r="G6" s="82" t="s">
        <v>56</v>
      </c>
      <c r="H6" s="81" t="s">
        <v>8</v>
      </c>
      <c r="I6" s="82" t="s">
        <v>57</v>
      </c>
      <c r="J6" s="82" t="s">
        <v>58</v>
      </c>
      <c r="K6" s="82" t="s">
        <v>59</v>
      </c>
      <c r="L6" s="82" t="s">
        <v>12</v>
      </c>
      <c r="M6" s="84" t="s">
        <v>60</v>
      </c>
      <c r="N6" s="82" t="s">
        <v>14</v>
      </c>
      <c r="O6" s="85" t="s">
        <v>15</v>
      </c>
      <c r="P6" s="82" t="s">
        <v>61</v>
      </c>
    </row>
    <row r="7" spans="1:16" s="24" customFormat="1" ht="24" customHeight="1">
      <c r="A7" s="198">
        <v>1</v>
      </c>
      <c r="B7" s="199"/>
      <c r="C7" s="200" t="s">
        <v>293</v>
      </c>
      <c r="D7" s="200" t="s">
        <v>294</v>
      </c>
      <c r="E7" s="201">
        <v>112950009</v>
      </c>
      <c r="F7" s="202" t="s">
        <v>289</v>
      </c>
      <c r="G7" s="203" t="s">
        <v>290</v>
      </c>
      <c r="H7" s="204" t="s">
        <v>42</v>
      </c>
      <c r="I7" s="200" t="s">
        <v>76</v>
      </c>
      <c r="J7" s="203" t="s">
        <v>77</v>
      </c>
      <c r="K7" s="205">
        <v>45738</v>
      </c>
      <c r="L7" s="206" t="s">
        <v>291</v>
      </c>
      <c r="M7" s="206" t="s">
        <v>295</v>
      </c>
      <c r="N7" s="173" t="s">
        <v>292</v>
      </c>
      <c r="O7" s="207">
        <v>15</v>
      </c>
      <c r="P7" s="200" t="s">
        <v>82</v>
      </c>
    </row>
    <row r="8" spans="1:16">
      <c r="O8" s="5"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B2" sqref="B2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87"/>
      <c r="B1" s="88" t="s">
        <v>63</v>
      </c>
      <c r="C1" s="89"/>
      <c r="D1" s="88"/>
      <c r="E1" s="90"/>
      <c r="F1" s="90"/>
      <c r="G1" s="91"/>
      <c r="H1" s="91"/>
      <c r="I1" s="91"/>
      <c r="J1" s="91"/>
      <c r="K1" s="91"/>
      <c r="L1" s="91"/>
      <c r="M1" s="92"/>
      <c r="N1" s="91"/>
      <c r="O1" s="91"/>
      <c r="P1" s="91"/>
    </row>
    <row r="2" spans="1:21">
      <c r="A2" s="87"/>
      <c r="B2" s="93">
        <v>45748</v>
      </c>
      <c r="C2" s="94"/>
      <c r="D2" s="90"/>
      <c r="E2" s="90"/>
      <c r="F2" s="90"/>
      <c r="G2" s="91"/>
      <c r="H2" s="91"/>
      <c r="I2" s="91"/>
      <c r="J2" s="91"/>
      <c r="K2" s="91"/>
      <c r="L2" s="91"/>
      <c r="M2" s="92"/>
      <c r="N2" s="91"/>
      <c r="O2" s="91"/>
      <c r="P2" s="91"/>
    </row>
    <row r="3" spans="1:21">
      <c r="A3" s="87"/>
      <c r="B3" s="95"/>
      <c r="C3" s="96"/>
      <c r="D3" s="95"/>
      <c r="E3" s="95"/>
      <c r="F3" s="95"/>
      <c r="G3" s="95"/>
      <c r="H3" s="95"/>
      <c r="I3" s="97"/>
      <c r="J3" s="95"/>
      <c r="K3" s="90"/>
      <c r="L3" s="90"/>
      <c r="M3" s="98"/>
      <c r="N3" s="91"/>
      <c r="O3" s="91"/>
      <c r="P3" s="95"/>
    </row>
    <row r="4" spans="1:21">
      <c r="A4" s="87"/>
      <c r="B4" s="91"/>
      <c r="C4" s="96" t="s">
        <v>0</v>
      </c>
      <c r="D4" s="91"/>
      <c r="E4" s="99"/>
      <c r="F4" s="91"/>
      <c r="G4" s="100"/>
      <c r="H4" s="91"/>
      <c r="I4" s="91"/>
      <c r="J4" s="91"/>
      <c r="K4" s="90"/>
      <c r="L4" s="94"/>
      <c r="M4" s="92"/>
      <c r="N4" s="91"/>
      <c r="O4" s="91"/>
      <c r="P4" s="91"/>
    </row>
    <row r="5" spans="1:21">
      <c r="A5" s="87"/>
      <c r="B5" s="91"/>
      <c r="C5" s="101" t="s">
        <v>1</v>
      </c>
      <c r="D5" s="101" t="s">
        <v>1</v>
      </c>
      <c r="E5" s="91"/>
      <c r="G5" s="91"/>
      <c r="H5" s="91"/>
      <c r="I5" s="91"/>
      <c r="J5" s="91" t="s">
        <v>73</v>
      </c>
      <c r="K5" s="91"/>
      <c r="L5" s="91"/>
      <c r="M5" s="91" t="s">
        <v>85</v>
      </c>
    </row>
    <row r="6" spans="1:21" ht="37">
      <c r="A6" s="87"/>
      <c r="B6" s="102" t="s">
        <v>2</v>
      </c>
      <c r="C6" s="102" t="s">
        <v>3</v>
      </c>
      <c r="D6" s="102" t="s">
        <v>4</v>
      </c>
      <c r="E6" s="102" t="s">
        <v>5</v>
      </c>
      <c r="F6" s="103" t="s">
        <v>6</v>
      </c>
      <c r="G6" s="102" t="s">
        <v>7</v>
      </c>
      <c r="H6" s="102" t="s">
        <v>8</v>
      </c>
      <c r="I6" s="102" t="s">
        <v>9</v>
      </c>
      <c r="J6" s="102" t="s">
        <v>10</v>
      </c>
      <c r="K6" s="102" t="s">
        <v>11</v>
      </c>
      <c r="L6" s="102" t="s">
        <v>65</v>
      </c>
      <c r="M6" s="104" t="s">
        <v>66</v>
      </c>
      <c r="N6" s="102" t="s">
        <v>67</v>
      </c>
      <c r="O6" s="102" t="s">
        <v>64</v>
      </c>
      <c r="P6" s="102" t="s">
        <v>68</v>
      </c>
      <c r="Q6" s="102" t="s">
        <v>69</v>
      </c>
      <c r="R6" s="102" t="s">
        <v>70</v>
      </c>
      <c r="S6" s="102" t="s">
        <v>71</v>
      </c>
      <c r="T6" s="104" t="s">
        <v>72</v>
      </c>
      <c r="U6" s="102" t="s">
        <v>13</v>
      </c>
    </row>
    <row r="7" spans="1:21" s="25" customFormat="1" ht="24" customHeight="1">
      <c r="A7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3"/>
      <c r="O7" s="142"/>
      <c r="P7" s="142"/>
      <c r="Q7" s="142"/>
      <c r="R7" s="142"/>
      <c r="S7" s="142"/>
      <c r="T7" s="142"/>
      <c r="U7" s="142"/>
    </row>
    <row r="8" spans="1:21" s="25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25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25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25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25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25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25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25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25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25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25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25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25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25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25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25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25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25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25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25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25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25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25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25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25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25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25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25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25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25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25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25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25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25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25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150" zoomScaleNormal="150" workbookViewId="0">
      <selection activeCell="A11" sqref="A11:XFD11"/>
    </sheetView>
  </sheetViews>
  <sheetFormatPr baseColWidth="10" defaultRowHeight="15"/>
  <cols>
    <col min="1" max="1" width="2.83203125" customWidth="1"/>
    <col min="2" max="2" width="6.83203125" customWidth="1"/>
    <col min="3" max="3" width="5.6640625" customWidth="1"/>
    <col min="4" max="4" width="15" customWidth="1"/>
    <col min="5" max="5" width="13.6640625" customWidth="1"/>
    <col min="7" max="7" width="29.33203125" customWidth="1"/>
    <col min="8" max="8" width="16.5" customWidth="1"/>
    <col min="9" max="9" width="4.33203125" customWidth="1"/>
    <col min="10" max="10" width="6.5" customWidth="1"/>
    <col min="11" max="11" width="6.6640625" customWidth="1"/>
    <col min="12" max="12" width="17" customWidth="1"/>
    <col min="13" max="13" width="21.33203125" customWidth="1"/>
    <col min="14" max="14" width="8.6640625" customWidth="1"/>
    <col min="15" max="15" width="6.6640625" customWidth="1"/>
    <col min="17" max="17" width="7.5" customWidth="1"/>
    <col min="18" max="18" width="5.1640625" customWidth="1"/>
    <col min="19" max="19" width="13.5" customWidth="1"/>
    <col min="20" max="20" width="11" customWidth="1"/>
    <col min="21" max="21" width="27.5" customWidth="1"/>
  </cols>
  <sheetData>
    <row r="1" spans="1:21" ht="16">
      <c r="G1" s="135"/>
    </row>
    <row r="2" spans="1:21">
      <c r="B2" s="111"/>
      <c r="C2" s="112" t="s">
        <v>0</v>
      </c>
      <c r="F2" s="113"/>
      <c r="G2" s="114"/>
      <c r="H2" s="115"/>
      <c r="I2" s="116"/>
      <c r="J2" s="117"/>
      <c r="K2" s="118"/>
      <c r="L2" s="119"/>
      <c r="M2" s="119"/>
      <c r="N2" s="111"/>
      <c r="O2" s="120"/>
      <c r="T2" s="121"/>
    </row>
    <row r="3" spans="1:21">
      <c r="B3" s="111"/>
      <c r="C3" s="122" t="s">
        <v>1</v>
      </c>
      <c r="F3" s="123"/>
      <c r="G3" s="114"/>
      <c r="H3" s="115"/>
      <c r="I3" s="116"/>
      <c r="J3" s="117" t="s">
        <v>80</v>
      </c>
      <c r="K3" s="118"/>
      <c r="L3" s="119"/>
      <c r="M3" s="124"/>
      <c r="N3" s="125" t="s">
        <v>89</v>
      </c>
      <c r="O3" s="120"/>
      <c r="P3" s="126"/>
      <c r="T3" s="121"/>
    </row>
    <row r="4" spans="1:21" ht="30">
      <c r="B4" s="127" t="s">
        <v>11</v>
      </c>
      <c r="C4" s="127" t="s">
        <v>2</v>
      </c>
      <c r="D4" s="127" t="s">
        <v>3</v>
      </c>
      <c r="E4" s="127" t="s">
        <v>4</v>
      </c>
      <c r="F4" s="127" t="s">
        <v>5</v>
      </c>
      <c r="G4" s="127" t="s">
        <v>6</v>
      </c>
      <c r="H4" s="127" t="s">
        <v>7</v>
      </c>
      <c r="I4" s="127" t="s">
        <v>8</v>
      </c>
      <c r="J4" s="127" t="s">
        <v>9</v>
      </c>
      <c r="K4" s="127" t="s">
        <v>10</v>
      </c>
      <c r="L4" s="128" t="s">
        <v>12</v>
      </c>
      <c r="M4" s="128" t="s">
        <v>13</v>
      </c>
      <c r="N4" s="127" t="s">
        <v>14</v>
      </c>
      <c r="O4" s="129" t="s">
        <v>15</v>
      </c>
      <c r="P4" s="127" t="s">
        <v>16</v>
      </c>
      <c r="Q4" s="127" t="s">
        <v>17</v>
      </c>
      <c r="R4" s="130" t="s">
        <v>18</v>
      </c>
      <c r="S4" s="127" t="s">
        <v>19</v>
      </c>
      <c r="T4" s="127" t="s">
        <v>20</v>
      </c>
      <c r="U4" s="131" t="s">
        <v>21</v>
      </c>
    </row>
    <row r="5" spans="1:21">
      <c r="A5">
        <v>1</v>
      </c>
      <c r="B5" s="132">
        <v>45733</v>
      </c>
      <c r="C5" s="132">
        <v>45717</v>
      </c>
      <c r="D5" s="132" t="s">
        <v>113</v>
      </c>
      <c r="E5" s="132" t="s">
        <v>129</v>
      </c>
      <c r="F5" s="133" t="s">
        <v>130</v>
      </c>
      <c r="G5" s="132" t="s">
        <v>131</v>
      </c>
      <c r="H5" s="160" t="s">
        <v>132</v>
      </c>
      <c r="I5" s="133" t="s">
        <v>42</v>
      </c>
      <c r="J5" s="132" t="s">
        <v>76</v>
      </c>
      <c r="K5" s="132" t="s">
        <v>77</v>
      </c>
      <c r="L5" s="132" t="s">
        <v>133</v>
      </c>
      <c r="M5" s="132" t="s">
        <v>134</v>
      </c>
      <c r="N5" s="133" t="s">
        <v>135</v>
      </c>
      <c r="O5" s="134">
        <v>29</v>
      </c>
      <c r="P5" s="132" t="s">
        <v>81</v>
      </c>
      <c r="Q5" s="132" t="s">
        <v>76</v>
      </c>
      <c r="R5" s="132"/>
      <c r="S5" s="132" t="str">
        <f>E5</f>
        <v>016-907-000241302</v>
      </c>
      <c r="T5" s="159" t="s">
        <v>136</v>
      </c>
      <c r="U5" s="151" t="s">
        <v>137</v>
      </c>
    </row>
    <row r="6" spans="1:21">
      <c r="A6">
        <v>2</v>
      </c>
      <c r="B6" s="132">
        <v>45734</v>
      </c>
      <c r="C6" s="132">
        <v>45684</v>
      </c>
      <c r="D6" s="132" t="s">
        <v>138</v>
      </c>
      <c r="E6" s="132" t="s">
        <v>139</v>
      </c>
      <c r="F6" s="133" t="s">
        <v>140</v>
      </c>
      <c r="G6" s="132" t="s">
        <v>141</v>
      </c>
      <c r="H6" s="133" t="s">
        <v>147</v>
      </c>
      <c r="I6" s="133" t="s">
        <v>42</v>
      </c>
      <c r="J6" s="132" t="s">
        <v>76</v>
      </c>
      <c r="K6" s="132" t="s">
        <v>77</v>
      </c>
      <c r="L6" s="132" t="s">
        <v>144</v>
      </c>
      <c r="M6" s="132" t="s">
        <v>145</v>
      </c>
      <c r="N6" s="133" t="s">
        <v>146</v>
      </c>
      <c r="O6" s="134">
        <v>30</v>
      </c>
      <c r="P6" s="132" t="s">
        <v>81</v>
      </c>
      <c r="Q6" s="132" t="s">
        <v>76</v>
      </c>
      <c r="R6" s="132"/>
      <c r="S6" s="132" t="str">
        <f t="shared" ref="S6:S18" si="0">E6</f>
        <v>001-502-000000108</v>
      </c>
      <c r="T6" s="159" t="s">
        <v>142</v>
      </c>
      <c r="U6" s="151" t="s">
        <v>143</v>
      </c>
    </row>
    <row r="7" spans="1:21">
      <c r="A7">
        <v>3</v>
      </c>
      <c r="B7" s="132">
        <v>45734</v>
      </c>
      <c r="C7" s="132">
        <v>45730</v>
      </c>
      <c r="D7" s="132" t="s">
        <v>201</v>
      </c>
      <c r="E7" s="132" t="s">
        <v>202</v>
      </c>
      <c r="F7" s="133" t="s">
        <v>203</v>
      </c>
      <c r="G7" s="132" t="s">
        <v>204</v>
      </c>
      <c r="H7" s="160" t="s">
        <v>205</v>
      </c>
      <c r="I7" s="133" t="s">
        <v>42</v>
      </c>
      <c r="J7" s="132" t="s">
        <v>76</v>
      </c>
      <c r="K7" s="132" t="s">
        <v>77</v>
      </c>
      <c r="L7" s="132" t="s">
        <v>206</v>
      </c>
      <c r="M7" s="132" t="s">
        <v>207</v>
      </c>
      <c r="N7" s="133" t="s">
        <v>208</v>
      </c>
      <c r="O7" s="134">
        <v>25</v>
      </c>
      <c r="P7" s="132" t="s">
        <v>81</v>
      </c>
      <c r="Q7" s="132" t="s">
        <v>76</v>
      </c>
      <c r="R7" s="132"/>
      <c r="S7" s="132" t="str">
        <f t="shared" si="0"/>
        <v>001-001-000000684</v>
      </c>
      <c r="T7" s="159" t="s">
        <v>209</v>
      </c>
      <c r="U7" s="151" t="s">
        <v>210</v>
      </c>
    </row>
    <row r="8" spans="1:21">
      <c r="A8">
        <v>4</v>
      </c>
      <c r="B8" s="132">
        <v>45735</v>
      </c>
      <c r="C8" s="132">
        <v>45675</v>
      </c>
      <c r="D8" s="132" t="s">
        <v>211</v>
      </c>
      <c r="E8" s="132" t="s">
        <v>212</v>
      </c>
      <c r="F8" s="133" t="s">
        <v>213</v>
      </c>
      <c r="G8" s="132" t="s">
        <v>214</v>
      </c>
      <c r="H8" s="160" t="s">
        <v>215</v>
      </c>
      <c r="I8" s="133" t="s">
        <v>42</v>
      </c>
      <c r="J8" s="132" t="s">
        <v>76</v>
      </c>
      <c r="K8" s="132" t="s">
        <v>77</v>
      </c>
      <c r="L8" s="132" t="s">
        <v>211</v>
      </c>
      <c r="M8" s="132" t="s">
        <v>216</v>
      </c>
      <c r="N8" s="133" t="s">
        <v>217</v>
      </c>
      <c r="O8" s="134">
        <v>25</v>
      </c>
      <c r="P8" s="132" t="s">
        <v>81</v>
      </c>
      <c r="Q8" s="132" t="s">
        <v>76</v>
      </c>
      <c r="R8" s="132"/>
      <c r="S8" s="132" t="str">
        <f t="shared" si="0"/>
        <v>001-500-000070206</v>
      </c>
      <c r="T8" s="159" t="s">
        <v>218</v>
      </c>
      <c r="U8" s="151" t="s">
        <v>219</v>
      </c>
    </row>
    <row r="9" spans="1:21">
      <c r="A9">
        <v>5</v>
      </c>
      <c r="B9" s="132">
        <v>45735</v>
      </c>
      <c r="C9" s="132">
        <v>45714</v>
      </c>
      <c r="D9" s="132" t="s">
        <v>229</v>
      </c>
      <c r="E9" s="132" t="s">
        <v>228</v>
      </c>
      <c r="F9" s="133" t="s">
        <v>230</v>
      </c>
      <c r="G9" s="132" t="s">
        <v>231</v>
      </c>
      <c r="H9" s="160" t="s">
        <v>232</v>
      </c>
      <c r="I9" s="133" t="s">
        <v>42</v>
      </c>
      <c r="J9" s="132" t="s">
        <v>76</v>
      </c>
      <c r="K9" s="132" t="s">
        <v>77</v>
      </c>
      <c r="L9" s="132" t="s">
        <v>227</v>
      </c>
      <c r="M9" s="132" t="s">
        <v>233</v>
      </c>
      <c r="N9" s="133" t="s">
        <v>234</v>
      </c>
      <c r="O9" s="134">
        <v>29</v>
      </c>
      <c r="P9" s="132" t="s">
        <v>81</v>
      </c>
      <c r="Q9" s="132" t="s">
        <v>76</v>
      </c>
      <c r="R9" s="132"/>
      <c r="S9" s="132" t="str">
        <f t="shared" si="0"/>
        <v>018-002-001152078</v>
      </c>
      <c r="T9" s="159" t="s">
        <v>235</v>
      </c>
      <c r="U9" s="151" t="s">
        <v>236</v>
      </c>
    </row>
    <row r="10" spans="1:21">
      <c r="A10">
        <v>6</v>
      </c>
      <c r="B10" s="132">
        <v>45740</v>
      </c>
      <c r="C10" s="132">
        <v>45734</v>
      </c>
      <c r="D10" s="132" t="s">
        <v>113</v>
      </c>
      <c r="E10" s="132" t="s">
        <v>237</v>
      </c>
      <c r="F10" s="133" t="s">
        <v>238</v>
      </c>
      <c r="G10" s="132" t="s">
        <v>239</v>
      </c>
      <c r="H10" s="160" t="s">
        <v>240</v>
      </c>
      <c r="I10" s="133" t="s">
        <v>42</v>
      </c>
      <c r="J10" s="132" t="s">
        <v>76</v>
      </c>
      <c r="K10" s="132" t="s">
        <v>77</v>
      </c>
      <c r="L10" s="132" t="s">
        <v>241</v>
      </c>
      <c r="M10" s="132" t="s">
        <v>242</v>
      </c>
      <c r="N10" s="133" t="s">
        <v>243</v>
      </c>
      <c r="O10" s="134">
        <v>25</v>
      </c>
      <c r="P10" s="132" t="s">
        <v>81</v>
      </c>
      <c r="Q10" s="132" t="s">
        <v>76</v>
      </c>
      <c r="R10" s="132"/>
      <c r="S10" s="132" t="str">
        <f t="shared" si="0"/>
        <v>043-903-000063578</v>
      </c>
      <c r="T10" s="159" t="s">
        <v>243</v>
      </c>
      <c r="U10" s="151" t="s">
        <v>244</v>
      </c>
    </row>
    <row r="11" spans="1:21" s="253" customFormat="1">
      <c r="A11" s="253">
        <v>7</v>
      </c>
      <c r="B11" s="247">
        <v>45741</v>
      </c>
      <c r="C11" s="247">
        <v>45709</v>
      </c>
      <c r="D11" s="247" t="s">
        <v>138</v>
      </c>
      <c r="E11" s="247" t="s">
        <v>245</v>
      </c>
      <c r="F11" s="248" t="s">
        <v>246</v>
      </c>
      <c r="G11" s="247" t="s">
        <v>247</v>
      </c>
      <c r="H11" s="249" t="s">
        <v>248</v>
      </c>
      <c r="I11" s="248" t="s">
        <v>42</v>
      </c>
      <c r="J11" s="247" t="s">
        <v>76</v>
      </c>
      <c r="K11" s="247" t="s">
        <v>77</v>
      </c>
      <c r="L11" s="247" t="s">
        <v>249</v>
      </c>
      <c r="M11" s="247" t="s">
        <v>250</v>
      </c>
      <c r="N11" s="248" t="s">
        <v>251</v>
      </c>
      <c r="O11" s="250">
        <v>36</v>
      </c>
      <c r="P11" s="247" t="s">
        <v>81</v>
      </c>
      <c r="Q11" s="247" t="s">
        <v>76</v>
      </c>
      <c r="R11" s="247"/>
      <c r="S11" s="247" t="str">
        <f t="shared" si="0"/>
        <v>001-500-000071132</v>
      </c>
      <c r="T11" s="251" t="s">
        <v>252</v>
      </c>
      <c r="U11" s="252" t="s">
        <v>253</v>
      </c>
    </row>
    <row r="12" spans="1:21">
      <c r="A12">
        <v>8</v>
      </c>
      <c r="B12" s="132">
        <v>45743</v>
      </c>
      <c r="C12" s="132">
        <v>45739</v>
      </c>
      <c r="D12" s="132" t="s">
        <v>254</v>
      </c>
      <c r="E12" s="132" t="s">
        <v>255</v>
      </c>
      <c r="F12" s="133" t="s">
        <v>256</v>
      </c>
      <c r="G12" s="132" t="s">
        <v>257</v>
      </c>
      <c r="H12" s="160" t="s">
        <v>258</v>
      </c>
      <c r="I12" s="133" t="s">
        <v>42</v>
      </c>
      <c r="J12" s="132" t="s">
        <v>76</v>
      </c>
      <c r="K12" s="132" t="s">
        <v>77</v>
      </c>
      <c r="L12" s="132" t="s">
        <v>259</v>
      </c>
      <c r="M12" s="132" t="s">
        <v>268</v>
      </c>
      <c r="N12" s="133" t="s">
        <v>260</v>
      </c>
      <c r="O12" s="134">
        <v>25</v>
      </c>
      <c r="P12" s="132" t="s">
        <v>81</v>
      </c>
      <c r="Q12" s="132" t="s">
        <v>76</v>
      </c>
      <c r="R12" s="132"/>
      <c r="S12" s="132" t="str">
        <f t="shared" si="0"/>
        <v>008-501-000009097</v>
      </c>
      <c r="T12" s="159" t="s">
        <v>261</v>
      </c>
      <c r="U12" s="151" t="s">
        <v>262</v>
      </c>
    </row>
    <row r="13" spans="1:21">
      <c r="A13">
        <v>9</v>
      </c>
      <c r="B13" s="132">
        <v>45744</v>
      </c>
      <c r="C13" s="132">
        <v>45716</v>
      </c>
      <c r="D13" s="132" t="s">
        <v>138</v>
      </c>
      <c r="E13" s="132" t="s">
        <v>263</v>
      </c>
      <c r="F13" s="133" t="s">
        <v>264</v>
      </c>
      <c r="G13" s="132" t="s">
        <v>265</v>
      </c>
      <c r="H13" s="160" t="s">
        <v>266</v>
      </c>
      <c r="I13" s="133" t="s">
        <v>42</v>
      </c>
      <c r="J13" s="132" t="s">
        <v>76</v>
      </c>
      <c r="K13" s="132" t="s">
        <v>77</v>
      </c>
      <c r="L13" s="132" t="s">
        <v>267</v>
      </c>
      <c r="M13" s="132" t="s">
        <v>269</v>
      </c>
      <c r="N13" s="133" t="s">
        <v>270</v>
      </c>
      <c r="O13" s="134">
        <v>29</v>
      </c>
      <c r="P13" s="132" t="s">
        <v>81</v>
      </c>
      <c r="Q13" s="132" t="s">
        <v>76</v>
      </c>
      <c r="R13" s="132"/>
      <c r="S13" s="132" t="str">
        <f t="shared" si="0"/>
        <v>001-500-000071300</v>
      </c>
      <c r="T13" s="159" t="s">
        <v>271</v>
      </c>
      <c r="U13" s="151" t="s">
        <v>272</v>
      </c>
    </row>
    <row r="14" spans="1:21">
      <c r="A14">
        <v>11</v>
      </c>
      <c r="B14" s="132">
        <v>45744</v>
      </c>
      <c r="C14" s="132">
        <v>45741</v>
      </c>
      <c r="D14" s="132" t="s">
        <v>138</v>
      </c>
      <c r="E14" s="132" t="s">
        <v>280</v>
      </c>
      <c r="F14" s="133" t="s">
        <v>281</v>
      </c>
      <c r="G14" s="132" t="s">
        <v>282</v>
      </c>
      <c r="H14" s="160" t="s">
        <v>283</v>
      </c>
      <c r="I14" s="133" t="s">
        <v>42</v>
      </c>
      <c r="J14" s="132" t="s">
        <v>76</v>
      </c>
      <c r="K14" s="132" t="s">
        <v>77</v>
      </c>
      <c r="L14" s="132" t="s">
        <v>284</v>
      </c>
      <c r="M14" s="132" t="s">
        <v>285</v>
      </c>
      <c r="N14" s="133" t="s">
        <v>286</v>
      </c>
      <c r="O14" s="134">
        <v>25</v>
      </c>
      <c r="P14" s="132" t="s">
        <v>81</v>
      </c>
      <c r="Q14" s="132" t="s">
        <v>76</v>
      </c>
      <c r="R14" s="132"/>
      <c r="S14" s="132" t="str">
        <f t="shared" si="0"/>
        <v>001-500-000071895</v>
      </c>
      <c r="T14" s="159" t="s">
        <v>287</v>
      </c>
      <c r="U14" s="151" t="s">
        <v>288</v>
      </c>
    </row>
    <row r="15" spans="1:21">
      <c r="A15">
        <v>12</v>
      </c>
      <c r="B15" s="247">
        <v>45747</v>
      </c>
      <c r="C15" s="247">
        <v>45694</v>
      </c>
      <c r="D15" s="247" t="s">
        <v>113</v>
      </c>
      <c r="E15" s="247" t="s">
        <v>602</v>
      </c>
      <c r="F15" s="248" t="s">
        <v>603</v>
      </c>
      <c r="G15" s="247" t="s">
        <v>604</v>
      </c>
      <c r="H15" s="249" t="s">
        <v>605</v>
      </c>
      <c r="I15" s="248" t="s">
        <v>42</v>
      </c>
      <c r="J15" s="247" t="s">
        <v>76</v>
      </c>
      <c r="K15" s="247" t="s">
        <v>77</v>
      </c>
      <c r="L15" s="247" t="s">
        <v>606</v>
      </c>
      <c r="M15" s="247" t="s">
        <v>607</v>
      </c>
      <c r="N15" s="248" t="s">
        <v>608</v>
      </c>
      <c r="O15" s="250">
        <v>29</v>
      </c>
      <c r="P15" s="247" t="s">
        <v>81</v>
      </c>
      <c r="Q15" s="247" t="s">
        <v>76</v>
      </c>
      <c r="R15" s="247"/>
      <c r="S15" s="247" t="str">
        <f t="shared" si="0"/>
        <v>043-911-000001384</v>
      </c>
      <c r="T15" s="251" t="s">
        <v>609</v>
      </c>
      <c r="U15" s="252" t="s">
        <v>610</v>
      </c>
    </row>
    <row r="16" spans="1:21">
      <c r="A16">
        <v>13</v>
      </c>
      <c r="B16" s="132">
        <v>45749</v>
      </c>
      <c r="C16" s="132">
        <v>45744</v>
      </c>
      <c r="D16" s="132" t="s">
        <v>113</v>
      </c>
      <c r="E16" s="132" t="s">
        <v>611</v>
      </c>
      <c r="F16" s="133" t="s">
        <v>612</v>
      </c>
      <c r="G16" s="132" t="s">
        <v>359</v>
      </c>
      <c r="H16" s="160" t="s">
        <v>613</v>
      </c>
      <c r="I16" s="133" t="s">
        <v>42</v>
      </c>
      <c r="J16" s="132" t="s">
        <v>76</v>
      </c>
      <c r="K16" s="132" t="s">
        <v>77</v>
      </c>
      <c r="L16" s="132" t="s">
        <v>614</v>
      </c>
      <c r="M16" s="132" t="s">
        <v>615</v>
      </c>
      <c r="N16" s="133" t="s">
        <v>616</v>
      </c>
      <c r="O16" s="134">
        <v>15</v>
      </c>
      <c r="P16" s="132" t="s">
        <v>81</v>
      </c>
      <c r="Q16" s="132" t="s">
        <v>76</v>
      </c>
      <c r="R16" s="132"/>
      <c r="S16" s="132" t="str">
        <f t="shared" si="0"/>
        <v>016-907-000245989</v>
      </c>
      <c r="T16" s="159" t="s">
        <v>617</v>
      </c>
      <c r="U16" s="151" t="s">
        <v>618</v>
      </c>
    </row>
    <row r="17" spans="1:21">
      <c r="A17">
        <v>14</v>
      </c>
      <c r="B17" s="132">
        <v>45749</v>
      </c>
      <c r="C17" s="132">
        <v>45716</v>
      </c>
      <c r="D17" s="132" t="s">
        <v>138</v>
      </c>
      <c r="E17" s="132" t="s">
        <v>619</v>
      </c>
      <c r="F17" s="133" t="s">
        <v>130</v>
      </c>
      <c r="G17" s="132" t="s">
        <v>131</v>
      </c>
      <c r="H17" s="160" t="s">
        <v>620</v>
      </c>
      <c r="I17" s="133" t="s">
        <v>42</v>
      </c>
      <c r="J17" s="132" t="s">
        <v>76</v>
      </c>
      <c r="K17" s="132" t="s">
        <v>77</v>
      </c>
      <c r="L17" s="132" t="s">
        <v>621</v>
      </c>
      <c r="M17" s="132" t="s">
        <v>622</v>
      </c>
      <c r="N17" s="133" t="s">
        <v>623</v>
      </c>
      <c r="O17" s="134">
        <v>29</v>
      </c>
      <c r="P17" s="132" t="s">
        <v>81</v>
      </c>
      <c r="Q17" s="132" t="s">
        <v>76</v>
      </c>
      <c r="R17" s="132"/>
      <c r="S17" s="132" t="str">
        <f t="shared" si="0"/>
        <v>001-502-000000167</v>
      </c>
      <c r="T17" s="159" t="s">
        <v>624</v>
      </c>
      <c r="U17" s="151" t="s">
        <v>625</v>
      </c>
    </row>
    <row r="18" spans="1:21">
      <c r="A18">
        <v>15</v>
      </c>
      <c r="B18" s="132">
        <v>45749</v>
      </c>
      <c r="C18" s="132">
        <v>45745</v>
      </c>
      <c r="D18" s="132" t="s">
        <v>317</v>
      </c>
      <c r="E18" s="132" t="s">
        <v>626</v>
      </c>
      <c r="F18" s="133" t="s">
        <v>627</v>
      </c>
      <c r="G18" s="132" t="s">
        <v>628</v>
      </c>
      <c r="H18" s="160" t="s">
        <v>629</v>
      </c>
      <c r="I18" s="133" t="s">
        <v>42</v>
      </c>
      <c r="J18" s="132" t="s">
        <v>76</v>
      </c>
      <c r="K18" s="132" t="s">
        <v>77</v>
      </c>
      <c r="L18" s="132" t="s">
        <v>630</v>
      </c>
      <c r="M18" s="132" t="s">
        <v>631</v>
      </c>
      <c r="N18" s="133" t="s">
        <v>632</v>
      </c>
      <c r="O18" s="134">
        <v>25</v>
      </c>
      <c r="P18" s="132" t="s">
        <v>81</v>
      </c>
      <c r="Q18" s="132" t="s">
        <v>76</v>
      </c>
      <c r="R18" s="132"/>
      <c r="S18" s="132" t="str">
        <f t="shared" si="0"/>
        <v>002-201-00007908</v>
      </c>
      <c r="T18" s="159" t="s">
        <v>633</v>
      </c>
      <c r="U18" s="151" t="s">
        <v>634</v>
      </c>
    </row>
    <row r="19" spans="1:21">
      <c r="A19">
        <v>16</v>
      </c>
      <c r="B19" s="132">
        <v>45749</v>
      </c>
      <c r="C19" s="132">
        <v>45705</v>
      </c>
      <c r="D19" s="132" t="s">
        <v>113</v>
      </c>
      <c r="E19" s="132" t="s">
        <v>635</v>
      </c>
      <c r="F19" s="133" t="s">
        <v>130</v>
      </c>
      <c r="G19" s="132" t="s">
        <v>131</v>
      </c>
      <c r="H19" s="160" t="s">
        <v>636</v>
      </c>
      <c r="I19" s="133" t="s">
        <v>42</v>
      </c>
      <c r="J19" s="132" t="s">
        <v>76</v>
      </c>
      <c r="K19" s="132" t="s">
        <v>77</v>
      </c>
      <c r="L19" s="132" t="s">
        <v>637</v>
      </c>
      <c r="M19" s="132" t="s">
        <v>134</v>
      </c>
      <c r="N19" s="133" t="s">
        <v>638</v>
      </c>
      <c r="O19" s="134">
        <v>29</v>
      </c>
      <c r="P19" s="132" t="s">
        <v>81</v>
      </c>
      <c r="Q19" s="132" t="s">
        <v>76</v>
      </c>
      <c r="R19" s="132"/>
      <c r="S19" s="132" t="str">
        <f t="shared" ref="S19:S30" si="1">E19</f>
        <v>016-902-000498249</v>
      </c>
      <c r="T19" s="159" t="s">
        <v>639</v>
      </c>
      <c r="U19" s="151" t="s">
        <v>640</v>
      </c>
    </row>
    <row r="20" spans="1:21">
      <c r="A20">
        <v>17</v>
      </c>
      <c r="B20" s="132">
        <v>45750</v>
      </c>
      <c r="C20" s="132">
        <v>45669</v>
      </c>
      <c r="D20" s="132" t="s">
        <v>113</v>
      </c>
      <c r="E20" s="132" t="s">
        <v>641</v>
      </c>
      <c r="F20" s="133" t="s">
        <v>642</v>
      </c>
      <c r="G20" s="132" t="s">
        <v>643</v>
      </c>
      <c r="H20" s="160" t="s">
        <v>644</v>
      </c>
      <c r="I20" s="133" t="s">
        <v>42</v>
      </c>
      <c r="J20" s="132" t="s">
        <v>76</v>
      </c>
      <c r="K20" s="132" t="s">
        <v>77</v>
      </c>
      <c r="L20" s="132" t="s">
        <v>645</v>
      </c>
      <c r="M20" s="132" t="s">
        <v>363</v>
      </c>
      <c r="N20" s="133" t="s">
        <v>646</v>
      </c>
      <c r="O20" s="134">
        <v>15</v>
      </c>
      <c r="P20" s="132" t="s">
        <v>81</v>
      </c>
      <c r="Q20" s="132" t="s">
        <v>76</v>
      </c>
      <c r="R20" s="132"/>
      <c r="S20" s="132" t="str">
        <f t="shared" si="1"/>
        <v>043-905-000053080</v>
      </c>
      <c r="T20" s="159" t="s">
        <v>647</v>
      </c>
      <c r="U20" s="151" t="s">
        <v>648</v>
      </c>
    </row>
    <row r="21" spans="1:21" s="253" customFormat="1">
      <c r="A21" s="253">
        <v>18</v>
      </c>
      <c r="B21" s="247">
        <v>45751</v>
      </c>
      <c r="C21" s="247">
        <v>45748</v>
      </c>
      <c r="D21" s="247" t="s">
        <v>138</v>
      </c>
      <c r="E21" s="247" t="s">
        <v>649</v>
      </c>
      <c r="F21" s="248" t="s">
        <v>246</v>
      </c>
      <c r="G21" s="247" t="s">
        <v>247</v>
      </c>
      <c r="H21" s="249" t="s">
        <v>650</v>
      </c>
      <c r="I21" s="248" t="s">
        <v>42</v>
      </c>
      <c r="J21" s="247" t="s">
        <v>76</v>
      </c>
      <c r="K21" s="247" t="s">
        <v>77</v>
      </c>
      <c r="L21" s="247" t="s">
        <v>651</v>
      </c>
      <c r="M21" s="247" t="s">
        <v>652</v>
      </c>
      <c r="N21" s="248" t="s">
        <v>653</v>
      </c>
      <c r="O21" s="250">
        <v>30</v>
      </c>
      <c r="P21" s="247" t="s">
        <v>81</v>
      </c>
      <c r="Q21" s="247" t="s">
        <v>76</v>
      </c>
      <c r="R21" s="247"/>
      <c r="S21" s="247" t="str">
        <f t="shared" si="1"/>
        <v>001-500-000072067</v>
      </c>
      <c r="T21" s="251" t="s">
        <v>654</v>
      </c>
      <c r="U21" s="252" t="s">
        <v>655</v>
      </c>
    </row>
    <row r="22" spans="1:21">
      <c r="A22">
        <v>19</v>
      </c>
      <c r="B22" s="132">
        <v>45751</v>
      </c>
      <c r="C22" s="132">
        <v>45749</v>
      </c>
      <c r="D22" s="132" t="s">
        <v>138</v>
      </c>
      <c r="E22" s="132" t="s">
        <v>656</v>
      </c>
      <c r="F22" s="133" t="s">
        <v>612</v>
      </c>
      <c r="G22" s="132" t="s">
        <v>359</v>
      </c>
      <c r="H22" s="160" t="s">
        <v>657</v>
      </c>
      <c r="I22" s="133" t="s">
        <v>42</v>
      </c>
      <c r="J22" s="132" t="s">
        <v>76</v>
      </c>
      <c r="K22" s="132" t="s">
        <v>77</v>
      </c>
      <c r="L22" s="132" t="s">
        <v>658</v>
      </c>
      <c r="M22" s="132" t="s">
        <v>659</v>
      </c>
      <c r="N22" s="133" t="s">
        <v>660</v>
      </c>
      <c r="O22" s="134">
        <v>15</v>
      </c>
      <c r="P22" s="132" t="s">
        <v>81</v>
      </c>
      <c r="Q22" s="132" t="s">
        <v>76</v>
      </c>
      <c r="R22" s="132"/>
      <c r="S22" s="132" t="str">
        <f t="shared" si="1"/>
        <v>001-500-000072080</v>
      </c>
      <c r="T22" s="159" t="s">
        <v>661</v>
      </c>
      <c r="U22" s="151" t="s">
        <v>662</v>
      </c>
    </row>
    <row r="23" spans="1:21">
      <c r="A23">
        <v>20</v>
      </c>
      <c r="B23" s="132">
        <v>45751</v>
      </c>
      <c r="C23" s="132">
        <v>45496</v>
      </c>
      <c r="D23" s="132" t="s">
        <v>477</v>
      </c>
      <c r="E23" s="132" t="s">
        <v>663</v>
      </c>
      <c r="F23" s="133" t="s">
        <v>664</v>
      </c>
      <c r="G23" s="132" t="s">
        <v>665</v>
      </c>
      <c r="H23" s="160" t="s">
        <v>666</v>
      </c>
      <c r="I23" s="133" t="s">
        <v>42</v>
      </c>
      <c r="J23" s="132" t="s">
        <v>76</v>
      </c>
      <c r="K23" s="132" t="s">
        <v>77</v>
      </c>
      <c r="L23" s="132" t="s">
        <v>667</v>
      </c>
      <c r="M23" s="132" t="s">
        <v>668</v>
      </c>
      <c r="N23" s="133" t="s">
        <v>669</v>
      </c>
      <c r="O23" s="134">
        <v>29</v>
      </c>
      <c r="P23" s="132" t="s">
        <v>81</v>
      </c>
      <c r="Q23" s="132" t="s">
        <v>76</v>
      </c>
      <c r="R23" s="132"/>
      <c r="S23" s="132" t="str">
        <f t="shared" si="1"/>
        <v>090-105-000001649</v>
      </c>
      <c r="T23" s="159" t="s">
        <v>670</v>
      </c>
      <c r="U23" s="151" t="s">
        <v>671</v>
      </c>
    </row>
    <row r="24" spans="1:21">
      <c r="A24">
        <v>21</v>
      </c>
      <c r="B24" s="132">
        <v>45751</v>
      </c>
      <c r="C24" s="132">
        <v>45805</v>
      </c>
      <c r="D24" s="132" t="s">
        <v>672</v>
      </c>
      <c r="E24" s="132" t="s">
        <v>673</v>
      </c>
      <c r="F24" s="133" t="s">
        <v>674</v>
      </c>
      <c r="G24" s="132" t="s">
        <v>331</v>
      </c>
      <c r="H24" s="160" t="s">
        <v>675</v>
      </c>
      <c r="I24" s="133" t="s">
        <v>42</v>
      </c>
      <c r="J24" s="132" t="s">
        <v>76</v>
      </c>
      <c r="K24" s="132" t="s">
        <v>77</v>
      </c>
      <c r="L24" s="132" t="s">
        <v>676</v>
      </c>
      <c r="M24" s="132" t="s">
        <v>573</v>
      </c>
      <c r="N24" s="133" t="s">
        <v>677</v>
      </c>
      <c r="O24" s="134">
        <v>29</v>
      </c>
      <c r="P24" s="132" t="s">
        <v>81</v>
      </c>
      <c r="Q24" s="132" t="s">
        <v>76</v>
      </c>
      <c r="R24" s="132"/>
      <c r="S24" s="132" t="str">
        <f t="shared" si="1"/>
        <v>006-000157790</v>
      </c>
      <c r="T24" s="159" t="s">
        <v>678</v>
      </c>
      <c r="U24" s="151" t="s">
        <v>679</v>
      </c>
    </row>
    <row r="25" spans="1:21">
      <c r="A25">
        <v>22</v>
      </c>
      <c r="B25" s="132">
        <v>45754</v>
      </c>
      <c r="C25" s="132">
        <v>45751</v>
      </c>
      <c r="D25" s="132" t="s">
        <v>113</v>
      </c>
      <c r="E25" s="132" t="s">
        <v>680</v>
      </c>
      <c r="F25" s="133" t="s">
        <v>130</v>
      </c>
      <c r="G25" s="132" t="s">
        <v>131</v>
      </c>
      <c r="H25" s="160" t="s">
        <v>681</v>
      </c>
      <c r="I25" s="133" t="s">
        <v>42</v>
      </c>
      <c r="J25" s="132" t="s">
        <v>76</v>
      </c>
      <c r="K25" s="132" t="s">
        <v>77</v>
      </c>
      <c r="L25" s="132" t="s">
        <v>682</v>
      </c>
      <c r="M25" s="132" t="s">
        <v>683</v>
      </c>
      <c r="N25" s="133" t="s">
        <v>684</v>
      </c>
      <c r="O25" s="134">
        <v>29</v>
      </c>
      <c r="P25" s="132" t="s">
        <v>81</v>
      </c>
      <c r="Q25" s="132" t="s">
        <v>76</v>
      </c>
      <c r="R25" s="132"/>
      <c r="S25" s="132" t="str">
        <f t="shared" si="1"/>
        <v>043-985-000066908</v>
      </c>
      <c r="T25" s="159" t="s">
        <v>685</v>
      </c>
      <c r="U25" s="151" t="s">
        <v>686</v>
      </c>
    </row>
    <row r="26" spans="1:21">
      <c r="A26">
        <v>23</v>
      </c>
      <c r="B26" s="132">
        <v>45756</v>
      </c>
      <c r="C26" s="132">
        <v>45754</v>
      </c>
      <c r="D26" s="132" t="s">
        <v>723</v>
      </c>
      <c r="E26" s="132" t="s">
        <v>724</v>
      </c>
      <c r="F26" s="133" t="s">
        <v>725</v>
      </c>
      <c r="G26" s="132" t="s">
        <v>265</v>
      </c>
      <c r="H26" s="160" t="s">
        <v>726</v>
      </c>
      <c r="I26" s="133" t="s">
        <v>42</v>
      </c>
      <c r="J26" s="132" t="s">
        <v>76</v>
      </c>
      <c r="K26" s="132" t="s">
        <v>77</v>
      </c>
      <c r="L26" s="132" t="s">
        <v>727</v>
      </c>
      <c r="M26" s="132" t="s">
        <v>385</v>
      </c>
      <c r="N26" s="133" t="s">
        <v>728</v>
      </c>
      <c r="O26" s="134">
        <v>29</v>
      </c>
      <c r="P26" s="132" t="s">
        <v>81</v>
      </c>
      <c r="Q26" s="132" t="s">
        <v>76</v>
      </c>
      <c r="R26" s="132"/>
      <c r="S26" s="132" t="str">
        <f t="shared" si="1"/>
        <v>007-006-000136872</v>
      </c>
      <c r="T26" s="159" t="s">
        <v>729</v>
      </c>
      <c r="U26" s="151" t="s">
        <v>730</v>
      </c>
    </row>
    <row r="27" spans="1:21">
      <c r="A27">
        <v>24</v>
      </c>
      <c r="B27" s="132">
        <v>45757</v>
      </c>
      <c r="C27" s="132">
        <v>45724</v>
      </c>
      <c r="D27" s="132" t="s">
        <v>723</v>
      </c>
      <c r="E27" s="132" t="s">
        <v>731</v>
      </c>
      <c r="F27" s="133" t="s">
        <v>732</v>
      </c>
      <c r="G27" s="132" t="s">
        <v>733</v>
      </c>
      <c r="H27" s="160" t="s">
        <v>734</v>
      </c>
      <c r="I27" s="133" t="s">
        <v>42</v>
      </c>
      <c r="J27" s="132" t="s">
        <v>76</v>
      </c>
      <c r="K27" s="132" t="s">
        <v>77</v>
      </c>
      <c r="L27" s="132" t="s">
        <v>735</v>
      </c>
      <c r="M27" s="132" t="s">
        <v>736</v>
      </c>
      <c r="N27" s="133" t="s">
        <v>737</v>
      </c>
      <c r="O27" s="134">
        <v>25</v>
      </c>
      <c r="P27" s="132" t="s">
        <v>81</v>
      </c>
      <c r="Q27" s="132" t="s">
        <v>76</v>
      </c>
      <c r="R27" s="132"/>
      <c r="S27" s="132" t="str">
        <f t="shared" si="1"/>
        <v>017-003-000054224</v>
      </c>
      <c r="T27" s="159" t="s">
        <v>738</v>
      </c>
      <c r="U27" s="151" t="s">
        <v>739</v>
      </c>
    </row>
    <row r="28" spans="1:21">
      <c r="A28">
        <v>25</v>
      </c>
      <c r="B28" s="132">
        <v>45757</v>
      </c>
      <c r="C28" s="132">
        <v>45755</v>
      </c>
      <c r="D28" s="132" t="s">
        <v>138</v>
      </c>
      <c r="E28" s="132" t="s">
        <v>740</v>
      </c>
      <c r="F28" s="133" t="s">
        <v>741</v>
      </c>
      <c r="G28" s="132" t="s">
        <v>319</v>
      </c>
      <c r="H28" s="160" t="s">
        <v>742</v>
      </c>
      <c r="I28" s="133" t="s">
        <v>42</v>
      </c>
      <c r="J28" s="132" t="s">
        <v>76</v>
      </c>
      <c r="K28" s="132" t="s">
        <v>77</v>
      </c>
      <c r="L28" s="132" t="s">
        <v>743</v>
      </c>
      <c r="M28" s="132" t="s">
        <v>744</v>
      </c>
      <c r="N28" s="133" t="s">
        <v>745</v>
      </c>
      <c r="O28" s="134">
        <v>29</v>
      </c>
      <c r="P28" s="132" t="s">
        <v>81</v>
      </c>
      <c r="Q28" s="132" t="s">
        <v>76</v>
      </c>
      <c r="R28" s="132"/>
      <c r="S28" s="132" t="str">
        <f t="shared" si="1"/>
        <v>001-500-000072224</v>
      </c>
      <c r="T28" s="159" t="s">
        <v>746</v>
      </c>
      <c r="U28" s="151" t="s">
        <v>747</v>
      </c>
    </row>
    <row r="29" spans="1:21">
      <c r="A29">
        <v>26</v>
      </c>
      <c r="B29" s="132">
        <v>45758</v>
      </c>
      <c r="C29" s="132">
        <v>45730</v>
      </c>
      <c r="D29" s="132" t="s">
        <v>201</v>
      </c>
      <c r="E29" s="132" t="s">
        <v>748</v>
      </c>
      <c r="F29" s="133" t="s">
        <v>749</v>
      </c>
      <c r="G29" s="132" t="s">
        <v>193</v>
      </c>
      <c r="H29" s="160" t="s">
        <v>750</v>
      </c>
      <c r="I29" s="133" t="s">
        <v>42</v>
      </c>
      <c r="J29" s="132" t="s">
        <v>76</v>
      </c>
      <c r="K29" s="132" t="s">
        <v>77</v>
      </c>
      <c r="L29" s="132" t="s">
        <v>751</v>
      </c>
      <c r="M29" s="132" t="s">
        <v>752</v>
      </c>
      <c r="N29" s="133" t="s">
        <v>753</v>
      </c>
      <c r="O29" s="134">
        <v>29</v>
      </c>
      <c r="P29" s="132" t="s">
        <v>81</v>
      </c>
      <c r="Q29" s="132" t="s">
        <v>76</v>
      </c>
      <c r="R29" s="132"/>
      <c r="S29" s="132" t="str">
        <f t="shared" si="1"/>
        <v>001-001-000000680</v>
      </c>
      <c r="T29" s="159" t="s">
        <v>754</v>
      </c>
      <c r="U29" s="151" t="s">
        <v>755</v>
      </c>
    </row>
    <row r="30" spans="1:21">
      <c r="A30">
        <v>27</v>
      </c>
      <c r="B30" s="132">
        <v>45762</v>
      </c>
      <c r="C30" s="132">
        <v>45756</v>
      </c>
      <c r="D30" s="132" t="s">
        <v>113</v>
      </c>
      <c r="E30" s="132" t="s">
        <v>821</v>
      </c>
      <c r="F30" s="133" t="s">
        <v>822</v>
      </c>
      <c r="G30" s="132" t="s">
        <v>823</v>
      </c>
      <c r="H30" s="160" t="s">
        <v>824</v>
      </c>
      <c r="I30" s="133" t="s">
        <v>42</v>
      </c>
      <c r="J30" s="132" t="s">
        <v>76</v>
      </c>
      <c r="K30" s="132" t="s">
        <v>77</v>
      </c>
      <c r="L30" s="132" t="s">
        <v>825</v>
      </c>
      <c r="M30" s="132" t="s">
        <v>826</v>
      </c>
      <c r="N30" s="133" t="s">
        <v>827</v>
      </c>
      <c r="O30" s="134">
        <v>15</v>
      </c>
      <c r="P30" s="132" t="s">
        <v>81</v>
      </c>
      <c r="Q30" s="132" t="s">
        <v>76</v>
      </c>
      <c r="R30" s="132"/>
      <c r="S30" s="132" t="str">
        <f t="shared" si="1"/>
        <v>016-902-000504808</v>
      </c>
      <c r="T30" s="159" t="s">
        <v>828</v>
      </c>
      <c r="U30" s="151" t="s">
        <v>829</v>
      </c>
    </row>
    <row r="31" spans="1:21">
      <c r="A31">
        <v>28</v>
      </c>
      <c r="B31" s="132">
        <v>45762</v>
      </c>
      <c r="C31" s="132">
        <v>45757</v>
      </c>
      <c r="D31" s="132" t="s">
        <v>138</v>
      </c>
      <c r="E31" s="132" t="s">
        <v>830</v>
      </c>
      <c r="F31" s="133" t="s">
        <v>831</v>
      </c>
      <c r="G31" s="132" t="s">
        <v>832</v>
      </c>
      <c r="H31" s="160" t="s">
        <v>833</v>
      </c>
      <c r="I31" s="133" t="s">
        <v>42</v>
      </c>
      <c r="J31" s="132" t="s">
        <v>76</v>
      </c>
      <c r="K31" s="132" t="s">
        <v>77</v>
      </c>
      <c r="L31" s="132" t="s">
        <v>834</v>
      </c>
      <c r="M31" s="132" t="s">
        <v>835</v>
      </c>
      <c r="N31" s="133" t="s">
        <v>836</v>
      </c>
      <c r="O31" s="134">
        <v>25</v>
      </c>
      <c r="P31" s="132" t="s">
        <v>81</v>
      </c>
      <c r="Q31" s="132" t="s">
        <v>76</v>
      </c>
      <c r="R31" s="132"/>
      <c r="S31" s="132" t="str">
        <f t="shared" ref="S31" si="2">E31</f>
        <v>001-500-000072270</v>
      </c>
      <c r="T31" s="159" t="s">
        <v>837</v>
      </c>
      <c r="U31" s="151" t="s">
        <v>838</v>
      </c>
    </row>
    <row r="32" spans="1:21">
      <c r="A32">
        <v>29</v>
      </c>
      <c r="B32" s="132">
        <v>45763</v>
      </c>
      <c r="C32" s="132">
        <v>45724</v>
      </c>
      <c r="D32" s="132" t="s">
        <v>113</v>
      </c>
      <c r="E32" s="132" t="s">
        <v>844</v>
      </c>
      <c r="F32" s="133" t="s">
        <v>845</v>
      </c>
      <c r="G32" s="132" t="s">
        <v>846</v>
      </c>
      <c r="H32" s="160" t="s">
        <v>847</v>
      </c>
      <c r="I32" s="133" t="s">
        <v>42</v>
      </c>
      <c r="J32" s="132" t="s">
        <v>76</v>
      </c>
      <c r="K32" s="132" t="s">
        <v>77</v>
      </c>
      <c r="L32" s="132" t="s">
        <v>848</v>
      </c>
      <c r="M32" s="132" t="s">
        <v>849</v>
      </c>
      <c r="N32" s="133" t="s">
        <v>850</v>
      </c>
      <c r="O32" s="134">
        <v>29</v>
      </c>
      <c r="P32" s="132" t="s">
        <v>81</v>
      </c>
      <c r="Q32" s="132" t="s">
        <v>76</v>
      </c>
      <c r="R32" s="132"/>
      <c r="S32" s="132" t="str">
        <f t="shared" ref="S32" si="3">E32</f>
        <v>043-908-000061462</v>
      </c>
      <c r="T32" s="159" t="s">
        <v>851</v>
      </c>
      <c r="U32" s="151" t="s">
        <v>868</v>
      </c>
    </row>
    <row r="33" spans="1:21">
      <c r="A33">
        <v>30</v>
      </c>
      <c r="B33" s="132">
        <v>45763</v>
      </c>
      <c r="C33" s="132">
        <v>45756</v>
      </c>
      <c r="D33" s="132" t="s">
        <v>859</v>
      </c>
      <c r="E33" s="132" t="s">
        <v>860</v>
      </c>
      <c r="F33" s="133" t="s">
        <v>861</v>
      </c>
      <c r="G33" s="132" t="s">
        <v>419</v>
      </c>
      <c r="H33" s="160" t="s">
        <v>862</v>
      </c>
      <c r="I33" s="133" t="s">
        <v>42</v>
      </c>
      <c r="J33" s="132" t="s">
        <v>76</v>
      </c>
      <c r="K33" s="132" t="s">
        <v>77</v>
      </c>
      <c r="L33" s="132" t="s">
        <v>863</v>
      </c>
      <c r="M33" s="132" t="s">
        <v>864</v>
      </c>
      <c r="N33" s="133" t="s">
        <v>865</v>
      </c>
      <c r="O33" s="134">
        <v>15</v>
      </c>
      <c r="P33" s="132" t="s">
        <v>81</v>
      </c>
      <c r="Q33" s="132" t="s">
        <v>76</v>
      </c>
      <c r="R33" s="132"/>
      <c r="S33" s="132" t="str">
        <f t="shared" ref="S33" si="4">E33</f>
        <v>007-007-000032994</v>
      </c>
      <c r="T33" s="159" t="s">
        <v>866</v>
      </c>
      <c r="U33" s="151" t="s">
        <v>867</v>
      </c>
    </row>
    <row r="34" spans="1:21">
      <c r="O34" s="105">
        <f>SUM(O5:O33)</f>
        <v>748</v>
      </c>
    </row>
    <row r="35" spans="1:21">
      <c r="O35" s="8"/>
    </row>
  </sheetData>
  <hyperlinks>
    <hyperlink ref="U5" r:id="rId1" xr:uid="{C52A88CC-FF10-6B4A-9F0D-FAECDBFFEB3E}"/>
    <hyperlink ref="U6" r:id="rId2" xr:uid="{846D905C-4BD8-6540-B843-63B3AB751C98}"/>
    <hyperlink ref="U7" r:id="rId3" xr:uid="{AE37BCF9-B474-5246-990C-389DF0F2EE3E}"/>
    <hyperlink ref="U8" r:id="rId4" xr:uid="{720228B8-FC35-CD44-BBE1-4795BCB58261}"/>
    <hyperlink ref="U9" r:id="rId5" xr:uid="{8D84DC5E-2ED8-EB41-BD6D-3A7523C6086E}"/>
    <hyperlink ref="U10" r:id="rId6" xr:uid="{E86C1BF8-06EE-414F-AEA4-8BE593DE4CC2}"/>
    <hyperlink ref="U11" r:id="rId7" xr:uid="{BACD3FFF-C140-3D43-B21B-046A1E7507CC}"/>
    <hyperlink ref="U12" r:id="rId8" xr:uid="{FC3B14B4-193E-544A-B648-7054239DA5BC}"/>
    <hyperlink ref="U13" r:id="rId9" xr:uid="{6FBF0C2A-DC6E-A440-89ED-1A0A10E4F735}"/>
    <hyperlink ref="U14" r:id="rId10" xr:uid="{F1BA6E05-307C-CA47-8326-BFC7CBFC12ED}"/>
    <hyperlink ref="U15" r:id="rId11" xr:uid="{E01D32F9-4148-E54E-8040-EE05CFBED8E6}"/>
    <hyperlink ref="U16" r:id="rId12" xr:uid="{A8051B03-BC62-4643-80E0-4A15DB33412F}"/>
    <hyperlink ref="U17" r:id="rId13" xr:uid="{BA21C685-4262-AE4D-AD03-6DF1F5989777}"/>
    <hyperlink ref="U18" r:id="rId14" xr:uid="{C7BB9084-095F-1A43-A8A9-637273F30667}"/>
    <hyperlink ref="U19" r:id="rId15" xr:uid="{8BA12657-854A-524A-BDD9-CB179787855B}"/>
    <hyperlink ref="U20" r:id="rId16" xr:uid="{50F5508C-7D56-AE4F-827E-2E79E80F7A9D}"/>
    <hyperlink ref="U21" r:id="rId17" xr:uid="{17300B1E-15A7-F445-AF19-3F8780C72D80}"/>
    <hyperlink ref="U22" r:id="rId18" xr:uid="{F4C76F27-9269-EE4B-9270-2E0DC1880722}"/>
    <hyperlink ref="U23" r:id="rId19" xr:uid="{F6978518-4A2A-6C4E-93AE-A145F061FD13}"/>
    <hyperlink ref="U24" r:id="rId20" xr:uid="{7A7DBB82-AAF6-6D4F-8A1C-763A1F1F4758}"/>
    <hyperlink ref="U25" r:id="rId21" xr:uid="{FA7A945C-1FEE-F445-B0F6-7FE59B92A23F}"/>
    <hyperlink ref="U26" r:id="rId22" xr:uid="{4E7C5F75-7711-C74C-B178-1AA91B06607E}"/>
    <hyperlink ref="U27" r:id="rId23" xr:uid="{2A3447AE-4DFA-FF46-9644-6008457FF03E}"/>
    <hyperlink ref="U28" r:id="rId24" xr:uid="{7CC354A5-EE2E-0342-A0B4-1160C6C65F78}"/>
    <hyperlink ref="U29" r:id="rId25" xr:uid="{60453B57-7A3A-CC4D-8631-201FEEB5C347}"/>
    <hyperlink ref="U30" r:id="rId26" xr:uid="{637B1B04-3D1B-3749-9DF0-E6A826E9354A}"/>
    <hyperlink ref="U31" r:id="rId27" xr:uid="{75726F1B-DF0A-8B45-8DAB-445E67EF7F65}"/>
    <hyperlink ref="U33" r:id="rId28" xr:uid="{74A132DB-0053-FE40-83DE-B6E603F209B3}"/>
    <hyperlink ref="U32" r:id="rId29" xr:uid="{F6726226-6D35-C540-BD44-3776000A25D1}"/>
  </hyperlinks>
  <pageMargins left="0.7" right="0.7" top="0.75" bottom="0.75" header="0.3" footer="0.3"/>
  <pageSetup paperSize="9" orientation="portrait" horizontalDpi="0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2024-01-22T20:29:31Z</dcterms:created>
  <dcterms:modified xsi:type="dcterms:W3CDTF">2025-11-12T21:17:11Z</dcterms:modified>
</cp:coreProperties>
</file>