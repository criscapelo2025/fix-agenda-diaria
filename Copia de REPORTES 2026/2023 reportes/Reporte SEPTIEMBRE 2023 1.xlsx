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2"/>
  <workbookPr/>
  <bookViews>
    <workbookView xWindow="-105" yWindow="-105" windowWidth="20730" windowHeight="11760" activeTab="4"/>
  </bookViews>
  <sheets>
    <sheet name="ALMACEN" sheetId="1" r:id="rId1"/>
    <sheet name="BBQ" sheetId="2" r:id="rId2"/>
    <sheet name="1 PRODUCTO" sheetId="3" r:id="rId3"/>
    <sheet name="PROMOCION" sheetId="4" r:id="rId4"/>
    <sheet name="GARANTIAS" sheetId="5" r:id="rId5"/>
    <sheet name="CONSOLIDADO" sheetId="6" r:id="rId6"/>
  </sheets>
  <calcPr calcId="144525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O28" i="4" l="1"/>
  <c r="N14" i="5" l="1"/>
  <c r="O12" i="2"/>
  <c r="J17" i="5" l="1"/>
  <c r="J19" i="5" s="1"/>
  <c r="O10" i="1"/>
</calcChain>
</file>

<file path=xl/sharedStrings.xml><?xml version="1.0" encoding="utf-8"?>
<sst xmlns="http://schemas.openxmlformats.org/spreadsheetml/2006/main" count="1076" uniqueCount="352">
  <si>
    <t>TEKA ECUADOR S.A.</t>
  </si>
  <si>
    <t>Registro Único de Contribuyente: 1791883144001</t>
  </si>
  <si>
    <t xml:space="preserve">INSTALACION ALMACEN </t>
  </si>
  <si>
    <t>CAPELO</t>
  </si>
  <si>
    <t>FECHA DE COMPRA</t>
  </si>
  <si>
    <t>LUGAR DE COMRPA</t>
  </si>
  <si>
    <t>NUMERO DE FACTURA DE COMPRA</t>
  </si>
  <si>
    <t>CODIGO DEL PRODUCTO</t>
  </si>
  <si>
    <t>DESCRIPCION DE PRODUCTO</t>
  </si>
  <si>
    <t>SERIE DEL EQUIPO</t>
  </si>
  <si>
    <t>GARANTIA DEL EQUIPO</t>
  </si>
  <si>
    <t>TECNICO</t>
  </si>
  <si>
    <t>CIUDAD</t>
  </si>
  <si>
    <t>FECHA INSTALACION</t>
  </si>
  <si>
    <t>NOMBRE DEL CLIENTE</t>
  </si>
  <si>
    <t>DIRECCION INSTALACION</t>
  </si>
  <si>
    <t>CELULAR DEL CLIENTE</t>
  </si>
  <si>
    <t>PRECIO</t>
  </si>
  <si>
    <t>COMO LLEGO INFORMACION</t>
  </si>
  <si>
    <t>Comercial Solis</t>
  </si>
  <si>
    <t xml:space="preserve"> Capelo</t>
  </si>
  <si>
    <t>Cuenca</t>
  </si>
  <si>
    <t>Excibicion</t>
  </si>
  <si>
    <t>Correo</t>
  </si>
  <si>
    <t>Capelo</t>
  </si>
  <si>
    <t>SAP</t>
  </si>
  <si>
    <t>BBQ</t>
  </si>
  <si>
    <t xml:space="preserve">TBBQ 3100 </t>
  </si>
  <si>
    <t xml:space="preserve">TEKA ECUADOR S.A. </t>
  </si>
  <si>
    <t>UN SOLO PRODUCTO</t>
  </si>
  <si>
    <t xml:space="preserve">FECHA DE INSTALACION </t>
  </si>
  <si>
    <t xml:space="preserve">FECHA DE COMPRA </t>
  </si>
  <si>
    <t xml:space="preserve">LUGAR DE COMRPA </t>
  </si>
  <si>
    <t xml:space="preserve">CODIGO DEL PRODUCTO </t>
  </si>
  <si>
    <t xml:space="preserve">DESCRIPCION DE PRODUCTO </t>
  </si>
  <si>
    <t xml:space="preserve">SERIE DEL EQUIPO </t>
  </si>
  <si>
    <t xml:space="preserve">TECNICO </t>
  </si>
  <si>
    <t xml:space="preserve">CIUDAD </t>
  </si>
  <si>
    <t xml:space="preserve">DIRECCION INSTALACION </t>
  </si>
  <si>
    <t xml:space="preserve">COMO LLEGO LA INFORMACION </t>
  </si>
  <si>
    <t>TÉCNICO QUE ATENDIÓ</t>
  </si>
  <si>
    <t xml:space="preserve">VIÁTICO </t>
  </si>
  <si>
    <t>FACTURA NUMERO</t>
  </si>
  <si>
    <t>CEDULA O RUC</t>
  </si>
  <si>
    <t xml:space="preserve">CORREO DEL CLIENTE </t>
  </si>
  <si>
    <t>CLIENTE FINAL</t>
  </si>
  <si>
    <t>….</t>
  </si>
  <si>
    <t>PROMOCION</t>
  </si>
  <si>
    <t>Cliente final</t>
  </si>
  <si>
    <t xml:space="preserve">                  TRABAJOS EN GARANTÍAS</t>
  </si>
  <si>
    <t>Para Ing. Fernández</t>
  </si>
  <si>
    <t>Fecha de Compra</t>
  </si>
  <si>
    <t>Fecha de Intervención</t>
  </si>
  <si>
    <t>Cantidad</t>
  </si>
  <si>
    <t>Código del repuesto</t>
  </si>
  <si>
    <t>Descripción del Repuesto</t>
  </si>
  <si>
    <t>Codigo del Producto</t>
  </si>
  <si>
    <t>Descripción del Producto</t>
  </si>
  <si>
    <t>Serie</t>
  </si>
  <si>
    <t>Garantía</t>
  </si>
  <si>
    <t xml:space="preserve">Técnico </t>
  </si>
  <si>
    <t>Cliente</t>
  </si>
  <si>
    <t>Observación</t>
  </si>
  <si>
    <t xml:space="preserve">valor a pagar </t>
  </si>
  <si>
    <t>Cédula</t>
  </si>
  <si>
    <t>telefono del cliente</t>
  </si>
  <si>
    <t xml:space="preserve">Clientes Visitados </t>
  </si>
  <si>
    <t xml:space="preserve">FECHA </t>
  </si>
  <si>
    <t>LUGAR</t>
  </si>
  <si>
    <t>CÓDIGO</t>
  </si>
  <si>
    <t xml:space="preserve"> NUMERO </t>
  </si>
  <si>
    <t xml:space="preserve">CLIENTE </t>
  </si>
  <si>
    <t>DIRECCIÓN</t>
  </si>
  <si>
    <t>TELÉFONO</t>
  </si>
  <si>
    <t xml:space="preserve">ASUNTO </t>
  </si>
  <si>
    <t>ESTADO</t>
  </si>
  <si>
    <t xml:space="preserve">DE </t>
  </si>
  <si>
    <t>DE</t>
  </si>
  <si>
    <t>GARANTÍA</t>
  </si>
  <si>
    <t>SERIE</t>
  </si>
  <si>
    <t>Vr.</t>
  </si>
  <si>
    <t>CORREO</t>
  </si>
  <si>
    <t>CEDULA</t>
  </si>
  <si>
    <t>OBSERVACIONES</t>
  </si>
  <si>
    <t>COMPRA</t>
  </si>
  <si>
    <t>ADHESIVO</t>
  </si>
  <si>
    <t>LLAMADA</t>
  </si>
  <si>
    <t>Instalado</t>
  </si>
  <si>
    <t>CUENCA</t>
  </si>
  <si>
    <t>TEKA</t>
  </si>
  <si>
    <t>COMERCIAL SOLIS</t>
  </si>
  <si>
    <t>Sukasa</t>
  </si>
  <si>
    <t>Cocinas</t>
  </si>
  <si>
    <t>Microondas</t>
  </si>
  <si>
    <t>Mercard</t>
  </si>
  <si>
    <t>Cambio repuesto</t>
  </si>
  <si>
    <t>Mariscal Lamar</t>
  </si>
  <si>
    <t>C0224J00698</t>
  </si>
  <si>
    <t>Llamada Almacen</t>
  </si>
  <si>
    <t>Al 20 de Septimbre del 2023</t>
  </si>
  <si>
    <t>SEPTIEMBRE 2023</t>
  </si>
  <si>
    <t>CAPELO Septiembre 2023</t>
  </si>
  <si>
    <t>SEPTIEMBRE 2023*</t>
  </si>
  <si>
    <t>CAPELO SEPTIEMBRE  2023</t>
  </si>
  <si>
    <t>Técnico:  Cristian Capelo</t>
  </si>
  <si>
    <t>CAPELO - SEPTIEMBRE 2023</t>
  </si>
  <si>
    <t xml:space="preserve">TBBQ 4100 </t>
  </si>
  <si>
    <t>SUKASA</t>
  </si>
  <si>
    <t>CO225R00719</t>
  </si>
  <si>
    <t>Pedro Manuel Garcia</t>
  </si>
  <si>
    <t>Llamada Cliente</t>
  </si>
  <si>
    <t>kywi</t>
  </si>
  <si>
    <t>CO224J00158</t>
  </si>
  <si>
    <t>Kywi</t>
  </si>
  <si>
    <t>Av Gil Ramirez Davalos</t>
  </si>
  <si>
    <t>Bolivar 9-74 y Padre Aguirre</t>
  </si>
  <si>
    <t>CO224J00099</t>
  </si>
  <si>
    <t>Chaullabamba</t>
  </si>
  <si>
    <t>002-103-000007787</t>
  </si>
  <si>
    <t>CO225R00059</t>
  </si>
  <si>
    <t>Gabriel Ledesma</t>
  </si>
  <si>
    <t>Agustin Cueva 5-47</t>
  </si>
  <si>
    <t>Placa Potencia i100 Izquierda 2b</t>
  </si>
  <si>
    <t>Cocina IZF 64440 MPS BK</t>
  </si>
  <si>
    <t>Paula Coronel</t>
  </si>
  <si>
    <t>Sensor termopar fuera de posicion</t>
  </si>
  <si>
    <t>Cocina GSC 753305BAI</t>
  </si>
  <si>
    <t>ZF22BG00054</t>
  </si>
  <si>
    <t>ZP229G00005</t>
  </si>
  <si>
    <t>Cintya Mills</t>
  </si>
  <si>
    <t>Sensor Termopar fuera de posicion</t>
  </si>
  <si>
    <t>cynthmills75@gmail.com</t>
  </si>
  <si>
    <t>Fregadero manchado</t>
  </si>
  <si>
    <t>Fregadero RS 15 50.40</t>
  </si>
  <si>
    <t>TK222016904</t>
  </si>
  <si>
    <t>LISLOP</t>
  </si>
  <si>
    <t>edwuardleo6@gmail.com</t>
  </si>
  <si>
    <t>Fregadero Titanium Flex Linea</t>
  </si>
  <si>
    <t>Producto con Rayones</t>
  </si>
  <si>
    <t>TK22U16904</t>
  </si>
  <si>
    <t>Fregadero Rayado</t>
  </si>
  <si>
    <t>Se pule</t>
  </si>
  <si>
    <t>Fregaderos</t>
  </si>
  <si>
    <t xml:space="preserve">Cocina IZC 64010 MSSBK </t>
  </si>
  <si>
    <t>Conjunto Modulo Induccion</t>
  </si>
  <si>
    <t>ZP21A400037</t>
  </si>
  <si>
    <t>Simon Espinoza</t>
  </si>
  <si>
    <t>De Christian Capelo</t>
  </si>
  <si>
    <t>Placa Display MS622BIS</t>
  </si>
  <si>
    <t>Microondas MS 622 BIS L</t>
  </si>
  <si>
    <t>TP18C400151</t>
  </si>
  <si>
    <t>Manuel Escandon</t>
  </si>
  <si>
    <t>maeso52@hotmail.com</t>
  </si>
  <si>
    <t>Luna Pazmiño</t>
  </si>
  <si>
    <t>002-101-000089854</t>
  </si>
  <si>
    <t>Campana C910</t>
  </si>
  <si>
    <t>TP233M03350</t>
  </si>
  <si>
    <t>Juan Carlos Romero</t>
  </si>
  <si>
    <t>0301654646</t>
  </si>
  <si>
    <t>carlos.romero-81@hotmail.com</t>
  </si>
  <si>
    <t>001-500-000052736</t>
  </si>
  <si>
    <t>Cocina GZC 95320XBB</t>
  </si>
  <si>
    <t>ZP23K100397</t>
  </si>
  <si>
    <t>Boyaca</t>
  </si>
  <si>
    <t>007-007-000024255</t>
  </si>
  <si>
    <t>Campana Isla CC 480</t>
  </si>
  <si>
    <t>PX22CC00723</t>
  </si>
  <si>
    <t>Cesar Coellar</t>
  </si>
  <si>
    <t>Circo Social</t>
  </si>
  <si>
    <t>0101100337</t>
  </si>
  <si>
    <t>007-006-000121410</t>
  </si>
  <si>
    <t>Cocina GBC 75030 KB</t>
  </si>
  <si>
    <t>ZP234T00455</t>
  </si>
  <si>
    <t>Alm. España</t>
  </si>
  <si>
    <t>008-501-000006930</t>
  </si>
  <si>
    <t>Lavavajillas LP8 850 M</t>
  </si>
  <si>
    <t>MD226L00296</t>
  </si>
  <si>
    <t>Paul Aguirre</t>
  </si>
  <si>
    <t>Av. Paquisha s-n</t>
  </si>
  <si>
    <t>099298435001</t>
  </si>
  <si>
    <t>gasovip@hotmail.com</t>
  </si>
  <si>
    <t>008-501-000007015</t>
  </si>
  <si>
    <t>Refrigeradora RLF 74920 SS</t>
  </si>
  <si>
    <t>MC232500043</t>
  </si>
  <si>
    <t>008-501-000006918</t>
  </si>
  <si>
    <t>Microondas MS 620 BIS</t>
  </si>
  <si>
    <t>TP22AM11461</t>
  </si>
  <si>
    <t>001-500-000054036</t>
  </si>
  <si>
    <t>Microondas ML 8261 BIS L</t>
  </si>
  <si>
    <t>TP235V00312</t>
  </si>
  <si>
    <t>Enrique Garnica</t>
  </si>
  <si>
    <t>Pegro Garcia de Vera</t>
  </si>
  <si>
    <t>0102651742</t>
  </si>
  <si>
    <t>carlosvalverde_r89@hotmail.com</t>
  </si>
  <si>
    <t>Horno HLB 8561PBM</t>
  </si>
  <si>
    <t>TZ233706216</t>
  </si>
  <si>
    <t>Cocina GBC 7561 GBA BM</t>
  </si>
  <si>
    <t>ZP22B600003</t>
  </si>
  <si>
    <t>Campana DVI8861EOSBM LAT</t>
  </si>
  <si>
    <t>PX228500013</t>
  </si>
  <si>
    <t>002-101-000084667</t>
  </si>
  <si>
    <t>ZP228W01380</t>
  </si>
  <si>
    <t>Alina Guerrero</t>
  </si>
  <si>
    <t>San Joaquin</t>
  </si>
  <si>
    <t>0104611741</t>
  </si>
  <si>
    <t>alina.guerrerof@outlook.com</t>
  </si>
  <si>
    <t>002-101-000084572</t>
  </si>
  <si>
    <t>Cocina C910</t>
  </si>
  <si>
    <t>ZP22AE00020</t>
  </si>
  <si>
    <t>001-001-000002527</t>
  </si>
  <si>
    <t>Campana DPL 980 T</t>
  </si>
  <si>
    <t>TP233207863</t>
  </si>
  <si>
    <t>Agustin Cueva 5-47 y Remigio Crespo</t>
  </si>
  <si>
    <t>0190353044</t>
  </si>
  <si>
    <t>contabilidad@maximaecuador.com</t>
  </si>
  <si>
    <t>Lavavajillas DW857 FIM-D</t>
  </si>
  <si>
    <t>MD232L00150</t>
  </si>
  <si>
    <t>007-006-000121764</t>
  </si>
  <si>
    <t>Horno HSB 750 G</t>
  </si>
  <si>
    <t>TZ22C503294</t>
  </si>
  <si>
    <t>Israel Jaramillo</t>
  </si>
  <si>
    <t>0106045446</t>
  </si>
  <si>
    <t>isra.jaramillosotto@gmail.com</t>
  </si>
  <si>
    <t>PX22CC00760</t>
  </si>
  <si>
    <t>Cocina GBC 7503 KB</t>
  </si>
  <si>
    <t>ZP234T00532</t>
  </si>
  <si>
    <t>Alm. Chordeleg</t>
  </si>
  <si>
    <t>001-001-000016825</t>
  </si>
  <si>
    <t>Horno HGS 750R</t>
  </si>
  <si>
    <t>SC196T01023</t>
  </si>
  <si>
    <t>Nancy Chumbay</t>
  </si>
  <si>
    <t>Capulispamba y Guayllabamaba</t>
  </si>
  <si>
    <t>nchumbay@ups.edu.ec</t>
  </si>
  <si>
    <t>008-501-000007151</t>
  </si>
  <si>
    <t>Cocina GZC75330 XBB</t>
  </si>
  <si>
    <t>ZP234L00294</t>
  </si>
  <si>
    <t>Maria Falconi</t>
  </si>
  <si>
    <t>Av. Pumapungo</t>
  </si>
  <si>
    <t>mariafalconiabad@gmail.com</t>
  </si>
  <si>
    <t>001-500-000055102</t>
  </si>
  <si>
    <t>Campana C710</t>
  </si>
  <si>
    <t>TP231W00378</t>
  </si>
  <si>
    <t>Gladys Aguilar</t>
  </si>
  <si>
    <t>Av. 1 de Mayo</t>
  </si>
  <si>
    <t>gladisraquelaguilarmerino@gmail.com</t>
  </si>
  <si>
    <t>Al. España</t>
  </si>
  <si>
    <t>009-501-000023184</t>
  </si>
  <si>
    <t>Campana C6310</t>
  </si>
  <si>
    <t>TP222204384</t>
  </si>
  <si>
    <t>Erick Mosquera</t>
  </si>
  <si>
    <t>Edf. Totora</t>
  </si>
  <si>
    <t>notificacionesempo@gmail.com</t>
  </si>
  <si>
    <t>Horno HLB 760G PGE 10</t>
  </si>
  <si>
    <t>TZ231X23952</t>
  </si>
  <si>
    <t>Daniel Velez</t>
  </si>
  <si>
    <t>Victor M. Albornoz</t>
  </si>
  <si>
    <t>daniels.velez@yahoo.com</t>
  </si>
  <si>
    <t>Cocina EX 90 5G AI PC</t>
  </si>
  <si>
    <t>ZP152200068</t>
  </si>
  <si>
    <t>Pablo Cardenas</t>
  </si>
  <si>
    <t>Rio Amarillo</t>
  </si>
  <si>
    <t>acdpablo19@outlook.com</t>
  </si>
  <si>
    <t>Campana DTH 9767 ROSCOH</t>
  </si>
  <si>
    <t>E4229N00004</t>
  </si>
  <si>
    <t>Andres Guillen</t>
  </si>
  <si>
    <t>Hurtado de Mendoza</t>
  </si>
  <si>
    <t>andresguillena@gmail.com</t>
  </si>
  <si>
    <t>001-001-000002427</t>
  </si>
  <si>
    <t>Vinera RVF 20110 GBK</t>
  </si>
  <si>
    <t>YH22BR00181</t>
  </si>
  <si>
    <t>Maria Pietro</t>
  </si>
  <si>
    <t>Paseo Milchichig</t>
  </si>
  <si>
    <t>miariaptapia@otlook.com</t>
  </si>
  <si>
    <t>Cocina JZC 95314 ABB</t>
  </si>
  <si>
    <t>ZP234J00245</t>
  </si>
  <si>
    <t>Francisco Murillo</t>
  </si>
  <si>
    <t>016-903-000465325</t>
  </si>
  <si>
    <t>Campana C9310</t>
  </si>
  <si>
    <t>TP234L07650</t>
  </si>
  <si>
    <t>Cristina Tejo</t>
  </si>
  <si>
    <t>Giron</t>
  </si>
  <si>
    <t>cris-rocio2008@hotmail.com</t>
  </si>
  <si>
    <t>002-111-000021728</t>
  </si>
  <si>
    <t>Cocina GBC64000KBB</t>
  </si>
  <si>
    <t>ZP23AS00363</t>
  </si>
  <si>
    <t>Nancy Vivar</t>
  </si>
  <si>
    <t>Edificio Atlantida</t>
  </si>
  <si>
    <t>nancijvivar@gmail.com</t>
  </si>
  <si>
    <t>001-5000-00005568</t>
  </si>
  <si>
    <t>Campana C7310</t>
  </si>
  <si>
    <t>TP236L03337</t>
  </si>
  <si>
    <t>Crhristian Tamayo</t>
  </si>
  <si>
    <t>Monay</t>
  </si>
  <si>
    <t>001-500-00005568</t>
  </si>
  <si>
    <t>CRISTIANTJ91@GMAIL.COM</t>
  </si>
  <si>
    <t>Cocina EP60 AGAICI</t>
  </si>
  <si>
    <t>ZP222R00012</t>
  </si>
  <si>
    <t>Sandra Coronel</t>
  </si>
  <si>
    <t>Tarqui</t>
  </si>
  <si>
    <t>marcovelez-18@hotmail.com</t>
  </si>
  <si>
    <t>Instalacion Horno HGS 750 R</t>
  </si>
  <si>
    <t xml:space="preserve"> Instalacion Cocina GZC75330 XBB</t>
  </si>
  <si>
    <t xml:space="preserve"> Instalacion Horno HGS 750R</t>
  </si>
  <si>
    <t>Instalacion Cocina GZC75330 XBB</t>
  </si>
  <si>
    <t>Promocion</t>
  </si>
  <si>
    <t>001-500-000054701</t>
  </si>
  <si>
    <t>001-015-000063447</t>
  </si>
  <si>
    <t>001-001-000002176</t>
  </si>
  <si>
    <t>Santa Maria del Vergel</t>
  </si>
  <si>
    <t>md.franciscevallos@gmail.com</t>
  </si>
  <si>
    <t>002-101-000087852</t>
  </si>
  <si>
    <t>Magaly Guerrero</t>
  </si>
  <si>
    <t>Reparacion Lavavajillas</t>
  </si>
  <si>
    <t>Post Garantia</t>
  </si>
  <si>
    <t>MD19ALQ5973</t>
  </si>
  <si>
    <t>Filtracion de Agua por mangueras</t>
  </si>
  <si>
    <t>Instalacion Campana C710</t>
  </si>
  <si>
    <t xml:space="preserve"> Instalacion Campana C6310</t>
  </si>
  <si>
    <t xml:space="preserve"> Instalacion Horno HLB 760G PGE 10</t>
  </si>
  <si>
    <t>Armado</t>
  </si>
  <si>
    <t>002-103--000006796</t>
  </si>
  <si>
    <t>Misicata</t>
  </si>
  <si>
    <t>Garantia</t>
  </si>
  <si>
    <t>ZF22B600054</t>
  </si>
  <si>
    <t>0105015747</t>
  </si>
  <si>
    <t>Cambio Placa de Potencia</t>
  </si>
  <si>
    <t>Exhibicion</t>
  </si>
  <si>
    <t>Armado en Almacen</t>
  </si>
  <si>
    <t>Paucarbamba</t>
  </si>
  <si>
    <t>Fregadero RS15 50.40</t>
  </si>
  <si>
    <t>Almacen Lislop</t>
  </si>
  <si>
    <t>0107262495</t>
  </si>
  <si>
    <t>Los Alamos</t>
  </si>
  <si>
    <t>ZP229600005</t>
  </si>
  <si>
    <t>Cocina IZC 64010 MSSBK</t>
  </si>
  <si>
    <t>Cambio Conjunto Modulo Induccion</t>
  </si>
  <si>
    <t>Via a Nulti</t>
  </si>
  <si>
    <t>001-500-000054587</t>
  </si>
  <si>
    <t>002-109-000025422</t>
  </si>
  <si>
    <t>Horno HSB 645 SS</t>
  </si>
  <si>
    <t>TZ227T22147</t>
  </si>
  <si>
    <t>Francisca Davila 3-85 y Lorenzo Piedra</t>
  </si>
  <si>
    <t>ulloamichi@yahoo.com</t>
  </si>
  <si>
    <t>MD22BL00535</t>
  </si>
  <si>
    <t>Monica Andrade</t>
  </si>
  <si>
    <t>Edf. Carrara</t>
  </si>
  <si>
    <t>Cocina IZF 64440 BK</t>
  </si>
  <si>
    <t>ZP234M00342</t>
  </si>
  <si>
    <t>034-107-000016225</t>
  </si>
  <si>
    <t>1203653611</t>
  </si>
  <si>
    <t>Horno HLB 830 SS</t>
  </si>
  <si>
    <t>TZ22CM16688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</si>
</sst>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9">
    <numFmt numFmtId="164" formatCode="dd\-mm\-yy;@"/>
    <numFmt numFmtId="165" formatCode="dd/mm/yyyy;@"/>
    <numFmt numFmtId="166" formatCode="mm/yy"/>
    <numFmt numFmtId="167" formatCode="dd/mm/yy"/>
    <numFmt numFmtId="168" formatCode="&quot;$&quot;#,##0.00"/>
    <numFmt numFmtId="169" formatCode="dd/mm/yy;@"/>
    <numFmt numFmtId="170" formatCode="_ * #,##0.00_ ;_ * \-#,##0.00_ ;_ * &quot;-&quot;??_ ;_ @_ "/>
    <numFmt numFmtId="171" formatCode="00"/>
    <numFmt numFmtId="172" formatCode="d/m/yy;@"/>
  </numFmts>
  <fonts count="7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indexed="8"/>
      <name val="Calibri"/>
      <family val="2"/>
      <charset val="1"/>
    </font>
    <font>
      <sz val="9"/>
      <color rgb="FF1D2228"/>
      <name val="Gothic sans-serif"/>
      <charset val="1"/>
    </font>
    <font>
      <sz val="10"/>
      <color rgb="FF1D2228"/>
      <name val="Arial"/>
      <family val="2"/>
      <charset val="1"/>
    </font>
    <font>
      <b/>
      <sz val="9"/>
      <color rgb="FF1D2228"/>
      <name val="Gothic sans-serif"/>
      <charset val="1"/>
    </font>
    <font>
      <b/>
      <sz val="11"/>
      <color rgb="FF000000"/>
      <name val="Calibri"/>
      <family val="2"/>
      <charset val="1"/>
    </font>
    <font>
      <b/>
      <sz val="8"/>
      <color rgb="FFFFFFFF"/>
      <name val="Arial"/>
      <family val="2"/>
      <charset val="1"/>
    </font>
    <font>
      <b/>
      <sz val="7"/>
      <color rgb="FFFFFFFF"/>
      <name val="Arial"/>
      <family val="2"/>
      <charset val="1"/>
    </font>
    <font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u/>
      <sz val="12"/>
      <color theme="10"/>
      <name val="Calibri"/>
      <family val="2"/>
      <scheme val="minor"/>
    </font>
    <font>
      <sz val="10"/>
      <name val="Arial"/>
      <family val="2"/>
      <charset val="1"/>
    </font>
    <font>
      <b/>
      <sz val="7"/>
      <name val="Calibri"/>
      <family val="2"/>
      <charset val="1"/>
    </font>
    <font>
      <sz val="9"/>
      <color indexed="63"/>
      <name val="Gothic sans-serif"/>
      <charset val="1"/>
    </font>
    <font>
      <sz val="10"/>
      <color indexed="63"/>
      <name val="Arial"/>
      <family val="2"/>
      <charset val="1"/>
    </font>
    <font>
      <b/>
      <sz val="9"/>
      <color indexed="63"/>
      <name val="Gothic sans-serif"/>
      <charset val="1"/>
    </font>
    <font>
      <b/>
      <sz val="11"/>
      <color indexed="8"/>
      <name val="Calibri"/>
      <family val="2"/>
    </font>
    <font>
      <b/>
      <sz val="12"/>
      <color indexed="8"/>
      <name val="Calibri"/>
      <family val="2"/>
      <charset val="1"/>
    </font>
    <font>
      <b/>
      <sz val="8"/>
      <color indexed="9"/>
      <name val="Arial"/>
      <family val="2"/>
      <charset val="1"/>
    </font>
    <font>
      <b/>
      <sz val="7"/>
      <color indexed="9"/>
      <name val="Arial"/>
      <family val="2"/>
      <charset val="1"/>
    </font>
    <font>
      <sz val="12"/>
      <color indexed="8"/>
      <name val="Calibri"/>
      <family val="2"/>
    </font>
    <font>
      <sz val="12"/>
      <color indexed="8"/>
      <name val="Calibri"/>
      <family val="2"/>
      <scheme val="minor"/>
    </font>
    <font>
      <sz val="12"/>
      <color indexed="8"/>
      <name val="Calibri"/>
      <family val="2"/>
      <charset val="1"/>
    </font>
    <font>
      <sz val="11"/>
      <color theme="1"/>
      <name val="Calibri"/>
      <family val="2"/>
    </font>
    <font>
      <sz val="9"/>
      <color theme="1"/>
      <name val="Libre Franklin"/>
    </font>
    <font>
      <sz val="9"/>
      <color theme="1"/>
      <name val="Calibri"/>
      <family val="2"/>
    </font>
    <font>
      <sz val="9"/>
      <color theme="1"/>
      <name val="Calibri"/>
      <family val="2"/>
      <scheme val="minor"/>
    </font>
    <font>
      <sz val="7"/>
      <color rgb="FF000000"/>
      <name val="Calibri"/>
      <family val="2"/>
    </font>
    <font>
      <sz val="8"/>
      <color rgb="FF000000"/>
      <name val="Calibri"/>
      <family val="2"/>
    </font>
    <font>
      <b/>
      <sz val="9"/>
      <color theme="1"/>
      <name val="Libre Franklin"/>
    </font>
    <font>
      <b/>
      <sz val="11"/>
      <color theme="1"/>
      <name val="Calibri"/>
      <family val="2"/>
    </font>
    <font>
      <b/>
      <sz val="6"/>
      <color rgb="FFFFFFFF"/>
      <name val="Calibri"/>
      <family val="2"/>
    </font>
    <font>
      <sz val="7"/>
      <color theme="1"/>
      <name val="Calibri"/>
      <family val="2"/>
      <scheme val="minor"/>
    </font>
    <font>
      <sz val="8"/>
      <color theme="1"/>
      <name val="Arial"/>
      <family val="2"/>
    </font>
    <font>
      <sz val="7"/>
      <name val="Calibri"/>
      <family val="2"/>
    </font>
    <font>
      <sz val="9"/>
      <name val="Franklin Gothic Book"/>
      <family val="2"/>
    </font>
    <font>
      <sz val="11"/>
      <name val="Calibri"/>
      <family val="2"/>
    </font>
    <font>
      <sz val="7"/>
      <color indexed="8"/>
      <name val="Calibri"/>
      <family val="2"/>
    </font>
    <font>
      <sz val="8"/>
      <color indexed="8"/>
      <name val="Calibri"/>
      <family val="2"/>
    </font>
    <font>
      <b/>
      <sz val="9"/>
      <name val="Franklin Gothic Book"/>
      <family val="2"/>
    </font>
    <font>
      <sz val="11"/>
      <name val="Calibri"/>
      <family val="2"/>
      <charset val="1"/>
    </font>
    <font>
      <b/>
      <sz val="8"/>
      <color indexed="9"/>
      <name val="Calibri"/>
      <family val="2"/>
    </font>
    <font>
      <sz val="8"/>
      <color theme="1"/>
      <name val="Calibri"/>
      <family val="2"/>
      <scheme val="minor"/>
    </font>
    <font>
      <b/>
      <sz val="10"/>
      <name val="Arial"/>
      <family val="2"/>
    </font>
    <font>
      <b/>
      <sz val="11"/>
      <name val="Calibri"/>
      <family val="2"/>
    </font>
    <font>
      <sz val="10"/>
      <name val="Arial"/>
      <family val="2"/>
    </font>
    <font>
      <sz val="7"/>
      <name val="Calibri"/>
      <family val="2"/>
      <scheme val="minor"/>
    </font>
    <font>
      <b/>
      <sz val="15"/>
      <name val="Calibri"/>
      <family val="2"/>
      <scheme val="minor"/>
    </font>
    <font>
      <b/>
      <sz val="15"/>
      <color indexed="8"/>
      <name val="Calibri"/>
      <family val="2"/>
      <scheme val="minor"/>
    </font>
    <font>
      <sz val="15"/>
      <name val="Calibri"/>
      <family val="2"/>
      <scheme val="minor"/>
    </font>
    <font>
      <b/>
      <sz val="7"/>
      <name val="Calibri"/>
      <family val="2"/>
      <scheme val="minor"/>
    </font>
    <font>
      <b/>
      <sz val="8"/>
      <name val="Calibri"/>
      <family val="2"/>
      <scheme val="minor"/>
    </font>
    <font>
      <sz val="10"/>
      <color indexed="8"/>
      <name val="Arial"/>
      <family val="2"/>
    </font>
    <font>
      <b/>
      <sz val="8"/>
      <name val="Arial"/>
      <family val="2"/>
    </font>
    <font>
      <sz val="8"/>
      <name val="Arial"/>
      <family val="2"/>
    </font>
    <font>
      <sz val="8"/>
      <color theme="1" tint="0.499984740745262"/>
      <name val="Arial"/>
      <family val="2"/>
    </font>
    <font>
      <u/>
      <sz val="12.65"/>
      <color theme="10"/>
      <name val="Calibri"/>
      <family val="2"/>
    </font>
    <font>
      <sz val="10"/>
      <color theme="1"/>
      <name val="Arial"/>
      <family val="2"/>
    </font>
    <font>
      <sz val="11"/>
      <color theme="4"/>
      <name val="Calibri"/>
      <family val="2"/>
      <scheme val="minor"/>
    </font>
    <font>
      <sz val="11"/>
      <color theme="9" tint="-0.499984740745262"/>
      <name val="Calibri"/>
      <family val="2"/>
      <scheme val="minor"/>
    </font>
    <font>
      <sz val="11"/>
      <color rgb="FFFF0000"/>
      <name val="Calibri"/>
      <family val="2"/>
      <scheme val="minor"/>
    </font>
    <font>
      <u/>
      <sz val="10"/>
      <name val="Arial"/>
      <family val="2"/>
    </font>
    <font>
      <sz val="10"/>
      <color theme="9" tint="-0.249977111117893"/>
      <name val="Arial"/>
      <family val="2"/>
    </font>
    <font>
      <sz val="11"/>
      <color theme="9" tint="-0.249977111117893"/>
      <name val="Calibri"/>
      <family val="2"/>
      <scheme val="minor"/>
    </font>
    <font>
      <u/>
      <sz val="10"/>
      <color theme="9" tint="-0.249977111117893"/>
      <name val="Arial"/>
      <family val="2"/>
    </font>
    <font>
      <sz val="10"/>
      <color rgb="FFFFC000"/>
      <name val="Arial"/>
      <family val="2"/>
    </font>
    <font>
      <sz val="11"/>
      <color rgb="FFFFC000"/>
      <name val="Calibri"/>
      <family val="2"/>
      <scheme val="minor"/>
    </font>
    <font>
      <sz val="10"/>
      <color rgb="FFFF0000"/>
      <name val="Arial"/>
      <family val="2"/>
    </font>
    <font>
      <u/>
      <sz val="10"/>
      <color rgb="FFFF0000"/>
      <name val="Arial"/>
      <family val="2"/>
    </font>
    <font>
      <sz val="10"/>
      <color rgb="FF0070C0"/>
      <name val="Arial"/>
      <family val="2"/>
    </font>
    <font>
      <sz val="11"/>
      <color rgb="FF0070C0"/>
      <name val="Calibri"/>
      <family val="2"/>
      <scheme val="minor"/>
    </font>
    <font>
      <u/>
      <sz val="10"/>
      <color rgb="FF0070C0"/>
      <name val="Arial"/>
      <family val="2"/>
    </font>
  </fonts>
  <fills count="14">
    <fill>
      <patternFill patternType="none"/>
    </fill>
    <fill>
      <patternFill patternType="gray125"/>
    </fill>
    <fill>
      <patternFill patternType="solid">
        <fgColor rgb="FF000000"/>
        <bgColor rgb="FF1D2228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26"/>
      </patternFill>
    </fill>
    <fill>
      <patternFill patternType="solid">
        <fgColor indexed="8"/>
        <bgColor indexed="63"/>
      </patternFill>
    </fill>
    <fill>
      <patternFill patternType="solid">
        <fgColor rgb="FF000000"/>
        <bgColor rgb="FF000000"/>
      </patternFill>
    </fill>
    <fill>
      <patternFill patternType="solid">
        <fgColor theme="0"/>
        <bgColor theme="0"/>
      </patternFill>
    </fill>
    <fill>
      <patternFill patternType="solid">
        <fgColor theme="0"/>
        <bgColor rgb="FFECECEC"/>
      </patternFill>
    </fill>
    <fill>
      <patternFill patternType="solid">
        <fgColor theme="0"/>
        <bgColor rgb="FFFFFFFF"/>
      </patternFill>
    </fill>
    <fill>
      <patternFill patternType="solid">
        <fgColor indexed="8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 tint="-0.249977111117893"/>
        <bgColor indexed="64"/>
      </patternFill>
    </fill>
  </fills>
  <borders count="24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indexed="64"/>
      </bottom>
      <diagonal/>
    </border>
  </borders>
  <cellStyleXfs count="12">
    <xf numFmtId="0" fontId="0" fillId="0" borderId="0"/>
    <xf numFmtId="0" fontId="2" fillId="0" borderId="0" applyNumberFormat="0" applyFill="0" applyBorder="0" applyAlignment="0" applyProtection="0"/>
    <xf numFmtId="0" fontId="3" fillId="0" borderId="0"/>
    <xf numFmtId="0" fontId="13" fillId="0" borderId="0"/>
    <xf numFmtId="0" fontId="3" fillId="4" borderId="0">
      <alignment horizontal="left"/>
    </xf>
    <xf numFmtId="0" fontId="3" fillId="0" borderId="0"/>
    <xf numFmtId="0" fontId="1" fillId="0" borderId="0"/>
    <xf numFmtId="0" fontId="1" fillId="0" borderId="0"/>
    <xf numFmtId="0" fontId="1" fillId="0" borderId="0"/>
    <xf numFmtId="170" fontId="47" fillId="0" borderId="0" applyFont="0" applyFill="0" applyBorder="0" applyAlignment="0" applyProtection="0"/>
    <xf numFmtId="0" fontId="47" fillId="0" borderId="0"/>
    <xf numFmtId="0" fontId="58" fillId="0" borderId="0" applyNumberFormat="0" applyFill="0" applyBorder="0" applyAlignment="0" applyProtection="0">
      <alignment vertical="top"/>
      <protection locked="0"/>
    </xf>
  </cellStyleXfs>
  <cellXfs count="351">
    <xf numFmtId="0" fontId="0" fillId="0" borderId="0" xfId="0"/>
    <xf numFmtId="0" fontId="3" fillId="0" borderId="0" xfId="2" applyAlignment="1">
      <alignment horizontal="left"/>
    </xf>
    <xf numFmtId="0" fontId="4" fillId="0" borderId="0" xfId="2" applyFont="1" applyAlignment="1">
      <alignment vertical="center"/>
    </xf>
    <xf numFmtId="0" fontId="5" fillId="0" borderId="0" xfId="2" applyFont="1"/>
    <xf numFmtId="0" fontId="6" fillId="0" borderId="1" xfId="2" applyFont="1" applyBorder="1" applyAlignment="1">
      <alignment vertical="center"/>
    </xf>
    <xf numFmtId="0" fontId="7" fillId="0" borderId="0" xfId="2" applyFont="1" applyAlignment="1">
      <alignment horizontal="left"/>
    </xf>
    <xf numFmtId="0" fontId="3" fillId="0" borderId="0" xfId="2"/>
    <xf numFmtId="0" fontId="8" fillId="2" borderId="2" xfId="2" applyFont="1" applyFill="1" applyBorder="1" applyAlignment="1">
      <alignment horizontal="center" vertical="center" wrapText="1"/>
    </xf>
    <xf numFmtId="0" fontId="8" fillId="2" borderId="3" xfId="2" applyFont="1" applyFill="1" applyBorder="1" applyAlignment="1">
      <alignment horizontal="center" vertical="center" wrapText="1"/>
    </xf>
    <xf numFmtId="0" fontId="9" fillId="2" borderId="3" xfId="2" applyFont="1" applyFill="1" applyBorder="1" applyAlignment="1">
      <alignment vertical="center" wrapText="1"/>
    </xf>
    <xf numFmtId="0" fontId="9" fillId="2" borderId="4" xfId="2" applyFont="1" applyFill="1" applyBorder="1" applyAlignment="1">
      <alignment vertical="center" wrapText="1"/>
    </xf>
    <xf numFmtId="0" fontId="10" fillId="0" borderId="0" xfId="0" applyFont="1"/>
    <xf numFmtId="164" fontId="10" fillId="3" borderId="5" xfId="0" applyNumberFormat="1" applyFont="1" applyFill="1" applyBorder="1" applyAlignment="1">
      <alignment horizontal="left" wrapText="1"/>
    </xf>
    <xf numFmtId="165" fontId="10" fillId="3" borderId="5" xfId="0" applyNumberFormat="1" applyFont="1" applyFill="1" applyBorder="1" applyAlignment="1">
      <alignment wrapText="1"/>
    </xf>
    <xf numFmtId="3" fontId="10" fillId="3" borderId="5" xfId="0" applyNumberFormat="1" applyFont="1" applyFill="1" applyBorder="1"/>
    <xf numFmtId="0" fontId="10" fillId="3" borderId="5" xfId="0" applyFont="1" applyFill="1" applyBorder="1" applyAlignment="1">
      <alignment horizontal="center" wrapText="1"/>
    </xf>
    <xf numFmtId="0" fontId="10" fillId="3" borderId="5" xfId="0" applyFont="1" applyFill="1" applyBorder="1" applyAlignment="1">
      <alignment wrapText="1"/>
    </xf>
    <xf numFmtId="0" fontId="10" fillId="3" borderId="5" xfId="0" applyFont="1" applyFill="1" applyBorder="1" applyAlignment="1">
      <alignment horizontal="left" wrapText="1"/>
    </xf>
    <xf numFmtId="0" fontId="11" fillId="3" borderId="5" xfId="0" applyFont="1" applyFill="1" applyBorder="1" applyAlignment="1">
      <alignment horizontal="left" wrapText="1"/>
    </xf>
    <xf numFmtId="0" fontId="10" fillId="0" borderId="5" xfId="0" applyFont="1" applyBorder="1" applyAlignment="1">
      <alignment wrapText="1"/>
    </xf>
    <xf numFmtId="4" fontId="11" fillId="3" borderId="5" xfId="0" applyNumberFormat="1" applyFont="1" applyFill="1" applyBorder="1" applyAlignment="1">
      <alignment horizontal="right" wrapText="1"/>
    </xf>
    <xf numFmtId="49" fontId="10" fillId="3" borderId="5" xfId="0" applyNumberFormat="1" applyFont="1" applyFill="1" applyBorder="1" applyAlignment="1">
      <alignment wrapText="1"/>
    </xf>
    <xf numFmtId="0" fontId="10" fillId="0" borderId="5" xfId="0" applyFont="1" applyBorder="1"/>
    <xf numFmtId="49" fontId="10" fillId="3" borderId="5" xfId="0" applyNumberFormat="1" applyFont="1" applyFill="1" applyBorder="1" applyAlignment="1">
      <alignment horizontal="left"/>
    </xf>
    <xf numFmtId="49" fontId="12" fillId="3" borderId="5" xfId="1" applyNumberFormat="1" applyFont="1" applyFill="1" applyBorder="1" applyAlignment="1" applyProtection="1"/>
    <xf numFmtId="164" fontId="10" fillId="3" borderId="6" xfId="0" applyNumberFormat="1" applyFont="1" applyFill="1" applyBorder="1" applyAlignment="1">
      <alignment horizontal="left" wrapText="1"/>
    </xf>
    <xf numFmtId="165" fontId="10" fillId="3" borderId="6" xfId="0" applyNumberFormat="1" applyFont="1" applyFill="1" applyBorder="1" applyAlignment="1">
      <alignment wrapText="1"/>
    </xf>
    <xf numFmtId="3" fontId="10" fillId="3" borderId="6" xfId="0" applyNumberFormat="1" applyFont="1" applyFill="1" applyBorder="1"/>
    <xf numFmtId="0" fontId="10" fillId="3" borderId="6" xfId="0" applyFont="1" applyFill="1" applyBorder="1" applyAlignment="1">
      <alignment horizontal="center" wrapText="1"/>
    </xf>
    <xf numFmtId="0" fontId="10" fillId="3" borderId="6" xfId="0" applyFont="1" applyFill="1" applyBorder="1" applyAlignment="1">
      <alignment wrapText="1"/>
    </xf>
    <xf numFmtId="0" fontId="10" fillId="3" borderId="6" xfId="0" applyFont="1" applyFill="1" applyBorder="1" applyAlignment="1">
      <alignment horizontal="left" wrapText="1"/>
    </xf>
    <xf numFmtId="0" fontId="11" fillId="3" borderId="6" xfId="0" applyFont="1" applyFill="1" applyBorder="1" applyAlignment="1">
      <alignment horizontal="left" wrapText="1"/>
    </xf>
    <xf numFmtId="0" fontId="10" fillId="0" borderId="6" xfId="0" applyFont="1" applyBorder="1" applyAlignment="1">
      <alignment wrapText="1"/>
    </xf>
    <xf numFmtId="4" fontId="11" fillId="3" borderId="6" xfId="0" applyNumberFormat="1" applyFont="1" applyFill="1" applyBorder="1" applyAlignment="1">
      <alignment horizontal="right" wrapText="1"/>
    </xf>
    <xf numFmtId="49" fontId="10" fillId="3" borderId="6" xfId="0" applyNumberFormat="1" applyFont="1" applyFill="1" applyBorder="1" applyAlignment="1">
      <alignment wrapText="1"/>
    </xf>
    <xf numFmtId="164" fontId="10" fillId="3" borderId="7" xfId="0" applyNumberFormat="1" applyFont="1" applyFill="1" applyBorder="1" applyAlignment="1">
      <alignment horizontal="left" wrapText="1"/>
    </xf>
    <xf numFmtId="165" fontId="10" fillId="3" borderId="7" xfId="0" applyNumberFormat="1" applyFont="1" applyFill="1" applyBorder="1" applyAlignment="1">
      <alignment wrapText="1"/>
    </xf>
    <xf numFmtId="3" fontId="10" fillId="3" borderId="7" xfId="0" applyNumberFormat="1" applyFont="1" applyFill="1" applyBorder="1"/>
    <xf numFmtId="0" fontId="10" fillId="3" borderId="7" xfId="0" applyFont="1" applyFill="1" applyBorder="1" applyAlignment="1">
      <alignment horizontal="center" wrapText="1"/>
    </xf>
    <xf numFmtId="0" fontId="10" fillId="3" borderId="7" xfId="0" applyFont="1" applyFill="1" applyBorder="1" applyAlignment="1">
      <alignment wrapText="1"/>
    </xf>
    <xf numFmtId="0" fontId="10" fillId="3" borderId="7" xfId="0" applyFont="1" applyFill="1" applyBorder="1" applyAlignment="1">
      <alignment horizontal="left" wrapText="1"/>
    </xf>
    <xf numFmtId="0" fontId="11" fillId="3" borderId="7" xfId="0" applyFont="1" applyFill="1" applyBorder="1" applyAlignment="1">
      <alignment horizontal="left" wrapText="1"/>
    </xf>
    <xf numFmtId="0" fontId="10" fillId="0" borderId="7" xfId="0" applyFont="1" applyBorder="1" applyAlignment="1">
      <alignment wrapText="1"/>
    </xf>
    <xf numFmtId="4" fontId="11" fillId="3" borderId="7" xfId="0" applyNumberFormat="1" applyFont="1" applyFill="1" applyBorder="1" applyAlignment="1">
      <alignment horizontal="right" wrapText="1"/>
    </xf>
    <xf numFmtId="49" fontId="10" fillId="3" borderId="7" xfId="0" applyNumberFormat="1" applyFont="1" applyFill="1" applyBorder="1" applyAlignment="1">
      <alignment wrapText="1"/>
    </xf>
    <xf numFmtId="4" fontId="0" fillId="0" borderId="0" xfId="0" applyNumberFormat="1"/>
    <xf numFmtId="166" fontId="14" fillId="0" borderId="0" xfId="3" applyNumberFormat="1" applyFont="1"/>
    <xf numFmtId="167" fontId="3" fillId="4" borderId="0" xfId="4" applyNumberFormat="1">
      <alignment horizontal="left"/>
    </xf>
    <xf numFmtId="0" fontId="3" fillId="4" borderId="0" xfId="4">
      <alignment horizontal="left"/>
    </xf>
    <xf numFmtId="14" fontId="3" fillId="4" borderId="0" xfId="4" applyNumberFormat="1">
      <alignment horizontal="left"/>
    </xf>
    <xf numFmtId="2" fontId="3" fillId="4" borderId="0" xfId="4" applyNumberFormat="1">
      <alignment horizontal="left"/>
    </xf>
    <xf numFmtId="0" fontId="15" fillId="4" borderId="0" xfId="4" applyFont="1" applyAlignment="1">
      <alignment vertical="center"/>
    </xf>
    <xf numFmtId="0" fontId="16" fillId="4" borderId="0" xfId="4" applyFont="1" applyAlignment="1"/>
    <xf numFmtId="14" fontId="16" fillId="4" borderId="0" xfId="4" applyNumberFormat="1" applyFont="1">
      <alignment horizontal="left"/>
    </xf>
    <xf numFmtId="2" fontId="16" fillId="4" borderId="0" xfId="4" applyNumberFormat="1" applyFont="1">
      <alignment horizontal="left"/>
    </xf>
    <xf numFmtId="167" fontId="16" fillId="4" borderId="0" xfId="4" applyNumberFormat="1" applyFont="1">
      <alignment horizontal="left"/>
    </xf>
    <xf numFmtId="0" fontId="17" fillId="4" borderId="0" xfId="4" applyFont="1" applyAlignment="1">
      <alignment vertical="center"/>
    </xf>
    <xf numFmtId="0" fontId="3" fillId="4" borderId="0" xfId="4" applyAlignment="1"/>
    <xf numFmtId="0" fontId="18" fillId="4" borderId="0" xfId="4" applyFont="1" applyAlignment="1"/>
    <xf numFmtId="0" fontId="19" fillId="4" borderId="0" xfId="4" applyFont="1">
      <alignment horizontal="left"/>
    </xf>
    <xf numFmtId="167" fontId="20" fillId="5" borderId="8" xfId="4" applyNumberFormat="1" applyFont="1" applyFill="1" applyBorder="1" applyAlignment="1">
      <alignment horizontal="left" vertical="center" wrapText="1"/>
    </xf>
    <xf numFmtId="0" fontId="20" fillId="5" borderId="8" xfId="4" applyFont="1" applyFill="1" applyBorder="1" applyAlignment="1">
      <alignment horizontal="left" vertical="center" wrapText="1"/>
    </xf>
    <xf numFmtId="0" fontId="21" fillId="5" borderId="8" xfId="4" applyFont="1" applyFill="1" applyBorder="1" applyAlignment="1">
      <alignment horizontal="left" vertical="center" wrapText="1"/>
    </xf>
    <xf numFmtId="2" fontId="21" fillId="5" borderId="8" xfId="4" applyNumberFormat="1" applyFont="1" applyFill="1" applyBorder="1" applyAlignment="1">
      <alignment horizontal="left" vertical="center" wrapText="1"/>
    </xf>
    <xf numFmtId="0" fontId="22" fillId="0" borderId="0" xfId="2" applyFont="1"/>
    <xf numFmtId="167" fontId="22" fillId="0" borderId="5" xfId="2" applyNumberFormat="1" applyFont="1" applyBorder="1" applyAlignment="1">
      <alignment horizontal="left"/>
    </xf>
    <xf numFmtId="0" fontId="22" fillId="0" borderId="5" xfId="2" applyFont="1" applyBorder="1" applyAlignment="1">
      <alignment horizontal="left"/>
    </xf>
    <xf numFmtId="0" fontId="23" fillId="0" borderId="5" xfId="2" applyFont="1" applyBorder="1" applyAlignment="1">
      <alignment horizontal="left"/>
    </xf>
    <xf numFmtId="0" fontId="23" fillId="3" borderId="5" xfId="2" applyFont="1" applyFill="1" applyBorder="1" applyAlignment="1">
      <alignment horizontal="left"/>
    </xf>
    <xf numFmtId="2" fontId="22" fillId="0" borderId="5" xfId="2" applyNumberFormat="1" applyFont="1" applyBorder="1" applyAlignment="1">
      <alignment horizontal="left"/>
    </xf>
    <xf numFmtId="167" fontId="22" fillId="0" borderId="6" xfId="2" applyNumberFormat="1" applyFont="1" applyBorder="1" applyAlignment="1">
      <alignment horizontal="left"/>
    </xf>
    <xf numFmtId="0" fontId="22" fillId="0" borderId="6" xfId="2" applyFont="1" applyBorder="1" applyAlignment="1">
      <alignment horizontal="left"/>
    </xf>
    <xf numFmtId="0" fontId="23" fillId="0" borderId="6" xfId="2" applyFont="1" applyBorder="1" applyAlignment="1">
      <alignment horizontal="left"/>
    </xf>
    <xf numFmtId="0" fontId="23" fillId="3" borderId="6" xfId="2" applyFont="1" applyFill="1" applyBorder="1" applyAlignment="1">
      <alignment horizontal="left"/>
    </xf>
    <xf numFmtId="2" fontId="22" fillId="0" borderId="6" xfId="2" applyNumberFormat="1" applyFont="1" applyBorder="1" applyAlignment="1">
      <alignment horizontal="left"/>
    </xf>
    <xf numFmtId="0" fontId="24" fillId="0" borderId="0" xfId="2" applyFont="1"/>
    <xf numFmtId="2" fontId="24" fillId="0" borderId="0" xfId="2" applyNumberFormat="1" applyFont="1"/>
    <xf numFmtId="0" fontId="25" fillId="0" borderId="0" xfId="0" applyFont="1" applyAlignment="1">
      <alignment horizontal="left"/>
    </xf>
    <xf numFmtId="4" fontId="26" fillId="0" borderId="0" xfId="0" applyNumberFormat="1" applyFont="1"/>
    <xf numFmtId="0" fontId="27" fillId="0" borderId="0" xfId="0" applyFont="1" applyAlignment="1">
      <alignment horizontal="left" vertical="center"/>
    </xf>
    <xf numFmtId="0" fontId="28" fillId="0" borderId="0" xfId="0" applyFont="1"/>
    <xf numFmtId="2" fontId="25" fillId="0" borderId="0" xfId="0" applyNumberFormat="1" applyFont="1" applyAlignment="1">
      <alignment horizontal="left"/>
    </xf>
    <xf numFmtId="0" fontId="25" fillId="0" borderId="0" xfId="0" applyFont="1" applyAlignment="1">
      <alignment horizontal="right"/>
    </xf>
    <xf numFmtId="0" fontId="29" fillId="0" borderId="0" xfId="0" applyFont="1"/>
    <xf numFmtId="49" fontId="29" fillId="0" borderId="0" xfId="0" applyNumberFormat="1" applyFont="1" applyAlignment="1">
      <alignment horizontal="left"/>
    </xf>
    <xf numFmtId="1" fontId="25" fillId="0" borderId="0" xfId="0" applyNumberFormat="1" applyFont="1"/>
    <xf numFmtId="2" fontId="30" fillId="0" borderId="0" xfId="0" applyNumberFormat="1" applyFont="1" applyAlignment="1">
      <alignment horizontal="right"/>
    </xf>
    <xf numFmtId="0" fontId="25" fillId="0" borderId="0" xfId="0" applyFont="1" applyAlignment="1">
      <alignment horizontal="center"/>
    </xf>
    <xf numFmtId="4" fontId="31" fillId="0" borderId="0" xfId="0" applyNumberFormat="1" applyFont="1" applyAlignment="1">
      <alignment horizontal="left" vertical="center"/>
    </xf>
    <xf numFmtId="0" fontId="27" fillId="0" borderId="0" xfId="0" applyFont="1" applyAlignment="1">
      <alignment horizontal="left"/>
    </xf>
    <xf numFmtId="49" fontId="25" fillId="0" borderId="0" xfId="0" applyNumberFormat="1" applyFont="1"/>
    <xf numFmtId="0" fontId="32" fillId="0" borderId="0" xfId="0" applyFont="1" applyAlignment="1">
      <alignment horizontal="left"/>
    </xf>
    <xf numFmtId="17" fontId="30" fillId="0" borderId="0" xfId="0" applyNumberFormat="1" applyFont="1" applyAlignment="1">
      <alignment horizontal="left"/>
    </xf>
    <xf numFmtId="0" fontId="33" fillId="6" borderId="9" xfId="0" applyFont="1" applyFill="1" applyBorder="1" applyAlignment="1">
      <alignment horizontal="left" vertical="center" wrapText="1"/>
    </xf>
    <xf numFmtId="1" fontId="33" fillId="6" borderId="9" xfId="0" applyNumberFormat="1" applyFont="1" applyFill="1" applyBorder="1" applyAlignment="1">
      <alignment horizontal="left" vertical="center" wrapText="1"/>
    </xf>
    <xf numFmtId="2" fontId="33" fillId="6" borderId="9" xfId="0" applyNumberFormat="1" applyFont="1" applyFill="1" applyBorder="1" applyAlignment="1">
      <alignment horizontal="left" vertical="center" wrapText="1"/>
    </xf>
    <xf numFmtId="0" fontId="33" fillId="6" borderId="10" xfId="0" applyFont="1" applyFill="1" applyBorder="1" applyAlignment="1">
      <alignment horizontal="left" vertical="center" wrapText="1"/>
    </xf>
    <xf numFmtId="0" fontId="33" fillId="6" borderId="11" xfId="0" applyFont="1" applyFill="1" applyBorder="1" applyAlignment="1">
      <alignment horizontal="left" vertical="center" wrapText="1"/>
    </xf>
    <xf numFmtId="0" fontId="34" fillId="0" borderId="0" xfId="0" applyFont="1"/>
    <xf numFmtId="49" fontId="35" fillId="7" borderId="5" xfId="0" applyNumberFormat="1" applyFont="1" applyFill="1" applyBorder="1" applyAlignment="1">
      <alignment horizontal="left" vertical="center"/>
    </xf>
    <xf numFmtId="49" fontId="35" fillId="7" borderId="5" xfId="0" applyNumberFormat="1" applyFont="1" applyFill="1" applyBorder="1" applyAlignment="1">
      <alignment horizontal="center" vertical="center"/>
    </xf>
    <xf numFmtId="14" fontId="35" fillId="7" borderId="12" xfId="0" applyNumberFormat="1" applyFont="1" applyFill="1" applyBorder="1" applyAlignment="1">
      <alignment horizontal="center" vertical="center"/>
    </xf>
    <xf numFmtId="14" fontId="35" fillId="7" borderId="12" xfId="0" applyNumberFormat="1" applyFont="1" applyFill="1" applyBorder="1" applyAlignment="1">
      <alignment horizontal="left" vertical="center"/>
    </xf>
    <xf numFmtId="0" fontId="35" fillId="7" borderId="12" xfId="0" applyFont="1" applyFill="1" applyBorder="1" applyAlignment="1">
      <alignment horizontal="left" vertical="center"/>
    </xf>
    <xf numFmtId="0" fontId="35" fillId="7" borderId="12" xfId="0" quotePrefix="1" applyFont="1" applyFill="1" applyBorder="1" applyAlignment="1">
      <alignment horizontal="left" vertical="center"/>
    </xf>
    <xf numFmtId="0" fontId="35" fillId="8" borderId="12" xfId="0" applyFont="1" applyFill="1" applyBorder="1" applyAlignment="1">
      <alignment horizontal="left" vertical="center"/>
    </xf>
    <xf numFmtId="49" fontId="35" fillId="7" borderId="12" xfId="0" applyNumberFormat="1" applyFont="1" applyFill="1" applyBorder="1" applyAlignment="1">
      <alignment horizontal="left" vertical="center"/>
    </xf>
    <xf numFmtId="1" fontId="35" fillId="7" borderId="12" xfId="0" applyNumberFormat="1" applyFont="1" applyFill="1" applyBorder="1" applyAlignment="1">
      <alignment horizontal="left" vertical="center"/>
    </xf>
    <xf numFmtId="0" fontId="35" fillId="7" borderId="12" xfId="0" applyFont="1" applyFill="1" applyBorder="1" applyAlignment="1">
      <alignment horizontal="center" vertical="center"/>
    </xf>
    <xf numFmtId="2" fontId="35" fillId="7" borderId="12" xfId="0" applyNumberFormat="1" applyFont="1" applyFill="1" applyBorder="1" applyAlignment="1">
      <alignment horizontal="center" vertical="center"/>
    </xf>
    <xf numFmtId="49" fontId="35" fillId="7" borderId="6" xfId="0" applyNumberFormat="1" applyFont="1" applyFill="1" applyBorder="1" applyAlignment="1">
      <alignment horizontal="center" vertical="center"/>
    </xf>
    <xf numFmtId="0" fontId="35" fillId="7" borderId="6" xfId="0" applyFont="1" applyFill="1" applyBorder="1" applyAlignment="1">
      <alignment horizontal="center" vertical="center"/>
    </xf>
    <xf numFmtId="0" fontId="35" fillId="9" borderId="12" xfId="0" applyFont="1" applyFill="1" applyBorder="1" applyAlignment="1">
      <alignment horizontal="center" vertical="center"/>
    </xf>
    <xf numFmtId="0" fontId="2" fillId="3" borderId="12" xfId="1" applyFill="1" applyBorder="1" applyAlignment="1">
      <alignment horizontal="center" vertical="center"/>
    </xf>
    <xf numFmtId="0" fontId="0" fillId="0" borderId="0" xfId="0" applyAlignment="1">
      <alignment horizontal="right"/>
    </xf>
    <xf numFmtId="0" fontId="36" fillId="0" borderId="0" xfId="0" applyFont="1" applyAlignment="1">
      <alignment horizontal="right"/>
    </xf>
    <xf numFmtId="4" fontId="37" fillId="0" borderId="0" xfId="0" applyNumberFormat="1" applyFont="1"/>
    <xf numFmtId="0" fontId="38" fillId="0" borderId="0" xfId="0" applyFont="1" applyAlignment="1">
      <alignment horizontal="left" vertical="center"/>
    </xf>
    <xf numFmtId="2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0" fontId="39" fillId="0" borderId="0" xfId="0" applyFont="1"/>
    <xf numFmtId="49" fontId="39" fillId="0" borderId="0" xfId="0" applyNumberFormat="1" applyFont="1" applyAlignment="1">
      <alignment horizontal="left"/>
    </xf>
    <xf numFmtId="1" fontId="0" fillId="0" borderId="0" xfId="0" applyNumberFormat="1"/>
    <xf numFmtId="2" fontId="40" fillId="0" borderId="0" xfId="0" applyNumberFormat="1" applyFont="1" applyAlignment="1">
      <alignment horizontal="right" indent="1"/>
    </xf>
    <xf numFmtId="4" fontId="41" fillId="0" borderId="0" xfId="0" applyNumberFormat="1" applyFont="1" applyAlignment="1">
      <alignment horizontal="left" vertical="center"/>
    </xf>
    <xf numFmtId="0" fontId="42" fillId="0" borderId="0" xfId="5" applyFont="1"/>
    <xf numFmtId="0" fontId="24" fillId="4" borderId="0" xfId="4" applyFont="1" applyAlignment="1">
      <alignment horizontal="center" vertical="center"/>
    </xf>
    <xf numFmtId="1" fontId="24" fillId="4" borderId="0" xfId="4" applyNumberFormat="1" applyFont="1" applyAlignment="1">
      <alignment horizontal="right" vertical="center"/>
    </xf>
    <xf numFmtId="1" fontId="24" fillId="4" borderId="0" xfId="4" applyNumberFormat="1" applyFont="1" applyAlignment="1">
      <alignment horizontal="center" vertical="center"/>
    </xf>
    <xf numFmtId="2" fontId="24" fillId="4" borderId="0" xfId="4" applyNumberFormat="1" applyFont="1" applyAlignment="1">
      <alignment vertical="center"/>
    </xf>
    <xf numFmtId="49" fontId="0" fillId="0" borderId="0" xfId="0" quotePrefix="1" applyNumberFormat="1"/>
    <xf numFmtId="17" fontId="40" fillId="0" borderId="0" xfId="0" quotePrefix="1" applyNumberFormat="1" applyFont="1" applyAlignment="1">
      <alignment horizontal="left"/>
    </xf>
    <xf numFmtId="0" fontId="40" fillId="0" borderId="0" xfId="0" applyFont="1" applyAlignment="1">
      <alignment horizontal="right"/>
    </xf>
    <xf numFmtId="0" fontId="43" fillId="10" borderId="14" xfId="0" applyFont="1" applyFill="1" applyBorder="1" applyAlignment="1">
      <alignment horizontal="center" vertical="center" wrapText="1"/>
    </xf>
    <xf numFmtId="0" fontId="43" fillId="10" borderId="14" xfId="0" applyFont="1" applyFill="1" applyBorder="1" applyAlignment="1">
      <alignment vertical="center" wrapText="1"/>
    </xf>
    <xf numFmtId="0" fontId="43" fillId="10" borderId="14" xfId="0" applyFont="1" applyFill="1" applyBorder="1" applyAlignment="1">
      <alignment horizontal="left" vertical="center" wrapText="1"/>
    </xf>
    <xf numFmtId="1" fontId="43" fillId="10" borderId="14" xfId="0" applyNumberFormat="1" applyFont="1" applyFill="1" applyBorder="1" applyAlignment="1">
      <alignment vertical="center" wrapText="1"/>
    </xf>
    <xf numFmtId="2" fontId="43" fillId="10" borderId="14" xfId="0" applyNumberFormat="1" applyFont="1" applyFill="1" applyBorder="1" applyAlignment="1">
      <alignment horizontal="right" vertical="center" wrapText="1"/>
    </xf>
    <xf numFmtId="0" fontId="44" fillId="0" borderId="0" xfId="0" applyFont="1"/>
    <xf numFmtId="0" fontId="22" fillId="0" borderId="0" xfId="0" applyFont="1" applyAlignment="1">
      <alignment horizontal="right"/>
    </xf>
    <xf numFmtId="164" fontId="22" fillId="11" borderId="5" xfId="0" applyNumberFormat="1" applyFont="1" applyFill="1" applyBorder="1" applyAlignment="1">
      <alignment horizontal="center"/>
    </xf>
    <xf numFmtId="0" fontId="22" fillId="11" borderId="5" xfId="0" applyFont="1" applyFill="1" applyBorder="1" applyAlignment="1">
      <alignment horizontal="center"/>
    </xf>
    <xf numFmtId="0" fontId="22" fillId="11" borderId="5" xfId="0" applyFont="1" applyFill="1" applyBorder="1" applyAlignment="1">
      <alignment horizontal="center" vertical="center"/>
    </xf>
    <xf numFmtId="0" fontId="22" fillId="11" borderId="5" xfId="0" applyFont="1" applyFill="1" applyBorder="1" applyAlignment="1">
      <alignment horizontal="left"/>
    </xf>
    <xf numFmtId="49" fontId="22" fillId="11" borderId="5" xfId="0" applyNumberFormat="1" applyFont="1" applyFill="1" applyBorder="1" applyAlignment="1">
      <alignment horizontal="center"/>
    </xf>
    <xf numFmtId="164" fontId="22" fillId="3" borderId="5" xfId="0" applyNumberFormat="1" applyFont="1" applyFill="1" applyBorder="1" applyAlignment="1">
      <alignment horizontal="center"/>
    </xf>
    <xf numFmtId="1" fontId="22" fillId="11" borderId="5" xfId="0" applyNumberFormat="1" applyFont="1" applyFill="1" applyBorder="1" applyAlignment="1">
      <alignment horizontal="left"/>
    </xf>
    <xf numFmtId="2" fontId="22" fillId="11" borderId="5" xfId="0" applyNumberFormat="1" applyFont="1" applyFill="1" applyBorder="1"/>
    <xf numFmtId="168" fontId="22" fillId="11" borderId="5" xfId="0" applyNumberFormat="1" applyFont="1" applyFill="1" applyBorder="1" applyAlignment="1">
      <alignment horizontal="center"/>
    </xf>
    <xf numFmtId="49" fontId="28" fillId="3" borderId="0" xfId="0" applyNumberFormat="1" applyFont="1" applyFill="1" applyAlignment="1">
      <alignment horizontal="left" wrapText="1"/>
    </xf>
    <xf numFmtId="49" fontId="2" fillId="3" borderId="0" xfId="1" applyNumberFormat="1" applyFill="1" applyBorder="1" applyAlignment="1" applyProtection="1"/>
    <xf numFmtId="0" fontId="0" fillId="0" borderId="0" xfId="0" applyAlignment="1">
      <alignment wrapText="1"/>
    </xf>
    <xf numFmtId="2" fontId="0" fillId="0" borderId="0" xfId="0" applyNumberFormat="1"/>
    <xf numFmtId="4" fontId="41" fillId="0" borderId="0" xfId="6" applyNumberFormat="1" applyFont="1" applyAlignment="1">
      <alignment horizontal="left"/>
    </xf>
    <xf numFmtId="0" fontId="45" fillId="0" borderId="0" xfId="6" applyFont="1" applyAlignment="1">
      <alignment horizontal="center"/>
    </xf>
    <xf numFmtId="0" fontId="46" fillId="0" borderId="0" xfId="6" applyFont="1" applyAlignment="1">
      <alignment vertical="center"/>
    </xf>
    <xf numFmtId="0" fontId="45" fillId="0" borderId="0" xfId="6" applyFont="1"/>
    <xf numFmtId="2" fontId="47" fillId="0" borderId="0" xfId="6" applyNumberFormat="1" applyFont="1" applyAlignment="1">
      <alignment horizontal="left"/>
    </xf>
    <xf numFmtId="0" fontId="48" fillId="0" borderId="0" xfId="0" applyFont="1"/>
    <xf numFmtId="4" fontId="41" fillId="0" borderId="0" xfId="6" applyNumberFormat="1" applyFont="1" applyAlignment="1">
      <alignment horizontal="left" vertical="center"/>
    </xf>
    <xf numFmtId="0" fontId="47" fillId="0" borderId="0" xfId="6" applyFont="1" applyAlignment="1">
      <alignment horizontal="center"/>
    </xf>
    <xf numFmtId="0" fontId="47" fillId="0" borderId="0" xfId="6" applyFont="1"/>
    <xf numFmtId="169" fontId="48" fillId="0" borderId="15" xfId="7" applyNumberFormat="1" applyFont="1" applyBorder="1" applyAlignment="1">
      <alignment horizontal="left"/>
    </xf>
    <xf numFmtId="0" fontId="48" fillId="0" borderId="16" xfId="7" applyFont="1" applyBorder="1" applyAlignment="1">
      <alignment horizontal="left"/>
    </xf>
    <xf numFmtId="0" fontId="49" fillId="0" borderId="16" xfId="7" applyFont="1" applyBorder="1" applyAlignment="1">
      <alignment horizontal="left"/>
    </xf>
    <xf numFmtId="0" fontId="50" fillId="0" borderId="16" xfId="7" applyFont="1" applyBorder="1" applyAlignment="1">
      <alignment horizontal="left" readingOrder="1"/>
    </xf>
    <xf numFmtId="0" fontId="51" fillId="0" borderId="16" xfId="7" applyFont="1" applyBorder="1" applyAlignment="1">
      <alignment horizontal="left"/>
    </xf>
    <xf numFmtId="17" fontId="52" fillId="0" borderId="16" xfId="7" applyNumberFormat="1" applyFont="1" applyBorder="1" applyAlignment="1">
      <alignment horizontal="left"/>
    </xf>
    <xf numFmtId="0" fontId="47" fillId="0" borderId="16" xfId="7" applyFont="1" applyBorder="1" applyAlignment="1">
      <alignment horizontal="left"/>
    </xf>
    <xf numFmtId="49" fontId="45" fillId="0" borderId="17" xfId="7" applyNumberFormat="1" applyFont="1" applyBorder="1" applyAlignment="1">
      <alignment horizontal="left"/>
    </xf>
    <xf numFmtId="169" fontId="48" fillId="0" borderId="18" xfId="7" applyNumberFormat="1" applyFont="1" applyBorder="1" applyAlignment="1">
      <alignment horizontal="left"/>
    </xf>
    <xf numFmtId="0" fontId="48" fillId="0" borderId="0" xfId="7" applyFont="1" applyAlignment="1">
      <alignment horizontal="left"/>
    </xf>
    <xf numFmtId="0" fontId="48" fillId="0" borderId="19" xfId="7" applyFont="1" applyBorder="1" applyAlignment="1">
      <alignment horizontal="left"/>
    </xf>
    <xf numFmtId="169" fontId="48" fillId="0" borderId="20" xfId="7" applyNumberFormat="1" applyFont="1" applyBorder="1" applyAlignment="1">
      <alignment horizontal="left"/>
    </xf>
    <xf numFmtId="0" fontId="48" fillId="0" borderId="21" xfId="7" applyFont="1" applyBorder="1" applyAlignment="1">
      <alignment horizontal="left"/>
    </xf>
    <xf numFmtId="0" fontId="48" fillId="0" borderId="22" xfId="7" applyFont="1" applyBorder="1" applyAlignment="1">
      <alignment horizontal="left"/>
    </xf>
    <xf numFmtId="0" fontId="53" fillId="12" borderId="8" xfId="8" applyFont="1" applyFill="1" applyBorder="1" applyAlignment="1">
      <alignment horizontal="center" wrapText="1"/>
    </xf>
    <xf numFmtId="0" fontId="11" fillId="0" borderId="0" xfId="8" applyFont="1" applyAlignment="1">
      <alignment horizontal="right" vertical="top"/>
    </xf>
    <xf numFmtId="14" fontId="11" fillId="0" borderId="5" xfId="8" applyNumberFormat="1" applyFont="1" applyBorder="1" applyAlignment="1">
      <alignment horizontal="left" vertical="top"/>
    </xf>
    <xf numFmtId="0" fontId="11" fillId="0" borderId="5" xfId="8" applyFont="1" applyBorder="1" applyAlignment="1">
      <alignment horizontal="center" vertical="top"/>
    </xf>
    <xf numFmtId="0" fontId="11" fillId="0" borderId="5" xfId="8" applyFont="1" applyBorder="1" applyAlignment="1">
      <alignment horizontal="left" vertical="top"/>
    </xf>
    <xf numFmtId="0" fontId="11" fillId="0" borderId="5" xfId="8" applyFont="1" applyBorder="1" applyAlignment="1">
      <alignment vertical="top"/>
    </xf>
    <xf numFmtId="0" fontId="11" fillId="0" borderId="5" xfId="8" quotePrefix="1" applyFont="1" applyBorder="1" applyAlignment="1">
      <alignment horizontal="left" vertical="top"/>
    </xf>
    <xf numFmtId="170" fontId="11" fillId="0" borderId="5" xfId="9" applyFont="1" applyBorder="1" applyAlignment="1">
      <alignment vertical="top"/>
    </xf>
    <xf numFmtId="170" fontId="11" fillId="0" borderId="6" xfId="9" applyFont="1" applyBorder="1" applyAlignment="1">
      <alignment horizontal="left" vertical="top"/>
    </xf>
    <xf numFmtId="14" fontId="11" fillId="0" borderId="6" xfId="8" applyNumberFormat="1" applyFont="1" applyBorder="1" applyAlignment="1">
      <alignment horizontal="left" vertical="top"/>
    </xf>
    <xf numFmtId="0" fontId="11" fillId="0" borderId="6" xfId="8" applyFont="1" applyBorder="1" applyAlignment="1">
      <alignment horizontal="center" vertical="top"/>
    </xf>
    <xf numFmtId="0" fontId="11" fillId="0" borderId="6" xfId="8" applyFont="1" applyBorder="1" applyAlignment="1">
      <alignment horizontal="left" vertical="top"/>
    </xf>
    <xf numFmtId="0" fontId="11" fillId="0" borderId="6" xfId="8" applyFont="1" applyBorder="1" applyAlignment="1">
      <alignment vertical="top"/>
    </xf>
    <xf numFmtId="0" fontId="11" fillId="0" borderId="6" xfId="8" quotePrefix="1" applyFont="1" applyBorder="1" applyAlignment="1">
      <alignment horizontal="left" vertical="top"/>
    </xf>
    <xf numFmtId="170" fontId="11" fillId="0" borderId="6" xfId="9" applyFont="1" applyBorder="1" applyAlignment="1">
      <alignment vertical="top"/>
    </xf>
    <xf numFmtId="14" fontId="11" fillId="0" borderId="7" xfId="8" applyNumberFormat="1" applyFont="1" applyBorder="1" applyAlignment="1">
      <alignment horizontal="left" vertical="top"/>
    </xf>
    <xf numFmtId="0" fontId="11" fillId="0" borderId="7" xfId="8" applyFont="1" applyBorder="1" applyAlignment="1">
      <alignment horizontal="center" vertical="top"/>
    </xf>
    <xf numFmtId="0" fontId="11" fillId="0" borderId="7" xfId="8" applyFont="1" applyBorder="1" applyAlignment="1">
      <alignment horizontal="left" vertical="top"/>
    </xf>
    <xf numFmtId="0" fontId="11" fillId="0" borderId="7" xfId="8" applyFont="1" applyBorder="1" applyAlignment="1">
      <alignment vertical="top"/>
    </xf>
    <xf numFmtId="0" fontId="11" fillId="0" borderId="7" xfId="8" quotePrefix="1" applyFont="1" applyBorder="1" applyAlignment="1">
      <alignment horizontal="left" vertical="top"/>
    </xf>
    <xf numFmtId="170" fontId="11" fillId="0" borderId="7" xfId="9" applyFont="1" applyBorder="1" applyAlignment="1">
      <alignment vertical="top"/>
    </xf>
    <xf numFmtId="0" fontId="11" fillId="0" borderId="0" xfId="8" applyFont="1" applyAlignment="1">
      <alignment horizontal="center" vertical="top"/>
    </xf>
    <xf numFmtId="0" fontId="11" fillId="0" borderId="0" xfId="8" applyFont="1" applyAlignment="1">
      <alignment horizontal="left" vertical="top"/>
    </xf>
    <xf numFmtId="0" fontId="39" fillId="0" borderId="0" xfId="0" applyFont="1" applyAlignment="1">
      <alignment horizontal="right"/>
    </xf>
    <xf numFmtId="0" fontId="0" fillId="0" borderId="0" xfId="0" applyAlignment="1">
      <alignment horizontal="center"/>
    </xf>
    <xf numFmtId="0" fontId="54" fillId="0" borderId="0" xfId="0" applyFont="1" applyAlignment="1">
      <alignment wrapText="1"/>
    </xf>
    <xf numFmtId="164" fontId="45" fillId="0" borderId="0" xfId="10" applyNumberFormat="1" applyFont="1" applyAlignment="1">
      <alignment horizontal="left"/>
    </xf>
    <xf numFmtId="0" fontId="45" fillId="0" borderId="0" xfId="10" applyFont="1" applyAlignment="1">
      <alignment horizontal="left" wrapText="1"/>
    </xf>
    <xf numFmtId="49" fontId="45" fillId="0" borderId="0" xfId="10" applyNumberFormat="1" applyFont="1" applyAlignment="1">
      <alignment horizontal="left" wrapText="1"/>
    </xf>
    <xf numFmtId="0" fontId="47" fillId="0" borderId="0" xfId="10" applyAlignment="1">
      <alignment horizontal="left" wrapText="1"/>
    </xf>
    <xf numFmtId="0" fontId="47" fillId="0" borderId="0" xfId="10" applyAlignment="1">
      <alignment wrapText="1"/>
    </xf>
    <xf numFmtId="164" fontId="47" fillId="0" borderId="0" xfId="10" applyNumberFormat="1" applyAlignment="1">
      <alignment horizontal="left" wrapText="1"/>
    </xf>
    <xf numFmtId="0" fontId="47" fillId="0" borderId="0" xfId="10" applyAlignment="1">
      <alignment horizontal="center" wrapText="1"/>
    </xf>
    <xf numFmtId="49" fontId="47" fillId="0" borderId="0" xfId="10" applyNumberFormat="1" applyAlignment="1">
      <alignment horizontal="left" wrapText="1"/>
    </xf>
    <xf numFmtId="171" fontId="54" fillId="0" borderId="0" xfId="0" applyNumberFormat="1" applyFont="1" applyAlignment="1">
      <alignment horizontal="left" wrapText="1"/>
    </xf>
    <xf numFmtId="171" fontId="47" fillId="0" borderId="0" xfId="10" applyNumberFormat="1" applyAlignment="1">
      <alignment horizontal="left" wrapText="1"/>
    </xf>
    <xf numFmtId="164" fontId="55" fillId="12" borderId="14" xfId="10" applyNumberFormat="1" applyFont="1" applyFill="1" applyBorder="1" applyAlignment="1">
      <alignment horizontal="left" wrapText="1"/>
    </xf>
    <xf numFmtId="0" fontId="55" fillId="12" borderId="14" xfId="10" applyFont="1" applyFill="1" applyBorder="1" applyAlignment="1">
      <alignment horizontal="left" wrapText="1"/>
    </xf>
    <xf numFmtId="49" fontId="55" fillId="12" borderId="15" xfId="10" applyNumberFormat="1" applyFont="1" applyFill="1" applyBorder="1" applyAlignment="1">
      <alignment horizontal="left" wrapText="1"/>
    </xf>
    <xf numFmtId="0" fontId="56" fillId="12" borderId="14" xfId="10" applyFont="1" applyFill="1" applyBorder="1" applyAlignment="1">
      <alignment horizontal="center" wrapText="1"/>
    </xf>
    <xf numFmtId="0" fontId="55" fillId="12" borderId="17" xfId="10" applyFont="1" applyFill="1" applyBorder="1" applyAlignment="1">
      <alignment wrapText="1"/>
    </xf>
    <xf numFmtId="0" fontId="55" fillId="12" borderId="15" xfId="10" applyFont="1" applyFill="1" applyBorder="1" applyAlignment="1">
      <alignment horizontal="center" wrapText="1"/>
    </xf>
    <xf numFmtId="164" fontId="55" fillId="12" borderId="14" xfId="10" applyNumberFormat="1" applyFont="1" applyFill="1" applyBorder="1" applyAlignment="1">
      <alignment horizontal="center" wrapText="1"/>
    </xf>
    <xf numFmtId="49" fontId="55" fillId="12" borderId="17" xfId="10" applyNumberFormat="1" applyFont="1" applyFill="1" applyBorder="1" applyAlignment="1">
      <alignment horizontal="center" wrapText="1"/>
    </xf>
    <xf numFmtId="49" fontId="55" fillId="12" borderId="14" xfId="10" applyNumberFormat="1" applyFont="1" applyFill="1" applyBorder="1" applyAlignment="1">
      <alignment horizontal="left" wrapText="1"/>
    </xf>
    <xf numFmtId="171" fontId="55" fillId="12" borderId="17" xfId="10" applyNumberFormat="1" applyFont="1" applyFill="1" applyBorder="1" applyAlignment="1" applyProtection="1">
      <alignment horizontal="left" wrapText="1"/>
      <protection locked="0"/>
    </xf>
    <xf numFmtId="0" fontId="57" fillId="13" borderId="14" xfId="0" applyFont="1" applyFill="1" applyBorder="1" applyAlignment="1">
      <alignment wrapText="1"/>
    </xf>
    <xf numFmtId="0" fontId="55" fillId="12" borderId="17" xfId="10" applyFont="1" applyFill="1" applyBorder="1" applyAlignment="1">
      <alignment horizontal="center" wrapText="1"/>
    </xf>
    <xf numFmtId="164" fontId="55" fillId="12" borderId="13" xfId="10" applyNumberFormat="1" applyFont="1" applyFill="1" applyBorder="1" applyAlignment="1">
      <alignment horizontal="left" wrapText="1"/>
    </xf>
    <xf numFmtId="0" fontId="55" fillId="12" borderId="13" xfId="10" applyFont="1" applyFill="1" applyBorder="1" applyAlignment="1">
      <alignment horizontal="left" wrapText="1"/>
    </xf>
    <xf numFmtId="49" fontId="55" fillId="12" borderId="18" xfId="10" applyNumberFormat="1" applyFont="1" applyFill="1" applyBorder="1" applyAlignment="1">
      <alignment horizontal="left" wrapText="1"/>
    </xf>
    <xf numFmtId="0" fontId="55" fillId="12" borderId="13" xfId="10" applyFont="1" applyFill="1" applyBorder="1" applyAlignment="1">
      <alignment horizontal="center" wrapText="1"/>
    </xf>
    <xf numFmtId="0" fontId="55" fillId="12" borderId="19" xfId="10" applyFont="1" applyFill="1" applyBorder="1" applyAlignment="1">
      <alignment wrapText="1"/>
    </xf>
    <xf numFmtId="0" fontId="55" fillId="12" borderId="18" xfId="10" applyFont="1" applyFill="1" applyBorder="1" applyAlignment="1">
      <alignment horizontal="center" wrapText="1"/>
    </xf>
    <xf numFmtId="164" fontId="55" fillId="12" borderId="13" xfId="10" applyNumberFormat="1" applyFont="1" applyFill="1" applyBorder="1" applyAlignment="1">
      <alignment horizontal="center" wrapText="1"/>
    </xf>
    <xf numFmtId="49" fontId="55" fillId="12" borderId="19" xfId="10" applyNumberFormat="1" applyFont="1" applyFill="1" applyBorder="1" applyAlignment="1">
      <alignment horizontal="center" wrapText="1"/>
    </xf>
    <xf numFmtId="49" fontId="55" fillId="12" borderId="13" xfId="10" applyNumberFormat="1" applyFont="1" applyFill="1" applyBorder="1" applyAlignment="1">
      <alignment horizontal="left" wrapText="1"/>
    </xf>
    <xf numFmtId="171" fontId="55" fillId="12" borderId="19" xfId="10" applyNumberFormat="1" applyFont="1" applyFill="1" applyBorder="1" applyAlignment="1" applyProtection="1">
      <alignment horizontal="left" wrapText="1"/>
      <protection locked="0"/>
    </xf>
    <xf numFmtId="0" fontId="55" fillId="13" borderId="13" xfId="0" applyFont="1" applyFill="1" applyBorder="1" applyAlignment="1">
      <alignment wrapText="1"/>
    </xf>
    <xf numFmtId="0" fontId="55" fillId="12" borderId="19" xfId="10" applyFont="1" applyFill="1" applyBorder="1" applyAlignment="1">
      <alignment horizontal="center" wrapText="1"/>
    </xf>
    <xf numFmtId="164" fontId="55" fillId="12" borderId="23" xfId="10" applyNumberFormat="1" applyFont="1" applyFill="1" applyBorder="1" applyAlignment="1">
      <alignment horizontal="left" wrapText="1"/>
    </xf>
    <xf numFmtId="0" fontId="55" fillId="12" borderId="23" xfId="10" applyFont="1" applyFill="1" applyBorder="1" applyAlignment="1">
      <alignment horizontal="left" wrapText="1"/>
    </xf>
    <xf numFmtId="49" fontId="55" fillId="12" borderId="20" xfId="10" applyNumberFormat="1" applyFont="1" applyFill="1" applyBorder="1" applyAlignment="1">
      <alignment horizontal="left" wrapText="1"/>
    </xf>
    <xf numFmtId="0" fontId="56" fillId="12" borderId="23" xfId="10" applyFont="1" applyFill="1" applyBorder="1" applyAlignment="1">
      <alignment horizontal="center" wrapText="1"/>
    </xf>
    <xf numFmtId="0" fontId="55" fillId="12" borderId="22" xfId="10" applyFont="1" applyFill="1" applyBorder="1" applyAlignment="1">
      <alignment wrapText="1"/>
    </xf>
    <xf numFmtId="0" fontId="55" fillId="12" borderId="20" xfId="10" applyFont="1" applyFill="1" applyBorder="1" applyAlignment="1">
      <alignment horizontal="center" wrapText="1"/>
    </xf>
    <xf numFmtId="164" fontId="55" fillId="12" borderId="23" xfId="10" applyNumberFormat="1" applyFont="1" applyFill="1" applyBorder="1" applyAlignment="1">
      <alignment horizontal="center" wrapText="1"/>
    </xf>
    <xf numFmtId="49" fontId="55" fillId="12" borderId="22" xfId="10" applyNumberFormat="1" applyFont="1" applyFill="1" applyBorder="1" applyAlignment="1">
      <alignment horizontal="center" wrapText="1"/>
    </xf>
    <xf numFmtId="49" fontId="55" fillId="12" borderId="23" xfId="10" applyNumberFormat="1" applyFont="1" applyFill="1" applyBorder="1" applyAlignment="1">
      <alignment horizontal="left" wrapText="1"/>
    </xf>
    <xf numFmtId="171" fontId="55" fillId="12" borderId="22" xfId="10" applyNumberFormat="1" applyFont="1" applyFill="1" applyBorder="1" applyAlignment="1" applyProtection="1">
      <alignment horizontal="left" wrapText="1"/>
      <protection locked="0"/>
    </xf>
    <xf numFmtId="0" fontId="57" fillId="13" borderId="23" xfId="0" applyFont="1" applyFill="1" applyBorder="1" applyAlignment="1">
      <alignment wrapText="1"/>
    </xf>
    <xf numFmtId="0" fontId="55" fillId="12" borderId="22" xfId="10" applyFont="1" applyFill="1" applyBorder="1" applyAlignment="1">
      <alignment horizontal="center" wrapText="1"/>
    </xf>
    <xf numFmtId="0" fontId="9" fillId="2" borderId="0" xfId="2" applyFont="1" applyFill="1" applyBorder="1" applyAlignment="1">
      <alignment vertical="center" wrapText="1"/>
    </xf>
    <xf numFmtId="49" fontId="22" fillId="11" borderId="5" xfId="0" applyNumberFormat="1" applyFont="1" applyFill="1" applyBorder="1" applyAlignment="1">
      <alignment horizontal="left"/>
    </xf>
    <xf numFmtId="49" fontId="2" fillId="11" borderId="5" xfId="1" applyNumberFormat="1" applyFill="1" applyBorder="1" applyAlignment="1">
      <alignment horizontal="center"/>
    </xf>
    <xf numFmtId="0" fontId="2" fillId="0" borderId="5" xfId="1" applyBorder="1" applyAlignment="1">
      <alignment horizontal="left" vertical="top"/>
    </xf>
    <xf numFmtId="0" fontId="2" fillId="0" borderId="6" xfId="1" applyBorder="1" applyAlignment="1">
      <alignment horizontal="left" vertical="top"/>
    </xf>
    <xf numFmtId="0" fontId="60" fillId="0" borderId="0" xfId="0" applyFont="1"/>
    <xf numFmtId="0" fontId="59" fillId="7" borderId="8" xfId="0" applyFont="1" applyFill="1" applyBorder="1" applyAlignment="1">
      <alignment horizontal="left" vertical="center"/>
    </xf>
    <xf numFmtId="0" fontId="61" fillId="0" borderId="0" xfId="0" applyFont="1"/>
    <xf numFmtId="0" fontId="11" fillId="0" borderId="0" xfId="8" applyFont="1" applyFill="1" applyBorder="1" applyAlignment="1">
      <alignment horizontal="left" vertical="top"/>
    </xf>
    <xf numFmtId="0" fontId="2" fillId="0" borderId="7" xfId="1" applyBorder="1" applyAlignment="1">
      <alignment horizontal="left" vertical="top"/>
    </xf>
    <xf numFmtId="167" fontId="22" fillId="0" borderId="12" xfId="2" applyNumberFormat="1" applyFont="1" applyBorder="1" applyAlignment="1">
      <alignment horizontal="left"/>
    </xf>
    <xf numFmtId="0" fontId="22" fillId="0" borderId="12" xfId="2" applyFont="1" applyBorder="1" applyAlignment="1">
      <alignment horizontal="left"/>
    </xf>
    <xf numFmtId="0" fontId="23" fillId="0" borderId="12" xfId="2" applyFont="1" applyBorder="1" applyAlignment="1">
      <alignment horizontal="left"/>
    </xf>
    <xf numFmtId="0" fontId="23" fillId="3" borderId="12" xfId="2" applyFont="1" applyFill="1" applyBorder="1" applyAlignment="1">
      <alignment horizontal="left"/>
    </xf>
    <xf numFmtId="2" fontId="22" fillId="0" borderId="12" xfId="2" applyNumberFormat="1" applyFont="1" applyBorder="1" applyAlignment="1">
      <alignment horizontal="left"/>
    </xf>
    <xf numFmtId="0" fontId="22" fillId="0" borderId="0" xfId="2" applyFont="1" applyFill="1"/>
    <xf numFmtId="14" fontId="2" fillId="7" borderId="12" xfId="1" applyNumberFormat="1" applyFill="1" applyBorder="1" applyAlignment="1">
      <alignment horizontal="center" vertical="center"/>
    </xf>
    <xf numFmtId="172" fontId="47" fillId="3" borderId="8" xfId="0" applyNumberFormat="1" applyFont="1" applyFill="1" applyBorder="1" applyAlignment="1">
      <alignment horizontal="left" wrapText="1"/>
    </xf>
    <xf numFmtId="172" fontId="63" fillId="3" borderId="8" xfId="1" applyNumberFormat="1" applyFont="1" applyFill="1" applyBorder="1" applyAlignment="1">
      <alignment horizontal="left" wrapText="1"/>
    </xf>
    <xf numFmtId="14" fontId="47" fillId="7" borderId="8" xfId="0" applyNumberFormat="1" applyFont="1" applyFill="1" applyBorder="1" applyAlignment="1">
      <alignment horizontal="left" vertical="center"/>
    </xf>
    <xf numFmtId="0" fontId="47" fillId="7" borderId="8" xfId="0" applyFont="1" applyFill="1" applyBorder="1" applyAlignment="1">
      <alignment horizontal="left" vertical="center"/>
    </xf>
    <xf numFmtId="1" fontId="47" fillId="7" borderId="8" xfId="0" applyNumberFormat="1" applyFont="1" applyFill="1" applyBorder="1" applyAlignment="1">
      <alignment horizontal="left" vertical="center"/>
    </xf>
    <xf numFmtId="0" fontId="64" fillId="0" borderId="0" xfId="0" applyFont="1" applyAlignment="1">
      <alignment wrapText="1"/>
    </xf>
    <xf numFmtId="172" fontId="64" fillId="3" borderId="8" xfId="0" applyNumberFormat="1" applyFont="1" applyFill="1" applyBorder="1" applyAlignment="1">
      <alignment horizontal="left" wrapText="1"/>
    </xf>
    <xf numFmtId="0" fontId="65" fillId="0" borderId="0" xfId="0" applyFont="1"/>
    <xf numFmtId="172" fontId="66" fillId="3" borderId="8" xfId="1" applyNumberFormat="1" applyFont="1" applyFill="1" applyBorder="1" applyAlignment="1">
      <alignment horizontal="left" wrapText="1"/>
    </xf>
    <xf numFmtId="14" fontId="64" fillId="7" borderId="8" xfId="0" applyNumberFormat="1" applyFont="1" applyFill="1" applyBorder="1" applyAlignment="1">
      <alignment horizontal="left" vertical="center"/>
    </xf>
    <xf numFmtId="0" fontId="64" fillId="8" borderId="8" xfId="0" applyFont="1" applyFill="1" applyBorder="1" applyAlignment="1">
      <alignment horizontal="left" vertical="center"/>
    </xf>
    <xf numFmtId="0" fontId="64" fillId="3" borderId="8" xfId="0" applyFont="1" applyFill="1" applyBorder="1" applyAlignment="1">
      <alignment horizontal="left" wrapText="1"/>
    </xf>
    <xf numFmtId="0" fontId="64" fillId="3" borderId="8" xfId="0" quotePrefix="1" applyFont="1" applyFill="1" applyBorder="1" applyAlignment="1">
      <alignment horizontal="left" wrapText="1"/>
    </xf>
    <xf numFmtId="0" fontId="47" fillId="3" borderId="8" xfId="0" applyFont="1" applyFill="1" applyBorder="1" applyAlignment="1">
      <alignment horizontal="left" wrapText="1"/>
    </xf>
    <xf numFmtId="0" fontId="47" fillId="3" borderId="8" xfId="0" quotePrefix="1" applyFont="1" applyFill="1" applyBorder="1" applyAlignment="1">
      <alignment horizontal="left" wrapText="1"/>
    </xf>
    <xf numFmtId="0" fontId="64" fillId="7" borderId="8" xfId="0" quotePrefix="1" applyFont="1" applyFill="1" applyBorder="1" applyAlignment="1">
      <alignment horizontal="left" vertical="center"/>
    </xf>
    <xf numFmtId="0" fontId="47" fillId="7" borderId="8" xfId="0" quotePrefix="1" applyFont="1" applyFill="1" applyBorder="1" applyAlignment="1">
      <alignment horizontal="left" vertical="center"/>
    </xf>
    <xf numFmtId="0" fontId="47" fillId="8" borderId="8" xfId="0" applyFont="1" applyFill="1" applyBorder="1" applyAlignment="1">
      <alignment horizontal="left" vertical="center"/>
    </xf>
    <xf numFmtId="49" fontId="47" fillId="7" borderId="8" xfId="0" applyNumberFormat="1" applyFont="1" applyFill="1" applyBorder="1" applyAlignment="1">
      <alignment horizontal="left" vertical="center"/>
    </xf>
    <xf numFmtId="0" fontId="47" fillId="9" borderId="8" xfId="0" applyFont="1" applyFill="1" applyBorder="1" applyAlignment="1">
      <alignment horizontal="left" vertical="center"/>
    </xf>
    <xf numFmtId="0" fontId="64" fillId="7" borderId="8" xfId="0" applyFont="1" applyFill="1" applyBorder="1" applyAlignment="1">
      <alignment horizontal="left" vertical="center"/>
    </xf>
    <xf numFmtId="1" fontId="64" fillId="7" borderId="8" xfId="0" applyNumberFormat="1" applyFont="1" applyFill="1" applyBorder="1" applyAlignment="1">
      <alignment horizontal="left" vertical="center"/>
    </xf>
    <xf numFmtId="49" fontId="64" fillId="7" borderId="8" xfId="0" applyNumberFormat="1" applyFont="1" applyFill="1" applyBorder="1" applyAlignment="1">
      <alignment horizontal="left" vertical="center"/>
    </xf>
    <xf numFmtId="0" fontId="64" fillId="9" borderId="8" xfId="0" applyFont="1" applyFill="1" applyBorder="1" applyAlignment="1">
      <alignment horizontal="left" vertical="center"/>
    </xf>
    <xf numFmtId="164" fontId="47" fillId="3" borderId="8" xfId="0" applyNumberFormat="1" applyFont="1" applyFill="1" applyBorder="1" applyAlignment="1">
      <alignment horizontal="left"/>
    </xf>
    <xf numFmtId="1" fontId="47" fillId="3" borderId="8" xfId="0" applyNumberFormat="1" applyFont="1" applyFill="1" applyBorder="1" applyAlignment="1">
      <alignment horizontal="left"/>
    </xf>
    <xf numFmtId="0" fontId="47" fillId="3" borderId="8" xfId="0" applyFont="1" applyFill="1" applyBorder="1" applyAlignment="1">
      <alignment horizontal="left"/>
    </xf>
    <xf numFmtId="49" fontId="47" fillId="3" borderId="8" xfId="0" applyNumberFormat="1" applyFont="1" applyFill="1" applyBorder="1" applyAlignment="1">
      <alignment horizontal="left"/>
    </xf>
    <xf numFmtId="14" fontId="47" fillId="3" borderId="8" xfId="8" applyNumberFormat="1" applyFont="1" applyFill="1" applyBorder="1" applyAlignment="1">
      <alignment horizontal="left" vertical="top"/>
    </xf>
    <xf numFmtId="0" fontId="47" fillId="3" borderId="8" xfId="8" applyFont="1" applyFill="1" applyBorder="1" applyAlignment="1">
      <alignment horizontal="left" vertical="top"/>
    </xf>
    <xf numFmtId="0" fontId="64" fillId="3" borderId="8" xfId="0" applyFont="1" applyFill="1" applyBorder="1" applyAlignment="1">
      <alignment horizontal="left"/>
    </xf>
    <xf numFmtId="0" fontId="47" fillId="3" borderId="8" xfId="8" quotePrefix="1" applyFont="1" applyFill="1" applyBorder="1" applyAlignment="1">
      <alignment horizontal="left" vertical="top"/>
    </xf>
    <xf numFmtId="0" fontId="67" fillId="8" borderId="8" xfId="0" applyFont="1" applyFill="1" applyBorder="1" applyAlignment="1">
      <alignment horizontal="left" vertical="center"/>
    </xf>
    <xf numFmtId="0" fontId="67" fillId="3" borderId="8" xfId="0" applyFont="1" applyFill="1" applyBorder="1" applyAlignment="1">
      <alignment horizontal="left" wrapText="1"/>
    </xf>
    <xf numFmtId="0" fontId="67" fillId="3" borderId="8" xfId="0" quotePrefix="1" applyFont="1" applyFill="1" applyBorder="1" applyAlignment="1">
      <alignment horizontal="left" wrapText="1"/>
    </xf>
    <xf numFmtId="172" fontId="67" fillId="3" borderId="8" xfId="0" applyNumberFormat="1" applyFont="1" applyFill="1" applyBorder="1" applyAlignment="1">
      <alignment horizontal="left" wrapText="1"/>
    </xf>
    <xf numFmtId="0" fontId="68" fillId="0" borderId="0" xfId="0" applyFont="1"/>
    <xf numFmtId="14" fontId="67" fillId="7" borderId="8" xfId="0" applyNumberFormat="1" applyFont="1" applyFill="1" applyBorder="1" applyAlignment="1">
      <alignment horizontal="left" vertical="center"/>
    </xf>
    <xf numFmtId="164" fontId="69" fillId="3" borderId="8" xfId="0" applyNumberFormat="1" applyFont="1" applyFill="1" applyBorder="1" applyAlignment="1">
      <alignment horizontal="left"/>
    </xf>
    <xf numFmtId="1" fontId="69" fillId="3" borderId="8" xfId="0" applyNumberFormat="1" applyFont="1" applyFill="1" applyBorder="1" applyAlignment="1">
      <alignment horizontal="left"/>
    </xf>
    <xf numFmtId="0" fontId="69" fillId="3" borderId="8" xfId="0" applyFont="1" applyFill="1" applyBorder="1" applyAlignment="1">
      <alignment horizontal="left"/>
    </xf>
    <xf numFmtId="0" fontId="69" fillId="8" borderId="8" xfId="0" applyFont="1" applyFill="1" applyBorder="1" applyAlignment="1">
      <alignment horizontal="left" vertical="center"/>
    </xf>
    <xf numFmtId="0" fontId="69" fillId="3" borderId="8" xfId="0" applyFont="1" applyFill="1" applyBorder="1" applyAlignment="1">
      <alignment horizontal="left" wrapText="1"/>
    </xf>
    <xf numFmtId="49" fontId="69" fillId="3" borderId="8" xfId="0" applyNumberFormat="1" applyFont="1" applyFill="1" applyBorder="1" applyAlignment="1">
      <alignment horizontal="left"/>
    </xf>
    <xf numFmtId="0" fontId="69" fillId="3" borderId="8" xfId="0" quotePrefix="1" applyFont="1" applyFill="1" applyBorder="1" applyAlignment="1">
      <alignment horizontal="left" wrapText="1"/>
    </xf>
    <xf numFmtId="172" fontId="69" fillId="3" borderId="8" xfId="0" applyNumberFormat="1" applyFont="1" applyFill="1" applyBorder="1" applyAlignment="1">
      <alignment horizontal="left" wrapText="1"/>
    </xf>
    <xf numFmtId="0" fontId="62" fillId="0" borderId="0" xfId="0" applyFont="1"/>
    <xf numFmtId="14" fontId="69" fillId="7" borderId="8" xfId="0" applyNumberFormat="1" applyFont="1" applyFill="1" applyBorder="1" applyAlignment="1">
      <alignment horizontal="left" vertical="center"/>
    </xf>
    <xf numFmtId="172" fontId="70" fillId="3" borderId="8" xfId="1" applyNumberFormat="1" applyFont="1" applyFill="1" applyBorder="1" applyAlignment="1">
      <alignment horizontal="left" wrapText="1"/>
    </xf>
    <xf numFmtId="14" fontId="71" fillId="3" borderId="8" xfId="2" applyNumberFormat="1" applyFont="1" applyFill="1" applyBorder="1" applyAlignment="1">
      <alignment horizontal="left"/>
    </xf>
    <xf numFmtId="0" fontId="71" fillId="3" borderId="8" xfId="2" applyFont="1" applyFill="1" applyBorder="1" applyAlignment="1">
      <alignment horizontal="left"/>
    </xf>
    <xf numFmtId="0" fontId="71" fillId="3" borderId="8" xfId="0" applyFont="1" applyFill="1" applyBorder="1" applyAlignment="1">
      <alignment horizontal="left" wrapText="1"/>
    </xf>
    <xf numFmtId="167" fontId="71" fillId="3" borderId="8" xfId="2" applyNumberFormat="1" applyFont="1" applyFill="1" applyBorder="1" applyAlignment="1">
      <alignment horizontal="left"/>
    </xf>
    <xf numFmtId="0" fontId="71" fillId="7" borderId="8" xfId="0" quotePrefix="1" applyFont="1" applyFill="1" applyBorder="1" applyAlignment="1">
      <alignment horizontal="left" vertical="center"/>
    </xf>
    <xf numFmtId="0" fontId="71" fillId="3" borderId="8" xfId="0" quotePrefix="1" applyFont="1" applyFill="1" applyBorder="1" applyAlignment="1">
      <alignment horizontal="left" wrapText="1"/>
    </xf>
    <xf numFmtId="172" fontId="71" fillId="3" borderId="8" xfId="0" applyNumberFormat="1" applyFont="1" applyFill="1" applyBorder="1" applyAlignment="1">
      <alignment horizontal="left" wrapText="1"/>
    </xf>
    <xf numFmtId="0" fontId="71" fillId="9" borderId="8" xfId="0" applyFont="1" applyFill="1" applyBorder="1" applyAlignment="1">
      <alignment horizontal="left" vertical="center"/>
    </xf>
    <xf numFmtId="0" fontId="72" fillId="0" borderId="0" xfId="0" applyFont="1"/>
    <xf numFmtId="164" fontId="71" fillId="3" borderId="8" xfId="0" applyNumberFormat="1" applyFont="1" applyFill="1" applyBorder="1" applyAlignment="1">
      <alignment horizontal="left"/>
    </xf>
    <xf numFmtId="49" fontId="71" fillId="3" borderId="8" xfId="0" applyNumberFormat="1" applyFont="1" applyFill="1" applyBorder="1" applyAlignment="1">
      <alignment horizontal="left"/>
    </xf>
    <xf numFmtId="14" fontId="71" fillId="7" borderId="8" xfId="0" applyNumberFormat="1" applyFont="1" applyFill="1" applyBorder="1" applyAlignment="1">
      <alignment horizontal="left" vertical="center"/>
    </xf>
    <xf numFmtId="172" fontId="73" fillId="3" borderId="8" xfId="1" applyNumberFormat="1" applyFont="1" applyFill="1" applyBorder="1" applyAlignment="1">
      <alignment horizontal="left" wrapText="1"/>
    </xf>
    <xf numFmtId="0" fontId="67" fillId="7" borderId="8" xfId="0" applyFont="1" applyFill="1" applyBorder="1" applyAlignment="1">
      <alignment horizontal="left" vertical="center"/>
    </xf>
    <xf numFmtId="1" fontId="67" fillId="7" borderId="8" xfId="0" applyNumberFormat="1" applyFont="1" applyFill="1" applyBorder="1" applyAlignment="1">
      <alignment horizontal="left" vertical="center"/>
    </xf>
    <xf numFmtId="0" fontId="67" fillId="7" borderId="8" xfId="0" quotePrefix="1" applyFont="1" applyFill="1" applyBorder="1" applyAlignment="1">
      <alignment horizontal="left" vertical="center"/>
    </xf>
    <xf numFmtId="49" fontId="67" fillId="7" borderId="8" xfId="0" applyNumberFormat="1" applyFont="1" applyFill="1" applyBorder="1" applyAlignment="1">
      <alignment horizontal="left" vertical="center"/>
    </xf>
    <xf numFmtId="0" fontId="67" fillId="9" borderId="8" xfId="0" applyFont="1" applyFill="1" applyBorder="1" applyAlignment="1">
      <alignment horizontal="left" vertical="center"/>
    </xf>
    <xf numFmtId="14" fontId="64" fillId="7" borderId="12" xfId="0" applyNumberFormat="1" applyFont="1" applyFill="1" applyBorder="1" applyAlignment="1">
      <alignment horizontal="left" vertical="center"/>
    </xf>
    <xf numFmtId="1" fontId="69" fillId="11" borderId="5" xfId="0" applyNumberFormat="1" applyFont="1" applyFill="1" applyBorder="1" applyAlignment="1">
      <alignment horizontal="left"/>
    </xf>
    <xf numFmtId="0" fontId="69" fillId="11" borderId="5" xfId="0" applyFont="1" applyFill="1" applyBorder="1" applyAlignment="1">
      <alignment horizontal="left"/>
    </xf>
    <xf numFmtId="0" fontId="69" fillId="7" borderId="8" xfId="0" applyFont="1" applyFill="1" applyBorder="1" applyAlignment="1">
      <alignment horizontal="left" vertical="center"/>
    </xf>
    <xf numFmtId="0" fontId="69" fillId="0" borderId="8" xfId="0" applyFont="1" applyBorder="1" applyAlignment="1">
      <alignment horizontal="left" wrapText="1"/>
    </xf>
    <xf numFmtId="0" fontId="69" fillId="7" borderId="8" xfId="0" quotePrefix="1" applyFont="1" applyFill="1" applyBorder="1" applyAlignment="1">
      <alignment horizontal="left" vertical="center"/>
    </xf>
    <xf numFmtId="0" fontId="69" fillId="0" borderId="8" xfId="0" quotePrefix="1" applyFont="1" applyBorder="1" applyAlignment="1">
      <alignment horizontal="left" wrapText="1"/>
    </xf>
    <xf numFmtId="172" fontId="69" fillId="0" borderId="8" xfId="0" applyNumberFormat="1" applyFont="1" applyBorder="1" applyAlignment="1">
      <alignment horizontal="left" wrapText="1"/>
    </xf>
    <xf numFmtId="49" fontId="69" fillId="11" borderId="5" xfId="0" applyNumberFormat="1" applyFont="1" applyFill="1" applyBorder="1" applyAlignment="1">
      <alignment horizontal="left"/>
    </xf>
    <xf numFmtId="172" fontId="70" fillId="0" borderId="8" xfId="1" applyNumberFormat="1" applyFont="1" applyBorder="1" applyAlignment="1">
      <alignment horizontal="left" wrapText="1"/>
    </xf>
    <xf numFmtId="1" fontId="69" fillId="7" borderId="8" xfId="0" applyNumberFormat="1" applyFont="1" applyFill="1" applyBorder="1" applyAlignment="1">
      <alignment horizontal="left" vertical="center"/>
    </xf>
    <xf numFmtId="49" fontId="69" fillId="7" borderId="8" xfId="0" applyNumberFormat="1" applyFont="1" applyFill="1" applyBorder="1" applyAlignment="1">
      <alignment horizontal="left" vertical="center"/>
    </xf>
    <xf numFmtId="0" fontId="69" fillId="9" borderId="8" xfId="0" applyFont="1" applyFill="1" applyBorder="1" applyAlignment="1">
      <alignment horizontal="left" vertical="center"/>
    </xf>
    <xf numFmtId="164" fontId="69" fillId="3" borderId="5" xfId="0" applyNumberFormat="1" applyFont="1" applyFill="1" applyBorder="1" applyAlignment="1">
      <alignment horizontal="left"/>
    </xf>
    <xf numFmtId="0" fontId="62" fillId="0" borderId="0" xfId="0" applyFont="1" applyAlignment="1">
      <alignment horizontal="left"/>
    </xf>
    <xf numFmtId="14" fontId="22" fillId="3" borderId="5" xfId="2" applyNumberFormat="1" applyFont="1" applyFill="1" applyBorder="1" applyAlignment="1">
      <alignment horizontal="left"/>
    </xf>
    <xf numFmtId="14" fontId="11" fillId="3" borderId="6" xfId="8" applyNumberFormat="1" applyFont="1" applyFill="1" applyBorder="1" applyAlignment="1">
      <alignment horizontal="left" vertical="top"/>
    </xf>
    <xf numFmtId="14" fontId="11" fillId="3" borderId="5" xfId="8" applyNumberFormat="1" applyFont="1" applyFill="1" applyBorder="1" applyAlignment="1">
      <alignment horizontal="left" vertical="top"/>
    </xf>
    <xf numFmtId="14" fontId="11" fillId="3" borderId="7" xfId="8" applyNumberFormat="1" applyFont="1" applyFill="1" applyBorder="1" applyAlignment="1">
      <alignment horizontal="left" vertical="top"/>
    </xf>
  </cellXfs>
  <cellStyles count="12">
    <cellStyle name="Hipervínculo" xfId="1" builtinId="8"/>
    <cellStyle name="Hipervínculo 3" xfId="11"/>
    <cellStyle name="Millares 10 15" xfId="9"/>
    <cellStyle name="Normal" xfId="0" builtinId="0"/>
    <cellStyle name="Normal 104" xfId="7"/>
    <cellStyle name="Normal 104 5" xfId="2"/>
    <cellStyle name="Normal 2 2 2" xfId="10"/>
    <cellStyle name="Normal 2 2 2 2" xfId="3"/>
    <cellStyle name="Normal 34 5 8" xfId="8"/>
    <cellStyle name="Normal 34 5 8 5" xfId="5"/>
    <cellStyle name="Normal 38 4 7" xfId="6"/>
    <cellStyle name="Normal 4 2" xf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57150</xdr:colOff>
      <xdr:row>1</xdr:row>
      <xdr:rowOff>133351</xdr:rowOff>
    </xdr:from>
    <xdr:ext cx="647700" cy="408354"/>
    <xdr:pic>
      <xdr:nvPicPr>
        <xdr:cNvPr id="2" name="Imagen 1" descr="Logo-Teka">
          <a:extLst>
            <a:ext uri="{FF2B5EF4-FFF2-40B4-BE49-F238E27FC236}">
              <a16:creationId xmlns:a16="http://schemas.microsoft.com/office/drawing/2014/main" xmlns="" id="{FD0EAFC9-9294-4844-AEEB-EA63998D40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3600" y="628651"/>
          <a:ext cx="647700" cy="40835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110166</xdr:colOff>
      <xdr:row>1</xdr:row>
      <xdr:rowOff>87921</xdr:rowOff>
    </xdr:from>
    <xdr:ext cx="561975" cy="395530"/>
    <xdr:pic>
      <xdr:nvPicPr>
        <xdr:cNvPr id="2" name="image1.png" descr="Logo-Teka">
          <a:extLst>
            <a:ext uri="{FF2B5EF4-FFF2-40B4-BE49-F238E27FC236}">
              <a16:creationId xmlns:a16="http://schemas.microsoft.com/office/drawing/2014/main" xmlns="" id="{B57DB346-B1A5-4758-9677-8818F53C375E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6616" y="1008671"/>
          <a:ext cx="561975" cy="395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38100</xdr:colOff>
      <xdr:row>1</xdr:row>
      <xdr:rowOff>57150</xdr:rowOff>
    </xdr:from>
    <xdr:to>
      <xdr:col>1</xdr:col>
      <xdr:colOff>668430</xdr:colOff>
      <xdr:row>3</xdr:row>
      <xdr:rowOff>95250</xdr:rowOff>
    </xdr:to>
    <xdr:pic>
      <xdr:nvPicPr>
        <xdr:cNvPr id="2" name="Imagen 1" descr="Logo-Teka">
          <a:extLst>
            <a:ext uri="{FF2B5EF4-FFF2-40B4-BE49-F238E27FC236}">
              <a16:creationId xmlns:a16="http://schemas.microsoft.com/office/drawing/2014/main" xmlns="" id="{AE7E8418-783C-4F01-9682-43C206BD24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844550" y="13182600"/>
          <a:ext cx="630330" cy="406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109408</xdr:colOff>
      <xdr:row>0</xdr:row>
      <xdr:rowOff>173767</xdr:rowOff>
    </xdr:from>
    <xdr:ext cx="552450" cy="363401"/>
    <xdr:pic>
      <xdr:nvPicPr>
        <xdr:cNvPr id="2" name="Imagen 2" descr="Logo-Teka">
          <a:extLst>
            <a:ext uri="{FF2B5EF4-FFF2-40B4-BE49-F238E27FC236}">
              <a16:creationId xmlns:a16="http://schemas.microsoft.com/office/drawing/2014/main" xmlns="" id="{397CA952-049E-4DCA-9CE3-D97C86F8CD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1408" y="37035517"/>
          <a:ext cx="552450" cy="3634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hyperlink" Target="mailto:miariaptapia@otlook.com" TargetMode="External"/><Relationship Id="rId13" Type="http://schemas.openxmlformats.org/officeDocument/2006/relationships/hyperlink" Target="mailto:md.franciscevallos@gmail.com" TargetMode="External"/><Relationship Id="rId3" Type="http://schemas.openxmlformats.org/officeDocument/2006/relationships/hyperlink" Target="mailto:gladisraquelaguilarmerino@gmail.com" TargetMode="External"/><Relationship Id="rId7" Type="http://schemas.openxmlformats.org/officeDocument/2006/relationships/hyperlink" Target="mailto:andresguillena@gmail.com" TargetMode="External"/><Relationship Id="rId12" Type="http://schemas.openxmlformats.org/officeDocument/2006/relationships/hyperlink" Target="mailto:marcovelez-18@hotmail.com" TargetMode="External"/><Relationship Id="rId2" Type="http://schemas.openxmlformats.org/officeDocument/2006/relationships/hyperlink" Target="mailto:mariafalconiabad@gmail.com" TargetMode="External"/><Relationship Id="rId1" Type="http://schemas.openxmlformats.org/officeDocument/2006/relationships/hyperlink" Target="mailto:nchumbay@ups.edu.ec" TargetMode="External"/><Relationship Id="rId6" Type="http://schemas.openxmlformats.org/officeDocument/2006/relationships/hyperlink" Target="mailto:acdpablo19@outlook.com" TargetMode="External"/><Relationship Id="rId11" Type="http://schemas.openxmlformats.org/officeDocument/2006/relationships/hyperlink" Target="mailto:CRISTIANTJ91@GMAIL.COM" TargetMode="External"/><Relationship Id="rId5" Type="http://schemas.openxmlformats.org/officeDocument/2006/relationships/hyperlink" Target="mailto:daniels.velez@yahoo.com" TargetMode="External"/><Relationship Id="rId10" Type="http://schemas.openxmlformats.org/officeDocument/2006/relationships/hyperlink" Target="mailto:nancijvivar@gmail.com" TargetMode="External"/><Relationship Id="rId4" Type="http://schemas.openxmlformats.org/officeDocument/2006/relationships/hyperlink" Target="mailto:notificacionesempo@gmail.com" TargetMode="External"/><Relationship Id="rId9" Type="http://schemas.openxmlformats.org/officeDocument/2006/relationships/hyperlink" Target="mailto:cris-rocio2008@hotmail.com" TargetMode="External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hyperlink" Target="mailto:carlosvalverde_r89@hotmail.com" TargetMode="External"/><Relationship Id="rId13" Type="http://schemas.openxmlformats.org/officeDocument/2006/relationships/hyperlink" Target="mailto:contabilidad@maximaecuador.com" TargetMode="External"/><Relationship Id="rId18" Type="http://schemas.openxmlformats.org/officeDocument/2006/relationships/hyperlink" Target="mailto:ulloamichi@yahoo.com" TargetMode="External"/><Relationship Id="rId3" Type="http://schemas.openxmlformats.org/officeDocument/2006/relationships/hyperlink" Target="mailto:gasovip@hotmail.com" TargetMode="External"/><Relationship Id="rId7" Type="http://schemas.openxmlformats.org/officeDocument/2006/relationships/hyperlink" Target="mailto:carlosvalverde_r89@hotmail.com" TargetMode="External"/><Relationship Id="rId12" Type="http://schemas.openxmlformats.org/officeDocument/2006/relationships/hyperlink" Target="mailto:contabilidad@maximaecuador.com" TargetMode="External"/><Relationship Id="rId17" Type="http://schemas.openxmlformats.org/officeDocument/2006/relationships/hyperlink" Target="mailto:ulloamichi@yahoo.com" TargetMode="External"/><Relationship Id="rId2" Type="http://schemas.openxmlformats.org/officeDocument/2006/relationships/hyperlink" Target="mailto:carlos.romero-81@hotmail.com" TargetMode="External"/><Relationship Id="rId16" Type="http://schemas.openxmlformats.org/officeDocument/2006/relationships/hyperlink" Target="mailto:isra.jaramillosotto@gmail.com" TargetMode="External"/><Relationship Id="rId1" Type="http://schemas.openxmlformats.org/officeDocument/2006/relationships/hyperlink" Target="mailto:carlos.romero-81@hotmail.com" TargetMode="External"/><Relationship Id="rId6" Type="http://schemas.openxmlformats.org/officeDocument/2006/relationships/hyperlink" Target="mailto:carlosvalverde_r89@hotmail.com" TargetMode="External"/><Relationship Id="rId11" Type="http://schemas.openxmlformats.org/officeDocument/2006/relationships/hyperlink" Target="mailto:alina.guerrerof@outlook.com" TargetMode="External"/><Relationship Id="rId5" Type="http://schemas.openxmlformats.org/officeDocument/2006/relationships/hyperlink" Target="mailto:gasovip@hotmail.com" TargetMode="External"/><Relationship Id="rId15" Type="http://schemas.openxmlformats.org/officeDocument/2006/relationships/hyperlink" Target="mailto:isra.jaramillosotto@gmail.com" TargetMode="External"/><Relationship Id="rId10" Type="http://schemas.openxmlformats.org/officeDocument/2006/relationships/hyperlink" Target="mailto:alina.guerrerof@outlook.com" TargetMode="External"/><Relationship Id="rId19" Type="http://schemas.openxmlformats.org/officeDocument/2006/relationships/drawing" Target="../drawings/drawing3.xml"/><Relationship Id="rId4" Type="http://schemas.openxmlformats.org/officeDocument/2006/relationships/hyperlink" Target="mailto:gasovip@hotmail.com" TargetMode="External"/><Relationship Id="rId9" Type="http://schemas.openxmlformats.org/officeDocument/2006/relationships/hyperlink" Target="mailto:carlosvalverde_r89@hotmail.com" TargetMode="External"/><Relationship Id="rId14" Type="http://schemas.openxmlformats.org/officeDocument/2006/relationships/hyperlink" Target="mailto:isra.jaramillosotto@gmail.com" TargetMode="Externa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hyperlink" Target="mailto:edwuardleo6@gmail.com" TargetMode="External"/><Relationship Id="rId2" Type="http://schemas.openxmlformats.org/officeDocument/2006/relationships/hyperlink" Target="mailto:edwuardleo6@gmail.com" TargetMode="External"/><Relationship Id="rId1" Type="http://schemas.openxmlformats.org/officeDocument/2006/relationships/hyperlink" Target="mailto:cynthmills75@gmail.com" TargetMode="External"/><Relationship Id="rId5" Type="http://schemas.openxmlformats.org/officeDocument/2006/relationships/drawing" Target="../drawings/drawing4.xml"/><Relationship Id="rId4" Type="http://schemas.openxmlformats.org/officeDocument/2006/relationships/hyperlink" Target="mailto:maeso52@hotmail.com" TargetMode="Externa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V10"/>
  <sheetViews>
    <sheetView topLeftCell="C1" workbookViewId="0">
      <selection activeCell="H11" sqref="H11"/>
    </sheetView>
  </sheetViews>
  <sheetFormatPr baseColWidth="10" defaultRowHeight="15"/>
  <sheetData>
    <row r="2" spans="1:2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</row>
    <row r="3" spans="1:22">
      <c r="A3" s="1"/>
      <c r="B3" s="1"/>
      <c r="C3" s="2" t="s">
        <v>0</v>
      </c>
      <c r="D3" s="3"/>
      <c r="E3" s="3"/>
      <c r="F3" s="1"/>
      <c r="G3" s="3"/>
      <c r="H3" s="3"/>
      <c r="I3" s="3"/>
      <c r="J3" s="3"/>
      <c r="K3" s="3"/>
      <c r="L3" s="3"/>
      <c r="M3" s="3"/>
      <c r="N3" s="3"/>
      <c r="O3" s="3"/>
      <c r="P3" s="1"/>
    </row>
    <row r="4" spans="1:22" ht="15.75" thickBot="1">
      <c r="A4" s="1"/>
      <c r="B4" s="3"/>
      <c r="C4" s="4" t="s">
        <v>1</v>
      </c>
      <c r="D4" s="4"/>
      <c r="E4" s="4"/>
      <c r="F4" s="1"/>
      <c r="G4" s="5" t="s">
        <v>2</v>
      </c>
      <c r="H4" s="6"/>
      <c r="I4" s="6"/>
      <c r="J4" s="6" t="s">
        <v>3</v>
      </c>
      <c r="K4" s="1"/>
      <c r="L4" s="5" t="s">
        <v>102</v>
      </c>
      <c r="M4" s="6"/>
      <c r="N4" s="6"/>
      <c r="O4" s="6"/>
      <c r="P4" s="1"/>
    </row>
    <row r="5" spans="1:22" ht="33.75">
      <c r="A5" s="1"/>
      <c r="B5" s="7" t="s">
        <v>4</v>
      </c>
      <c r="C5" s="8" t="s">
        <v>5</v>
      </c>
      <c r="D5" s="8" t="s">
        <v>6</v>
      </c>
      <c r="E5" s="8" t="s">
        <v>7</v>
      </c>
      <c r="F5" s="8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14</v>
      </c>
      <c r="M5" s="9" t="s">
        <v>15</v>
      </c>
      <c r="N5" s="9" t="s">
        <v>16</v>
      </c>
      <c r="O5" s="9" t="s">
        <v>17</v>
      </c>
      <c r="P5" s="10" t="s">
        <v>18</v>
      </c>
      <c r="Q5" s="10" t="s">
        <v>11</v>
      </c>
      <c r="R5" s="10"/>
      <c r="S5" s="248"/>
      <c r="T5" s="248" t="s">
        <v>81</v>
      </c>
    </row>
    <row r="6" spans="1:22" ht="15.75">
      <c r="A6" s="11">
        <v>1</v>
      </c>
      <c r="B6" s="12" t="s">
        <v>89</v>
      </c>
      <c r="C6" s="13"/>
      <c r="D6" s="14" t="s">
        <v>89</v>
      </c>
      <c r="E6" s="15"/>
      <c r="F6" s="16"/>
      <c r="G6" s="15"/>
      <c r="H6" s="17"/>
      <c r="I6" s="17" t="s">
        <v>20</v>
      </c>
      <c r="J6" s="18" t="s">
        <v>21</v>
      </c>
      <c r="K6" s="12"/>
      <c r="L6" s="16"/>
      <c r="M6" s="16" t="s">
        <v>22</v>
      </c>
      <c r="N6" s="19"/>
      <c r="O6" s="20"/>
      <c r="P6" s="19" t="s">
        <v>23</v>
      </c>
      <c r="Q6" s="21" t="s">
        <v>24</v>
      </c>
      <c r="R6" s="22"/>
      <c r="S6" s="23"/>
      <c r="T6" s="24"/>
      <c r="U6" s="11"/>
      <c r="V6" s="11"/>
    </row>
    <row r="7" spans="1:22" ht="15.75">
      <c r="A7" s="11">
        <v>2</v>
      </c>
      <c r="B7" s="25"/>
      <c r="C7" s="26"/>
      <c r="D7" s="27"/>
      <c r="E7" s="28"/>
      <c r="F7" s="29"/>
      <c r="G7" s="28"/>
      <c r="H7" s="30"/>
      <c r="I7" s="30" t="s">
        <v>20</v>
      </c>
      <c r="J7" s="31" t="s">
        <v>21</v>
      </c>
      <c r="K7" s="25"/>
      <c r="L7" s="29"/>
      <c r="M7" s="29" t="s">
        <v>22</v>
      </c>
      <c r="N7" s="32"/>
      <c r="O7" s="33"/>
      <c r="P7" s="32" t="s">
        <v>23</v>
      </c>
      <c r="Q7" s="34" t="s">
        <v>24</v>
      </c>
      <c r="R7" s="22"/>
      <c r="S7" s="23"/>
      <c r="T7" s="24"/>
      <c r="U7" s="11"/>
      <c r="V7" s="11"/>
    </row>
    <row r="8" spans="1:22" ht="15.75">
      <c r="A8" s="11">
        <v>3</v>
      </c>
      <c r="B8" s="25"/>
      <c r="C8" s="26"/>
      <c r="D8" s="27"/>
      <c r="E8" s="28"/>
      <c r="F8" s="29"/>
      <c r="G8" s="28"/>
      <c r="H8" s="30"/>
      <c r="I8" s="30" t="s">
        <v>20</v>
      </c>
      <c r="J8" s="31" t="s">
        <v>21</v>
      </c>
      <c r="K8" s="25"/>
      <c r="L8" s="29"/>
      <c r="M8" s="29" t="s">
        <v>22</v>
      </c>
      <c r="N8" s="32"/>
      <c r="O8" s="33"/>
      <c r="P8" s="32" t="s">
        <v>23</v>
      </c>
      <c r="Q8" s="34" t="s">
        <v>24</v>
      </c>
      <c r="R8" s="22"/>
      <c r="S8" s="23"/>
      <c r="T8" s="24"/>
      <c r="U8" s="11"/>
      <c r="V8" s="11"/>
    </row>
    <row r="9" spans="1:22" ht="15.75">
      <c r="A9" s="11">
        <v>4</v>
      </c>
      <c r="B9" s="35"/>
      <c r="C9" s="36"/>
      <c r="D9" s="37"/>
      <c r="E9" s="38"/>
      <c r="F9" s="39"/>
      <c r="G9" s="38"/>
      <c r="H9" s="40"/>
      <c r="I9" s="40" t="s">
        <v>20</v>
      </c>
      <c r="J9" s="41" t="s">
        <v>21</v>
      </c>
      <c r="K9" s="35"/>
      <c r="L9" s="39"/>
      <c r="M9" s="39" t="s">
        <v>22</v>
      </c>
      <c r="N9" s="42"/>
      <c r="O9" s="43"/>
      <c r="P9" s="42" t="s">
        <v>23</v>
      </c>
      <c r="Q9" s="44" t="s">
        <v>24</v>
      </c>
      <c r="R9" s="22"/>
      <c r="S9" s="23"/>
      <c r="T9" s="24"/>
      <c r="U9" s="11"/>
      <c r="V9" s="11"/>
    </row>
    <row r="10" spans="1:22">
      <c r="O10" s="45">
        <f>SUM(O6:O9)</f>
        <v>0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P15"/>
  <sheetViews>
    <sheetView topLeftCell="A4" workbookViewId="0">
      <selection activeCell="K6" sqref="K6:K11"/>
    </sheetView>
  </sheetViews>
  <sheetFormatPr baseColWidth="10" defaultRowHeight="15"/>
  <cols>
    <col min="3" max="3" width="18.5703125" customWidth="1"/>
    <col min="7" max="7" width="14.85546875" customWidth="1"/>
    <col min="11" max="11" width="11.85546875" bestFit="1" customWidth="1"/>
    <col min="16" max="16" width="17.85546875" customWidth="1"/>
  </cols>
  <sheetData>
    <row r="2" spans="1:16">
      <c r="A2" s="46"/>
      <c r="B2" s="47"/>
      <c r="C2" s="48"/>
      <c r="D2" s="48"/>
      <c r="E2" s="48"/>
      <c r="F2" s="48"/>
      <c r="G2" s="48"/>
      <c r="H2" s="48"/>
      <c r="I2" s="48"/>
      <c r="J2" s="48"/>
      <c r="K2" s="49"/>
      <c r="L2" s="48"/>
      <c r="M2" s="48"/>
      <c r="N2" s="48"/>
      <c r="O2" s="50"/>
      <c r="P2" s="48"/>
    </row>
    <row r="3" spans="1:16">
      <c r="A3" s="48"/>
      <c r="B3" s="47"/>
      <c r="C3" s="51" t="s">
        <v>0</v>
      </c>
      <c r="D3" s="52"/>
      <c r="E3" s="52"/>
      <c r="F3" s="48"/>
      <c r="G3" s="52"/>
      <c r="H3" s="52"/>
      <c r="I3" s="52"/>
      <c r="J3" s="52"/>
      <c r="K3" s="53"/>
      <c r="L3" s="52"/>
      <c r="M3" s="52"/>
      <c r="N3" s="52"/>
      <c r="O3" s="54"/>
      <c r="P3" s="48"/>
    </row>
    <row r="4" spans="1:16" ht="15.75">
      <c r="A4" s="48"/>
      <c r="B4" s="55"/>
      <c r="C4" s="56" t="s">
        <v>1</v>
      </c>
      <c r="D4" s="56"/>
      <c r="E4" s="56"/>
      <c r="F4" s="48"/>
      <c r="G4" s="48"/>
      <c r="H4" s="57"/>
      <c r="I4" s="58" t="s">
        <v>26</v>
      </c>
      <c r="J4" s="57"/>
      <c r="K4" s="49"/>
      <c r="L4" s="59" t="s">
        <v>103</v>
      </c>
      <c r="M4" s="57"/>
      <c r="N4" s="57"/>
      <c r="O4" s="50"/>
      <c r="P4" s="48"/>
    </row>
    <row r="5" spans="1:16" ht="33.75">
      <c r="A5" s="48"/>
      <c r="B5" s="60" t="s">
        <v>4</v>
      </c>
      <c r="C5" s="61" t="s">
        <v>5</v>
      </c>
      <c r="D5" s="61" t="s">
        <v>6</v>
      </c>
      <c r="E5" s="61" t="s">
        <v>7</v>
      </c>
      <c r="F5" s="61" t="s">
        <v>8</v>
      </c>
      <c r="G5" s="61" t="s">
        <v>9</v>
      </c>
      <c r="H5" s="61" t="s">
        <v>10</v>
      </c>
      <c r="I5" s="61" t="s">
        <v>11</v>
      </c>
      <c r="J5" s="61" t="s">
        <v>12</v>
      </c>
      <c r="K5" s="62" t="s">
        <v>13</v>
      </c>
      <c r="L5" s="62" t="s">
        <v>14</v>
      </c>
      <c r="M5" s="62" t="s">
        <v>15</v>
      </c>
      <c r="N5" s="62" t="s">
        <v>16</v>
      </c>
      <c r="O5" s="63" t="s">
        <v>17</v>
      </c>
      <c r="P5" s="62" t="s">
        <v>18</v>
      </c>
    </row>
    <row r="6" spans="1:16" ht="15.75">
      <c r="A6" s="64">
        <v>1</v>
      </c>
      <c r="B6" s="65">
        <v>45156</v>
      </c>
      <c r="C6" s="66" t="s">
        <v>107</v>
      </c>
      <c r="D6" s="66" t="s">
        <v>320</v>
      </c>
      <c r="E6" s="66">
        <v>111570003</v>
      </c>
      <c r="F6" s="67" t="s">
        <v>106</v>
      </c>
      <c r="G6" s="68" t="s">
        <v>108</v>
      </c>
      <c r="H6" s="66" t="s">
        <v>25</v>
      </c>
      <c r="I6" s="66" t="s">
        <v>3</v>
      </c>
      <c r="J6" s="66" t="s">
        <v>88</v>
      </c>
      <c r="K6" s="347">
        <v>45163</v>
      </c>
      <c r="L6" s="66" t="s">
        <v>109</v>
      </c>
      <c r="M6" s="66" t="s">
        <v>115</v>
      </c>
      <c r="N6" s="66">
        <v>998765069</v>
      </c>
      <c r="O6" s="69">
        <v>29</v>
      </c>
      <c r="P6" s="66" t="s">
        <v>110</v>
      </c>
    </row>
    <row r="7" spans="1:16" ht="15.75">
      <c r="A7" s="64">
        <v>2</v>
      </c>
      <c r="B7" s="258"/>
      <c r="C7" s="259" t="s">
        <v>111</v>
      </c>
      <c r="D7" s="259"/>
      <c r="E7" s="259">
        <v>111570002</v>
      </c>
      <c r="F7" s="260" t="s">
        <v>27</v>
      </c>
      <c r="G7" s="261" t="s">
        <v>112</v>
      </c>
      <c r="H7" s="259" t="s">
        <v>25</v>
      </c>
      <c r="I7" s="66" t="s">
        <v>3</v>
      </c>
      <c r="J7" s="66" t="s">
        <v>88</v>
      </c>
      <c r="K7" s="347">
        <v>45168</v>
      </c>
      <c r="L7" s="66" t="s">
        <v>113</v>
      </c>
      <c r="M7" s="66" t="s">
        <v>114</v>
      </c>
      <c r="N7" s="66">
        <v>958639951</v>
      </c>
      <c r="O7" s="262">
        <v>29</v>
      </c>
      <c r="P7" s="66" t="s">
        <v>98</v>
      </c>
    </row>
    <row r="8" spans="1:16" ht="15.75">
      <c r="A8" s="64">
        <v>3</v>
      </c>
      <c r="B8" s="258"/>
      <c r="C8" s="259" t="s">
        <v>111</v>
      </c>
      <c r="D8" s="259"/>
      <c r="E8" s="259">
        <v>11157002</v>
      </c>
      <c r="F8" s="260" t="s">
        <v>27</v>
      </c>
      <c r="G8" s="261" t="s">
        <v>116</v>
      </c>
      <c r="H8" s="259" t="s">
        <v>25</v>
      </c>
      <c r="I8" s="66" t="s">
        <v>3</v>
      </c>
      <c r="J8" s="66" t="s">
        <v>88</v>
      </c>
      <c r="K8" s="347">
        <v>45168</v>
      </c>
      <c r="L8" s="66" t="s">
        <v>113</v>
      </c>
      <c r="M8" s="66" t="s">
        <v>114</v>
      </c>
      <c r="N8" s="66">
        <v>958639951</v>
      </c>
      <c r="O8" s="262">
        <v>29</v>
      </c>
      <c r="P8" s="66" t="s">
        <v>98</v>
      </c>
    </row>
    <row r="9" spans="1:16" ht="15.75">
      <c r="A9" s="64">
        <v>4</v>
      </c>
      <c r="B9" s="70"/>
      <c r="C9" s="71" t="s">
        <v>90</v>
      </c>
      <c r="D9" s="71"/>
      <c r="E9" s="71">
        <v>112570002</v>
      </c>
      <c r="F9" s="72" t="s">
        <v>106</v>
      </c>
      <c r="G9" s="73" t="s">
        <v>97</v>
      </c>
      <c r="H9" s="71" t="s">
        <v>25</v>
      </c>
      <c r="I9" s="66" t="s">
        <v>3</v>
      </c>
      <c r="J9" s="66" t="s">
        <v>88</v>
      </c>
      <c r="K9" s="347">
        <v>45157</v>
      </c>
      <c r="L9" s="66" t="s">
        <v>19</v>
      </c>
      <c r="M9" s="66" t="s">
        <v>96</v>
      </c>
      <c r="N9" s="66">
        <v>991172261</v>
      </c>
      <c r="O9" s="74">
        <v>29</v>
      </c>
      <c r="P9" s="66" t="s">
        <v>98</v>
      </c>
    </row>
    <row r="10" spans="1:16" ht="15.75">
      <c r="A10" s="11">
        <v>5</v>
      </c>
      <c r="B10" s="70"/>
      <c r="C10" s="71" t="s">
        <v>90</v>
      </c>
      <c r="D10" s="71"/>
      <c r="E10" s="71">
        <v>112570002</v>
      </c>
      <c r="F10" s="72" t="s">
        <v>27</v>
      </c>
      <c r="G10" s="73" t="s">
        <v>97</v>
      </c>
      <c r="H10" s="71" t="s">
        <v>25</v>
      </c>
      <c r="I10" s="66" t="s">
        <v>3</v>
      </c>
      <c r="J10" s="66" t="s">
        <v>88</v>
      </c>
      <c r="K10" s="347">
        <v>45157</v>
      </c>
      <c r="L10" s="66" t="s">
        <v>19</v>
      </c>
      <c r="M10" s="66" t="s">
        <v>96</v>
      </c>
      <c r="N10" s="66">
        <v>991172261</v>
      </c>
      <c r="O10" s="74">
        <v>29</v>
      </c>
      <c r="P10" s="66" t="s">
        <v>98</v>
      </c>
    </row>
    <row r="11" spans="1:16" ht="15.75">
      <c r="A11" s="263">
        <v>6</v>
      </c>
      <c r="B11" s="70">
        <v>45052</v>
      </c>
      <c r="C11" s="71" t="s">
        <v>107</v>
      </c>
      <c r="D11" s="71" t="s">
        <v>118</v>
      </c>
      <c r="E11" s="71">
        <v>111570003</v>
      </c>
      <c r="F11" s="72" t="s">
        <v>106</v>
      </c>
      <c r="G11" s="73" t="s">
        <v>119</v>
      </c>
      <c r="H11" s="71" t="s">
        <v>25</v>
      </c>
      <c r="I11" s="66" t="s">
        <v>3</v>
      </c>
      <c r="J11" s="66" t="s">
        <v>88</v>
      </c>
      <c r="K11" s="347">
        <v>45183</v>
      </c>
      <c r="L11" s="66" t="s">
        <v>120</v>
      </c>
      <c r="M11" s="66" t="s">
        <v>121</v>
      </c>
      <c r="N11" s="66">
        <v>998053299</v>
      </c>
      <c r="O11" s="74">
        <v>29</v>
      </c>
      <c r="P11" s="66" t="s">
        <v>110</v>
      </c>
    </row>
    <row r="12" spans="1:16" ht="15.75">
      <c r="G12" s="75"/>
      <c r="H12" s="76"/>
      <c r="I12" s="76"/>
      <c r="O12" s="152">
        <f>SUM(O6:O11)</f>
        <v>174</v>
      </c>
    </row>
    <row r="15" spans="1:16" ht="15.75">
      <c r="G15">
        <v>6</v>
      </c>
      <c r="H15" s="75">
        <v>29</v>
      </c>
      <c r="I15">
        <v>174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U21"/>
  <sheetViews>
    <sheetView topLeftCell="H1" workbookViewId="0">
      <selection activeCell="S20" sqref="S20"/>
    </sheetView>
  </sheetViews>
  <sheetFormatPr baseColWidth="10" defaultRowHeight="15"/>
  <cols>
    <col min="6" max="6" width="18.28515625" customWidth="1"/>
    <col min="7" max="7" width="18.7109375" customWidth="1"/>
    <col min="14" max="14" width="15.85546875" customWidth="1"/>
  </cols>
  <sheetData>
    <row r="2" spans="1:21">
      <c r="B2" s="77"/>
      <c r="C2" s="78" t="s">
        <v>28</v>
      </c>
      <c r="F2" s="79"/>
      <c r="G2" s="80"/>
      <c r="H2" s="81"/>
      <c r="I2" s="82"/>
      <c r="J2" s="83"/>
      <c r="K2" s="84"/>
      <c r="L2" s="85"/>
      <c r="M2" s="85"/>
      <c r="N2" s="77"/>
      <c r="O2" s="86"/>
      <c r="T2" s="87"/>
    </row>
    <row r="3" spans="1:21">
      <c r="B3" s="77"/>
      <c r="C3" s="88" t="s">
        <v>1</v>
      </c>
      <c r="F3" s="89"/>
      <c r="G3" s="80"/>
      <c r="H3" s="81"/>
      <c r="I3" s="82"/>
      <c r="J3" s="83" t="s">
        <v>29</v>
      </c>
      <c r="K3" s="84"/>
      <c r="L3" s="85"/>
      <c r="M3" s="90"/>
      <c r="N3" s="91" t="s">
        <v>105</v>
      </c>
      <c r="O3" s="86"/>
      <c r="P3" s="92"/>
      <c r="T3" s="87"/>
    </row>
    <row r="4" spans="1:21" ht="24.75">
      <c r="B4" s="93" t="s">
        <v>30</v>
      </c>
      <c r="C4" s="93" t="s">
        <v>31</v>
      </c>
      <c r="D4" s="93" t="s">
        <v>32</v>
      </c>
      <c r="E4" s="93" t="s">
        <v>6</v>
      </c>
      <c r="F4" s="93" t="s">
        <v>33</v>
      </c>
      <c r="G4" s="93" t="s">
        <v>34</v>
      </c>
      <c r="H4" s="93" t="s">
        <v>35</v>
      </c>
      <c r="I4" s="93" t="s">
        <v>10</v>
      </c>
      <c r="J4" s="93" t="s">
        <v>36</v>
      </c>
      <c r="K4" s="93" t="s">
        <v>37</v>
      </c>
      <c r="L4" s="94" t="s">
        <v>14</v>
      </c>
      <c r="M4" s="94" t="s">
        <v>38</v>
      </c>
      <c r="N4" s="93" t="s">
        <v>16</v>
      </c>
      <c r="O4" s="95" t="s">
        <v>17</v>
      </c>
      <c r="P4" s="93" t="s">
        <v>39</v>
      </c>
      <c r="Q4" s="93" t="s">
        <v>40</v>
      </c>
      <c r="R4" s="96" t="s">
        <v>41</v>
      </c>
      <c r="S4" s="93" t="s">
        <v>42</v>
      </c>
      <c r="T4" s="93" t="s">
        <v>43</v>
      </c>
      <c r="U4" s="97" t="s">
        <v>44</v>
      </c>
    </row>
    <row r="5" spans="1:21">
      <c r="A5" s="98">
        <v>1</v>
      </c>
      <c r="B5" s="101">
        <v>45159</v>
      </c>
      <c r="C5" s="102">
        <v>44877</v>
      </c>
      <c r="D5" s="103" t="s">
        <v>226</v>
      </c>
      <c r="E5" s="103" t="s">
        <v>227</v>
      </c>
      <c r="F5" s="104">
        <v>41597411</v>
      </c>
      <c r="G5" s="105" t="s">
        <v>228</v>
      </c>
      <c r="H5" s="106" t="s">
        <v>229</v>
      </c>
      <c r="I5" s="104" t="s">
        <v>25</v>
      </c>
      <c r="J5" s="99" t="s">
        <v>3</v>
      </c>
      <c r="K5" s="99" t="s">
        <v>88</v>
      </c>
      <c r="L5" s="103" t="s">
        <v>230</v>
      </c>
      <c r="M5" s="107" t="s">
        <v>231</v>
      </c>
      <c r="N5" s="108">
        <v>988689613</v>
      </c>
      <c r="O5" s="109">
        <v>29</v>
      </c>
      <c r="P5" s="110" t="s">
        <v>45</v>
      </c>
      <c r="Q5" s="100" t="s">
        <v>3</v>
      </c>
      <c r="R5" s="111" t="s">
        <v>46</v>
      </c>
      <c r="S5" s="111" t="s">
        <v>227</v>
      </c>
      <c r="T5" s="112">
        <v>103124749</v>
      </c>
      <c r="U5" s="113" t="s">
        <v>232</v>
      </c>
    </row>
    <row r="6" spans="1:21">
      <c r="A6" s="98">
        <v>2</v>
      </c>
      <c r="B6" s="101">
        <v>45159</v>
      </c>
      <c r="C6" s="101">
        <v>45150</v>
      </c>
      <c r="D6" s="101" t="s">
        <v>173</v>
      </c>
      <c r="E6" s="101" t="s">
        <v>233</v>
      </c>
      <c r="F6" s="104">
        <v>112570093</v>
      </c>
      <c r="G6" s="101" t="s">
        <v>234</v>
      </c>
      <c r="H6" s="101" t="s">
        <v>235</v>
      </c>
      <c r="I6" s="104">
        <v>398508</v>
      </c>
      <c r="J6" s="101" t="s">
        <v>3</v>
      </c>
      <c r="K6" s="101" t="s">
        <v>88</v>
      </c>
      <c r="L6" s="101" t="s">
        <v>236</v>
      </c>
      <c r="M6" s="101" t="s">
        <v>237</v>
      </c>
      <c r="N6" s="108">
        <v>988359937</v>
      </c>
      <c r="O6" s="109">
        <v>29</v>
      </c>
      <c r="P6" s="110" t="s">
        <v>45</v>
      </c>
      <c r="Q6" s="100" t="s">
        <v>3</v>
      </c>
      <c r="R6" s="101"/>
      <c r="S6" s="101" t="s">
        <v>233</v>
      </c>
      <c r="T6" s="112">
        <v>103031464</v>
      </c>
      <c r="U6" s="264" t="s">
        <v>238</v>
      </c>
    </row>
    <row r="7" spans="1:21">
      <c r="A7" s="98">
        <v>3</v>
      </c>
      <c r="B7" s="101">
        <v>45160</v>
      </c>
      <c r="C7" s="101">
        <v>45159</v>
      </c>
      <c r="D7" s="101" t="s">
        <v>19</v>
      </c>
      <c r="E7" s="101" t="s">
        <v>239</v>
      </c>
      <c r="F7" s="104">
        <v>40467304</v>
      </c>
      <c r="G7" s="101" t="s">
        <v>240</v>
      </c>
      <c r="H7" s="101" t="s">
        <v>241</v>
      </c>
      <c r="I7" s="101" t="s">
        <v>25</v>
      </c>
      <c r="J7" s="101" t="s">
        <v>3</v>
      </c>
      <c r="K7" s="101" t="s">
        <v>88</v>
      </c>
      <c r="L7" s="101" t="s">
        <v>242</v>
      </c>
      <c r="M7" s="101" t="s">
        <v>243</v>
      </c>
      <c r="N7" s="108">
        <v>980648878</v>
      </c>
      <c r="O7" s="109">
        <v>15</v>
      </c>
      <c r="P7" s="110" t="s">
        <v>45</v>
      </c>
      <c r="Q7" s="100" t="s">
        <v>3</v>
      </c>
      <c r="R7" s="101"/>
      <c r="S7" s="101" t="s">
        <v>239</v>
      </c>
      <c r="T7" s="112">
        <v>1900224435</v>
      </c>
      <c r="U7" s="264" t="s">
        <v>244</v>
      </c>
    </row>
    <row r="8" spans="1:21">
      <c r="A8" s="98">
        <v>4</v>
      </c>
      <c r="B8" s="101">
        <v>45160</v>
      </c>
      <c r="C8" s="101">
        <v>45153</v>
      </c>
      <c r="D8" s="101" t="s">
        <v>245</v>
      </c>
      <c r="E8" s="101" t="s">
        <v>246</v>
      </c>
      <c r="F8" s="104">
        <v>40461543</v>
      </c>
      <c r="G8" s="101" t="s">
        <v>247</v>
      </c>
      <c r="H8" s="101" t="s">
        <v>248</v>
      </c>
      <c r="I8" s="101" t="s">
        <v>25</v>
      </c>
      <c r="J8" s="101" t="s">
        <v>3</v>
      </c>
      <c r="K8" s="101" t="s">
        <v>88</v>
      </c>
      <c r="L8" s="101" t="s">
        <v>249</v>
      </c>
      <c r="M8" s="101" t="s">
        <v>250</v>
      </c>
      <c r="N8" s="108">
        <v>995731209</v>
      </c>
      <c r="O8" s="109">
        <v>15</v>
      </c>
      <c r="P8" s="110" t="s">
        <v>45</v>
      </c>
      <c r="Q8" s="100" t="s">
        <v>3</v>
      </c>
      <c r="R8" s="101"/>
      <c r="S8" s="101" t="s">
        <v>246</v>
      </c>
      <c r="T8" s="112">
        <v>105547152</v>
      </c>
      <c r="U8" s="264" t="s">
        <v>251</v>
      </c>
    </row>
    <row r="9" spans="1:21">
      <c r="A9" s="98">
        <v>5</v>
      </c>
      <c r="B9" s="101">
        <v>45161</v>
      </c>
      <c r="C9" s="101">
        <v>45143</v>
      </c>
      <c r="D9" s="101" t="s">
        <v>19</v>
      </c>
      <c r="E9" s="101" t="s">
        <v>305</v>
      </c>
      <c r="F9" s="104">
        <v>111030002</v>
      </c>
      <c r="G9" s="101" t="s">
        <v>252</v>
      </c>
      <c r="H9" s="101" t="s">
        <v>253</v>
      </c>
      <c r="I9" s="101" t="s">
        <v>25</v>
      </c>
      <c r="J9" s="101" t="s">
        <v>3</v>
      </c>
      <c r="K9" s="101" t="s">
        <v>88</v>
      </c>
      <c r="L9" s="101" t="s">
        <v>254</v>
      </c>
      <c r="M9" s="101" t="s">
        <v>255</v>
      </c>
      <c r="N9" s="108">
        <v>983734594</v>
      </c>
      <c r="O9" s="109">
        <v>29</v>
      </c>
      <c r="P9" s="110" t="s">
        <v>45</v>
      </c>
      <c r="Q9" s="100" t="s">
        <v>3</v>
      </c>
      <c r="R9" s="101"/>
      <c r="S9" s="101" t="s">
        <v>305</v>
      </c>
      <c r="T9" s="112">
        <v>103797593</v>
      </c>
      <c r="U9" s="264" t="s">
        <v>256</v>
      </c>
    </row>
    <row r="10" spans="1:21">
      <c r="A10" s="98">
        <v>7</v>
      </c>
      <c r="B10" s="101">
        <v>45168</v>
      </c>
      <c r="C10" s="101">
        <v>45139</v>
      </c>
      <c r="D10" s="101" t="s">
        <v>19</v>
      </c>
      <c r="E10" s="101" t="s">
        <v>337</v>
      </c>
      <c r="F10" s="104">
        <v>40224502</v>
      </c>
      <c r="G10" s="101" t="s">
        <v>257</v>
      </c>
      <c r="H10" s="101" t="s">
        <v>258</v>
      </c>
      <c r="I10" s="101" t="s">
        <v>25</v>
      </c>
      <c r="J10" s="101" t="s">
        <v>3</v>
      </c>
      <c r="K10" s="101" t="s">
        <v>88</v>
      </c>
      <c r="L10" s="101" t="s">
        <v>259</v>
      </c>
      <c r="M10" s="101" t="s">
        <v>260</v>
      </c>
      <c r="N10" s="108">
        <v>980472562</v>
      </c>
      <c r="O10" s="109">
        <v>29</v>
      </c>
      <c r="P10" s="110" t="s">
        <v>45</v>
      </c>
      <c r="Q10" s="100" t="s">
        <v>3</v>
      </c>
      <c r="R10" s="101"/>
      <c r="S10" s="101" t="s">
        <v>337</v>
      </c>
      <c r="T10" s="112">
        <v>109933705</v>
      </c>
      <c r="U10" s="264" t="s">
        <v>261</v>
      </c>
    </row>
    <row r="11" spans="1:21">
      <c r="A11" s="98">
        <v>8</v>
      </c>
      <c r="B11" s="101">
        <v>45168</v>
      </c>
      <c r="C11" s="101">
        <v>45168</v>
      </c>
      <c r="D11" s="101" t="s">
        <v>163</v>
      </c>
      <c r="E11" s="101" t="s">
        <v>306</v>
      </c>
      <c r="F11" s="104">
        <v>113100004</v>
      </c>
      <c r="G11" s="101" t="s">
        <v>262</v>
      </c>
      <c r="H11" s="101" t="s">
        <v>263</v>
      </c>
      <c r="I11" s="101" t="s">
        <v>25</v>
      </c>
      <c r="J11" s="101" t="s">
        <v>3</v>
      </c>
      <c r="K11" s="101" t="s">
        <v>88</v>
      </c>
      <c r="L11" s="101" t="s">
        <v>264</v>
      </c>
      <c r="M11" s="101" t="s">
        <v>265</v>
      </c>
      <c r="N11" s="108">
        <v>995551988</v>
      </c>
      <c r="O11" s="109">
        <v>45</v>
      </c>
      <c r="P11" s="110" t="s">
        <v>45</v>
      </c>
      <c r="Q11" s="100" t="s">
        <v>3</v>
      </c>
      <c r="R11" s="101"/>
      <c r="S11" s="101" t="s">
        <v>306</v>
      </c>
      <c r="T11" s="112">
        <v>105058756</v>
      </c>
      <c r="U11" s="264" t="s">
        <v>266</v>
      </c>
    </row>
    <row r="12" spans="1:21">
      <c r="A12" s="98">
        <v>9</v>
      </c>
      <c r="B12" s="101">
        <v>45169</v>
      </c>
      <c r="C12" s="101">
        <v>45111</v>
      </c>
      <c r="D12" s="101" t="s">
        <v>94</v>
      </c>
      <c r="E12" s="101" t="s">
        <v>267</v>
      </c>
      <c r="F12" s="104">
        <v>113600014</v>
      </c>
      <c r="G12" s="101" t="s">
        <v>268</v>
      </c>
      <c r="H12" s="101" t="s">
        <v>269</v>
      </c>
      <c r="I12" s="101" t="s">
        <v>25</v>
      </c>
      <c r="J12" s="101" t="s">
        <v>3</v>
      </c>
      <c r="K12" s="101" t="s">
        <v>88</v>
      </c>
      <c r="L12" s="101" t="s">
        <v>270</v>
      </c>
      <c r="M12" s="101" t="s">
        <v>271</v>
      </c>
      <c r="N12" s="108">
        <v>998623501</v>
      </c>
      <c r="O12" s="109">
        <v>25</v>
      </c>
      <c r="P12" s="110" t="s">
        <v>45</v>
      </c>
      <c r="Q12" s="100" t="s">
        <v>3</v>
      </c>
      <c r="R12" s="101"/>
      <c r="S12" s="101" t="s">
        <v>267</v>
      </c>
      <c r="T12" s="112">
        <v>100232941</v>
      </c>
      <c r="U12" s="264" t="s">
        <v>272</v>
      </c>
    </row>
    <row r="13" spans="1:21">
      <c r="A13" s="98">
        <v>10</v>
      </c>
      <c r="B13" s="101">
        <v>45170</v>
      </c>
      <c r="C13" s="101">
        <v>45013</v>
      </c>
      <c r="D13" s="101" t="s">
        <v>19</v>
      </c>
      <c r="E13" s="101" t="s">
        <v>307</v>
      </c>
      <c r="F13" s="104">
        <v>112570125</v>
      </c>
      <c r="G13" s="101" t="s">
        <v>273</v>
      </c>
      <c r="H13" s="101" t="s">
        <v>274</v>
      </c>
      <c r="I13" s="101" t="s">
        <v>25</v>
      </c>
      <c r="J13" s="101" t="s">
        <v>3</v>
      </c>
      <c r="K13" s="101" t="s">
        <v>88</v>
      </c>
      <c r="L13" s="101" t="s">
        <v>275</v>
      </c>
      <c r="M13" s="101" t="s">
        <v>308</v>
      </c>
      <c r="N13" s="108">
        <v>984140564</v>
      </c>
      <c r="O13" s="109">
        <v>29</v>
      </c>
      <c r="P13" s="110" t="s">
        <v>45</v>
      </c>
      <c r="Q13" s="100" t="s">
        <v>3</v>
      </c>
      <c r="R13" s="101"/>
      <c r="S13" s="101" t="s">
        <v>307</v>
      </c>
      <c r="T13" s="112">
        <v>104216973</v>
      </c>
      <c r="U13" s="264" t="s">
        <v>309</v>
      </c>
    </row>
    <row r="14" spans="1:21">
      <c r="A14" s="98">
        <v>11</v>
      </c>
      <c r="B14" s="101">
        <v>45175</v>
      </c>
      <c r="C14" s="101">
        <v>45150</v>
      </c>
      <c r="D14" s="101" t="s">
        <v>113</v>
      </c>
      <c r="E14" s="101" t="s">
        <v>276</v>
      </c>
      <c r="F14" s="104">
        <v>40466241</v>
      </c>
      <c r="G14" s="101" t="s">
        <v>277</v>
      </c>
      <c r="H14" s="101" t="s">
        <v>278</v>
      </c>
      <c r="I14" s="101" t="s">
        <v>25</v>
      </c>
      <c r="J14" s="101" t="s">
        <v>3</v>
      </c>
      <c r="K14" s="101" t="s">
        <v>88</v>
      </c>
      <c r="L14" s="101" t="s">
        <v>279</v>
      </c>
      <c r="M14" s="101" t="s">
        <v>280</v>
      </c>
      <c r="N14" s="108">
        <v>995920351</v>
      </c>
      <c r="O14" s="109">
        <v>15</v>
      </c>
      <c r="P14" s="110" t="s">
        <v>45</v>
      </c>
      <c r="Q14" s="100" t="s">
        <v>3</v>
      </c>
      <c r="R14" s="101"/>
      <c r="S14" s="101" t="s">
        <v>276</v>
      </c>
      <c r="T14" s="112">
        <v>1719981478</v>
      </c>
      <c r="U14" s="264" t="s">
        <v>281</v>
      </c>
    </row>
    <row r="15" spans="1:21">
      <c r="A15" s="98">
        <v>12</v>
      </c>
      <c r="B15" s="101">
        <v>45175</v>
      </c>
      <c r="C15" s="101">
        <v>45165</v>
      </c>
      <c r="D15" s="101" t="s">
        <v>91</v>
      </c>
      <c r="E15" s="101" t="s">
        <v>282</v>
      </c>
      <c r="F15" s="104">
        <v>112580017</v>
      </c>
      <c r="G15" s="101" t="s">
        <v>283</v>
      </c>
      <c r="H15" s="101" t="s">
        <v>284</v>
      </c>
      <c r="I15" s="101" t="s">
        <v>25</v>
      </c>
      <c r="J15" s="101" t="s">
        <v>3</v>
      </c>
      <c r="K15" s="101" t="s">
        <v>88</v>
      </c>
      <c r="L15" s="101" t="s">
        <v>285</v>
      </c>
      <c r="M15" s="101" t="s">
        <v>286</v>
      </c>
      <c r="N15" s="108">
        <v>995127040</v>
      </c>
      <c r="O15" s="109">
        <v>29</v>
      </c>
      <c r="P15" s="110" t="s">
        <v>45</v>
      </c>
      <c r="Q15" s="100" t="s">
        <v>3</v>
      </c>
      <c r="R15" s="101"/>
      <c r="S15" s="101" t="s">
        <v>282</v>
      </c>
      <c r="T15" s="112">
        <v>101504330</v>
      </c>
      <c r="U15" s="264" t="s">
        <v>287</v>
      </c>
    </row>
    <row r="16" spans="1:21">
      <c r="A16" s="98">
        <v>14</v>
      </c>
      <c r="B16" s="101">
        <v>45183</v>
      </c>
      <c r="C16" s="101">
        <v>45180</v>
      </c>
      <c r="D16" s="101" t="s">
        <v>19</v>
      </c>
      <c r="E16" s="101" t="s">
        <v>288</v>
      </c>
      <c r="F16" s="104">
        <v>40467320</v>
      </c>
      <c r="G16" s="101" t="s">
        <v>289</v>
      </c>
      <c r="H16" s="101" t="s">
        <v>290</v>
      </c>
      <c r="I16" s="101" t="s">
        <v>25</v>
      </c>
      <c r="J16" s="101" t="s">
        <v>3</v>
      </c>
      <c r="K16" s="101" t="s">
        <v>88</v>
      </c>
      <c r="L16" s="101" t="s">
        <v>291</v>
      </c>
      <c r="M16" s="101" t="s">
        <v>292</v>
      </c>
      <c r="N16" s="108">
        <v>995912842</v>
      </c>
      <c r="O16" s="109">
        <v>15</v>
      </c>
      <c r="P16" s="101" t="s">
        <v>45</v>
      </c>
      <c r="Q16" s="101" t="s">
        <v>3</v>
      </c>
      <c r="R16" s="101"/>
      <c r="S16" s="101" t="s">
        <v>293</v>
      </c>
      <c r="T16" s="112">
        <v>105161749</v>
      </c>
      <c r="U16" s="264" t="s">
        <v>294</v>
      </c>
    </row>
    <row r="17" spans="1:21">
      <c r="A17" s="98">
        <v>15</v>
      </c>
      <c r="B17" s="101">
        <v>45185</v>
      </c>
      <c r="C17" s="101">
        <v>45107</v>
      </c>
      <c r="D17" s="101" t="s">
        <v>153</v>
      </c>
      <c r="E17" s="101" t="s">
        <v>310</v>
      </c>
      <c r="F17" s="104">
        <v>40260600</v>
      </c>
      <c r="G17" s="101" t="s">
        <v>295</v>
      </c>
      <c r="H17" s="101" t="s">
        <v>296</v>
      </c>
      <c r="I17" s="101" t="s">
        <v>25</v>
      </c>
      <c r="J17" s="101" t="s">
        <v>3</v>
      </c>
      <c r="K17" s="101" t="s">
        <v>88</v>
      </c>
      <c r="L17" s="101" t="s">
        <v>297</v>
      </c>
      <c r="M17" s="101" t="s">
        <v>298</v>
      </c>
      <c r="N17" s="108">
        <v>984248889</v>
      </c>
      <c r="O17" s="109">
        <v>29</v>
      </c>
      <c r="P17" s="101" t="s">
        <v>45</v>
      </c>
      <c r="Q17" s="101" t="s">
        <v>3</v>
      </c>
      <c r="R17" s="101"/>
      <c r="S17" s="101"/>
      <c r="T17" s="112">
        <v>109931046</v>
      </c>
      <c r="U17" s="264" t="s">
        <v>299</v>
      </c>
    </row>
    <row r="18" spans="1:21">
      <c r="A18" s="98">
        <v>16</v>
      </c>
      <c r="B18" s="101"/>
      <c r="C18" s="101"/>
      <c r="D18" s="101"/>
      <c r="E18" s="101"/>
      <c r="F18" s="101"/>
      <c r="G18" s="101"/>
      <c r="H18" s="101"/>
      <c r="I18" s="101"/>
      <c r="J18" s="101"/>
      <c r="K18" s="101"/>
      <c r="L18" s="101"/>
      <c r="M18" s="101"/>
      <c r="N18" s="101"/>
      <c r="O18" s="101"/>
      <c r="P18" s="101"/>
      <c r="Q18" s="101"/>
      <c r="R18" s="101"/>
      <c r="S18" s="101"/>
      <c r="T18" s="101"/>
      <c r="U18" s="101"/>
    </row>
    <row r="19" spans="1:21">
      <c r="A19" s="98">
        <v>17</v>
      </c>
      <c r="B19" s="101"/>
      <c r="C19" s="101"/>
      <c r="D19" s="101"/>
      <c r="E19" s="101"/>
      <c r="F19" s="101"/>
      <c r="G19" s="101"/>
      <c r="H19" s="101"/>
      <c r="I19" s="101"/>
      <c r="J19" s="101"/>
      <c r="K19" s="101"/>
      <c r="L19" s="101"/>
      <c r="M19" s="101"/>
      <c r="N19" s="101"/>
      <c r="O19" s="101"/>
      <c r="P19" s="101"/>
      <c r="Q19" s="101"/>
      <c r="R19" s="101"/>
      <c r="S19" s="101"/>
      <c r="T19" s="101"/>
      <c r="U19" s="101"/>
    </row>
    <row r="20" spans="1:21">
      <c r="A20" s="98">
        <v>18</v>
      </c>
      <c r="B20" s="101"/>
      <c r="C20" s="101"/>
      <c r="D20" s="101"/>
      <c r="E20" s="101"/>
      <c r="F20" s="101"/>
      <c r="G20" s="101"/>
      <c r="H20" s="101"/>
      <c r="I20" s="101"/>
      <c r="J20" s="101"/>
      <c r="K20" s="101"/>
      <c r="L20" s="101"/>
      <c r="M20" s="101"/>
      <c r="N20" s="101"/>
      <c r="O20" s="101"/>
      <c r="P20" s="101"/>
      <c r="Q20" s="101"/>
      <c r="R20" s="101"/>
      <c r="S20" s="101"/>
      <c r="T20" s="101"/>
      <c r="U20" s="101"/>
    </row>
    <row r="21" spans="1:21">
      <c r="B21" s="101"/>
      <c r="C21" s="101"/>
      <c r="D21" s="101"/>
      <c r="E21" s="101"/>
      <c r="F21" s="101"/>
      <c r="G21" s="101"/>
      <c r="H21" s="101"/>
      <c r="I21" s="101"/>
      <c r="J21" s="101"/>
      <c r="K21" s="101"/>
      <c r="L21" s="101"/>
      <c r="M21" s="101"/>
      <c r="N21" s="101"/>
      <c r="O21" s="101"/>
      <c r="P21" s="101"/>
      <c r="Q21" s="101"/>
      <c r="R21" s="101"/>
      <c r="S21" s="101"/>
      <c r="T21" s="101"/>
      <c r="U21" s="101"/>
    </row>
  </sheetData>
  <hyperlinks>
    <hyperlink ref="U5" r:id="rId1"/>
    <hyperlink ref="U6" r:id="rId2"/>
    <hyperlink ref="U7" r:id="rId3"/>
    <hyperlink ref="U8" r:id="rId4"/>
    <hyperlink ref="U9" r:id="rId5"/>
    <hyperlink ref="U10" r:id="rId6"/>
    <hyperlink ref="U11" r:id="rId7"/>
    <hyperlink ref="U12" r:id="rId8"/>
    <hyperlink ref="U14" r:id="rId9"/>
    <hyperlink ref="U15" r:id="rId10"/>
    <hyperlink ref="U16" r:id="rId11"/>
    <hyperlink ref="U17" r:id="rId12"/>
    <hyperlink ref="U13" r:id="rId13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28"/>
  <sheetViews>
    <sheetView topLeftCell="E13" workbookViewId="0">
      <selection activeCell="I27" sqref="I27"/>
    </sheetView>
  </sheetViews>
  <sheetFormatPr baseColWidth="10" defaultRowHeight="15"/>
  <cols>
    <col min="2" max="2" width="11.85546875" bestFit="1" customWidth="1"/>
    <col min="3" max="3" width="17.5703125" customWidth="1"/>
    <col min="4" max="4" width="20.28515625" customWidth="1"/>
    <col min="6" max="6" width="26.28515625" customWidth="1"/>
    <col min="7" max="7" width="16.42578125" customWidth="1"/>
    <col min="12" max="12" width="19.85546875" customWidth="1"/>
    <col min="13" max="13" width="24.85546875" customWidth="1"/>
    <col min="15" max="15" width="14.7109375" customWidth="1"/>
    <col min="16" max="16" width="15.28515625" customWidth="1"/>
    <col min="19" max="19" width="18.85546875" customWidth="1"/>
    <col min="20" max="20" width="15" customWidth="1"/>
    <col min="21" max="21" width="29.42578125" customWidth="1"/>
  </cols>
  <sheetData>
    <row r="1" spans="1:22">
      <c r="A1" s="114"/>
    </row>
    <row r="2" spans="1:22">
      <c r="A2" s="114"/>
    </row>
    <row r="3" spans="1:22">
      <c r="A3" s="115"/>
      <c r="C3" s="116" t="s">
        <v>28</v>
      </c>
      <c r="E3" s="117"/>
      <c r="G3" s="118"/>
      <c r="H3" s="119"/>
      <c r="I3" s="120"/>
      <c r="J3" s="121"/>
      <c r="K3" s="119"/>
      <c r="L3" s="122"/>
      <c r="M3" s="122"/>
      <c r="N3" s="119"/>
      <c r="O3" s="123"/>
    </row>
    <row r="4" spans="1:22" ht="15.75">
      <c r="A4" s="115"/>
      <c r="C4" s="124" t="s">
        <v>1</v>
      </c>
      <c r="E4" s="119"/>
      <c r="G4" s="125" t="s">
        <v>47</v>
      </c>
      <c r="H4" s="126"/>
      <c r="I4" s="127"/>
      <c r="J4" s="128"/>
      <c r="K4" s="126"/>
      <c r="L4" s="129"/>
      <c r="M4" s="130"/>
      <c r="N4" s="119" t="s">
        <v>101</v>
      </c>
      <c r="O4" s="123"/>
      <c r="P4" s="131"/>
    </row>
    <row r="5" spans="1:22" ht="22.5">
      <c r="A5" s="132"/>
      <c r="B5" s="133" t="s">
        <v>31</v>
      </c>
      <c r="C5" s="134" t="s">
        <v>32</v>
      </c>
      <c r="D5" s="134" t="s">
        <v>6</v>
      </c>
      <c r="E5" s="135" t="s">
        <v>33</v>
      </c>
      <c r="F5" s="134" t="s">
        <v>34</v>
      </c>
      <c r="G5" s="135" t="s">
        <v>35</v>
      </c>
      <c r="H5" s="135" t="s">
        <v>10</v>
      </c>
      <c r="I5" s="134" t="s">
        <v>36</v>
      </c>
      <c r="J5" s="135" t="s">
        <v>37</v>
      </c>
      <c r="K5" s="134" t="s">
        <v>30</v>
      </c>
      <c r="L5" s="136" t="s">
        <v>14</v>
      </c>
      <c r="M5" s="136" t="s">
        <v>38</v>
      </c>
      <c r="N5" s="135" t="s">
        <v>16</v>
      </c>
      <c r="O5" s="137" t="s">
        <v>17</v>
      </c>
      <c r="P5" s="134" t="s">
        <v>39</v>
      </c>
      <c r="Q5" s="134" t="s">
        <v>40</v>
      </c>
      <c r="R5" s="133" t="s">
        <v>41</v>
      </c>
      <c r="S5" s="134" t="s">
        <v>42</v>
      </c>
      <c r="T5" s="133" t="s">
        <v>43</v>
      </c>
      <c r="U5" s="133" t="s">
        <v>44</v>
      </c>
      <c r="V5" s="138"/>
    </row>
    <row r="6" spans="1:22" ht="15.75">
      <c r="A6" s="139">
        <v>1</v>
      </c>
      <c r="B6" s="140">
        <v>45142</v>
      </c>
      <c r="C6" s="141" t="s">
        <v>153</v>
      </c>
      <c r="D6" s="141" t="s">
        <v>154</v>
      </c>
      <c r="E6" s="142">
        <v>40466111</v>
      </c>
      <c r="F6" s="143" t="s">
        <v>155</v>
      </c>
      <c r="G6" s="144" t="s">
        <v>156</v>
      </c>
      <c r="H6" s="141">
        <v>401729</v>
      </c>
      <c r="I6" s="141" t="s">
        <v>24</v>
      </c>
      <c r="J6" s="144" t="s">
        <v>21</v>
      </c>
      <c r="K6" s="145">
        <v>45161</v>
      </c>
      <c r="L6" s="146" t="s">
        <v>157</v>
      </c>
      <c r="M6" s="146" t="s">
        <v>117</v>
      </c>
      <c r="N6" s="141">
        <v>995102152</v>
      </c>
      <c r="O6" s="147">
        <v>20</v>
      </c>
      <c r="P6" s="144" t="s">
        <v>48</v>
      </c>
      <c r="Q6" s="144" t="s">
        <v>24</v>
      </c>
      <c r="R6" s="148"/>
      <c r="S6" s="141" t="s">
        <v>154</v>
      </c>
      <c r="T6" s="249" t="s">
        <v>158</v>
      </c>
      <c r="U6" s="250" t="s">
        <v>159</v>
      </c>
      <c r="V6" s="11"/>
    </row>
    <row r="7" spans="1:22" ht="15.75">
      <c r="A7" s="139">
        <v>2</v>
      </c>
      <c r="B7" s="140">
        <v>45070</v>
      </c>
      <c r="C7" s="141" t="s">
        <v>19</v>
      </c>
      <c r="D7" s="141" t="s">
        <v>160</v>
      </c>
      <c r="E7" s="142">
        <v>112570068</v>
      </c>
      <c r="F7" s="143" t="s">
        <v>161</v>
      </c>
      <c r="G7" s="144" t="s">
        <v>162</v>
      </c>
      <c r="H7" s="141">
        <v>392531</v>
      </c>
      <c r="I7" s="141" t="s">
        <v>24</v>
      </c>
      <c r="J7" s="144" t="s">
        <v>21</v>
      </c>
      <c r="K7" s="145">
        <v>45161</v>
      </c>
      <c r="L7" s="146" t="s">
        <v>157</v>
      </c>
      <c r="M7" s="146" t="s">
        <v>117</v>
      </c>
      <c r="N7" s="141">
        <v>995102152</v>
      </c>
      <c r="O7" s="147">
        <v>20</v>
      </c>
      <c r="P7" s="144" t="s">
        <v>48</v>
      </c>
      <c r="Q7" s="144" t="s">
        <v>24</v>
      </c>
      <c r="R7" s="148"/>
      <c r="S7" s="141" t="s">
        <v>154</v>
      </c>
      <c r="T7" s="249" t="s">
        <v>158</v>
      </c>
      <c r="U7" s="250" t="s">
        <v>159</v>
      </c>
      <c r="V7" s="11"/>
    </row>
    <row r="8" spans="1:22" ht="15.75">
      <c r="A8" s="139">
        <v>3</v>
      </c>
      <c r="B8" s="140">
        <v>45145</v>
      </c>
      <c r="C8" s="141" t="s">
        <v>163</v>
      </c>
      <c r="D8" s="141" t="s">
        <v>164</v>
      </c>
      <c r="E8" s="142">
        <v>40480321</v>
      </c>
      <c r="F8" s="143" t="s">
        <v>165</v>
      </c>
      <c r="G8" s="144" t="s">
        <v>166</v>
      </c>
      <c r="H8" s="141">
        <v>402465</v>
      </c>
      <c r="I8" s="141" t="s">
        <v>24</v>
      </c>
      <c r="J8" s="144" t="s">
        <v>21</v>
      </c>
      <c r="K8" s="145">
        <v>45166</v>
      </c>
      <c r="L8" s="146" t="s">
        <v>167</v>
      </c>
      <c r="M8" s="146" t="s">
        <v>168</v>
      </c>
      <c r="N8" s="141">
        <v>984672287</v>
      </c>
      <c r="O8" s="147">
        <v>30</v>
      </c>
      <c r="P8" s="144" t="s">
        <v>48</v>
      </c>
      <c r="Q8" s="144" t="s">
        <v>24</v>
      </c>
      <c r="R8" s="148"/>
      <c r="S8" s="141" t="s">
        <v>164</v>
      </c>
      <c r="T8" s="249" t="s">
        <v>169</v>
      </c>
      <c r="U8" s="250"/>
      <c r="V8" s="11"/>
    </row>
    <row r="9" spans="1:22" ht="15.75">
      <c r="A9" s="139">
        <v>4</v>
      </c>
      <c r="B9" s="140">
        <v>45142</v>
      </c>
      <c r="C9" s="141" t="s">
        <v>163</v>
      </c>
      <c r="D9" s="141" t="s">
        <v>170</v>
      </c>
      <c r="E9" s="142">
        <v>112580027</v>
      </c>
      <c r="F9" s="143" t="s">
        <v>171</v>
      </c>
      <c r="G9" s="144" t="s">
        <v>172</v>
      </c>
      <c r="H9" s="141">
        <v>402229</v>
      </c>
      <c r="I9" s="141" t="s">
        <v>24</v>
      </c>
      <c r="J9" s="144" t="s">
        <v>21</v>
      </c>
      <c r="K9" s="145">
        <v>45166</v>
      </c>
      <c r="L9" s="146" t="s">
        <v>167</v>
      </c>
      <c r="M9" s="146" t="s">
        <v>168</v>
      </c>
      <c r="N9" s="141">
        <v>984672287</v>
      </c>
      <c r="O9" s="147">
        <v>30</v>
      </c>
      <c r="P9" s="144" t="s">
        <v>48</v>
      </c>
      <c r="Q9" s="144" t="s">
        <v>24</v>
      </c>
      <c r="R9" s="148"/>
      <c r="S9" s="141" t="s">
        <v>164</v>
      </c>
      <c r="T9" s="249" t="s">
        <v>169</v>
      </c>
      <c r="U9" s="250"/>
      <c r="V9" s="11"/>
    </row>
    <row r="10" spans="1:22" ht="15.75">
      <c r="A10" s="139">
        <v>5</v>
      </c>
      <c r="B10" s="140">
        <v>45086</v>
      </c>
      <c r="C10" s="141" t="s">
        <v>173</v>
      </c>
      <c r="D10" s="141" t="s">
        <v>174</v>
      </c>
      <c r="E10" s="142">
        <v>40782510</v>
      </c>
      <c r="F10" s="143" t="s">
        <v>175</v>
      </c>
      <c r="G10" s="144" t="s">
        <v>176</v>
      </c>
      <c r="H10" s="141" t="s">
        <v>25</v>
      </c>
      <c r="I10" s="141" t="s">
        <v>24</v>
      </c>
      <c r="J10" s="144" t="s">
        <v>21</v>
      </c>
      <c r="K10" s="145">
        <v>45177</v>
      </c>
      <c r="L10" s="146" t="s">
        <v>177</v>
      </c>
      <c r="M10" s="146" t="s">
        <v>178</v>
      </c>
      <c r="N10" s="141">
        <v>984815359</v>
      </c>
      <c r="O10" s="147">
        <v>15</v>
      </c>
      <c r="P10" s="144" t="s">
        <v>48</v>
      </c>
      <c r="Q10" s="144" t="s">
        <v>24</v>
      </c>
      <c r="R10" s="148"/>
      <c r="S10" s="141" t="s">
        <v>174</v>
      </c>
      <c r="T10" s="249" t="s">
        <v>179</v>
      </c>
      <c r="U10" s="250" t="s">
        <v>180</v>
      </c>
      <c r="V10" s="11"/>
    </row>
    <row r="11" spans="1:22" ht="15.75">
      <c r="A11" s="139">
        <v>6</v>
      </c>
      <c r="B11" s="140">
        <v>45110</v>
      </c>
      <c r="C11" s="141" t="s">
        <v>173</v>
      </c>
      <c r="D11" s="141" t="s">
        <v>181</v>
      </c>
      <c r="E11" s="142">
        <v>113430018</v>
      </c>
      <c r="F11" s="143" t="s">
        <v>182</v>
      </c>
      <c r="G11" s="144" t="s">
        <v>183</v>
      </c>
      <c r="H11" s="141">
        <v>398873</v>
      </c>
      <c r="I11" s="141" t="s">
        <v>24</v>
      </c>
      <c r="J11" s="144" t="s">
        <v>21</v>
      </c>
      <c r="K11" s="145">
        <v>45177</v>
      </c>
      <c r="L11" s="146" t="s">
        <v>177</v>
      </c>
      <c r="M11" s="146" t="s">
        <v>178</v>
      </c>
      <c r="N11" s="141">
        <v>984815359</v>
      </c>
      <c r="O11" s="147">
        <v>15</v>
      </c>
      <c r="P11" s="144" t="s">
        <v>48</v>
      </c>
      <c r="Q11" s="144" t="s">
        <v>24</v>
      </c>
      <c r="R11" s="148"/>
      <c r="S11" s="141" t="s">
        <v>181</v>
      </c>
      <c r="T11" s="249" t="s">
        <v>179</v>
      </c>
      <c r="U11" s="250" t="s">
        <v>180</v>
      </c>
      <c r="V11" s="11"/>
    </row>
    <row r="12" spans="1:22" ht="15.75">
      <c r="A12" s="139">
        <v>7</v>
      </c>
      <c r="B12" s="140">
        <v>45084</v>
      </c>
      <c r="C12" s="141" t="s">
        <v>173</v>
      </c>
      <c r="D12" s="141" t="s">
        <v>184</v>
      </c>
      <c r="E12" s="142">
        <v>40584012</v>
      </c>
      <c r="F12" s="143" t="s">
        <v>185</v>
      </c>
      <c r="G12" s="144" t="s">
        <v>186</v>
      </c>
      <c r="H12" s="141" t="s">
        <v>25</v>
      </c>
      <c r="I12" s="141" t="s">
        <v>24</v>
      </c>
      <c r="J12" s="144" t="s">
        <v>21</v>
      </c>
      <c r="K12" s="145">
        <v>45177</v>
      </c>
      <c r="L12" s="146" t="s">
        <v>177</v>
      </c>
      <c r="M12" s="146" t="s">
        <v>178</v>
      </c>
      <c r="N12" s="141">
        <v>984815359</v>
      </c>
      <c r="O12" s="147">
        <v>15</v>
      </c>
      <c r="P12" s="144" t="s">
        <v>48</v>
      </c>
      <c r="Q12" s="144" t="s">
        <v>24</v>
      </c>
      <c r="R12" s="148"/>
      <c r="S12" s="141" t="s">
        <v>181</v>
      </c>
      <c r="T12" s="249" t="s">
        <v>179</v>
      </c>
      <c r="U12" s="250" t="s">
        <v>180</v>
      </c>
    </row>
    <row r="13" spans="1:22" ht="15.75">
      <c r="A13" s="139">
        <v>8</v>
      </c>
      <c r="B13" s="140">
        <v>45119</v>
      </c>
      <c r="C13" s="141" t="s">
        <v>19</v>
      </c>
      <c r="D13" s="141" t="s">
        <v>187</v>
      </c>
      <c r="E13" s="142">
        <v>112030005</v>
      </c>
      <c r="F13" s="143" t="s">
        <v>188</v>
      </c>
      <c r="G13" s="144" t="s">
        <v>189</v>
      </c>
      <c r="H13" s="141">
        <v>402613</v>
      </c>
      <c r="I13" s="141" t="s">
        <v>24</v>
      </c>
      <c r="J13" s="144" t="s">
        <v>21</v>
      </c>
      <c r="K13" s="145">
        <v>45181</v>
      </c>
      <c r="L13" s="146" t="s">
        <v>190</v>
      </c>
      <c r="M13" s="146" t="s">
        <v>191</v>
      </c>
      <c r="N13" s="141">
        <v>989528005</v>
      </c>
      <c r="O13" s="147">
        <v>15</v>
      </c>
      <c r="P13" s="144" t="s">
        <v>48</v>
      </c>
      <c r="Q13" s="144" t="s">
        <v>24</v>
      </c>
      <c r="R13" s="148"/>
      <c r="S13" s="141" t="s">
        <v>187</v>
      </c>
      <c r="T13" s="249" t="s">
        <v>192</v>
      </c>
      <c r="U13" s="250" t="s">
        <v>193</v>
      </c>
    </row>
    <row r="14" spans="1:22" ht="15.75">
      <c r="A14" s="139">
        <v>9</v>
      </c>
      <c r="B14" s="140">
        <v>45119</v>
      </c>
      <c r="C14" s="141" t="s">
        <v>19</v>
      </c>
      <c r="D14" s="141" t="s">
        <v>187</v>
      </c>
      <c r="E14" s="142">
        <v>111000059</v>
      </c>
      <c r="F14" s="143" t="s">
        <v>194</v>
      </c>
      <c r="G14" s="144" t="s">
        <v>195</v>
      </c>
      <c r="H14" s="141">
        <v>402615</v>
      </c>
      <c r="I14" s="141" t="s">
        <v>24</v>
      </c>
      <c r="J14" s="144" t="s">
        <v>21</v>
      </c>
      <c r="K14" s="145">
        <v>45181</v>
      </c>
      <c r="L14" s="146" t="s">
        <v>190</v>
      </c>
      <c r="M14" s="146" t="s">
        <v>191</v>
      </c>
      <c r="N14" s="141">
        <v>989528005</v>
      </c>
      <c r="O14" s="147">
        <v>15</v>
      </c>
      <c r="P14" s="144" t="s">
        <v>48</v>
      </c>
      <c r="Q14" s="144" t="s">
        <v>24</v>
      </c>
      <c r="R14" s="148"/>
      <c r="S14" s="141" t="s">
        <v>187</v>
      </c>
      <c r="T14" s="249" t="s">
        <v>192</v>
      </c>
      <c r="U14" s="250" t="s">
        <v>193</v>
      </c>
    </row>
    <row r="15" spans="1:22" ht="15.75">
      <c r="A15" s="139">
        <v>10</v>
      </c>
      <c r="B15" s="140">
        <v>45119</v>
      </c>
      <c r="C15" s="141" t="s">
        <v>19</v>
      </c>
      <c r="D15" s="141" t="s">
        <v>187</v>
      </c>
      <c r="E15" s="142">
        <v>112570211</v>
      </c>
      <c r="F15" s="143" t="s">
        <v>196</v>
      </c>
      <c r="G15" s="144" t="s">
        <v>197</v>
      </c>
      <c r="H15" s="141">
        <v>402618</v>
      </c>
      <c r="I15" s="141" t="s">
        <v>24</v>
      </c>
      <c r="J15" s="144" t="s">
        <v>21</v>
      </c>
      <c r="K15" s="145">
        <v>45181</v>
      </c>
      <c r="L15" s="146" t="s">
        <v>190</v>
      </c>
      <c r="M15" s="146" t="s">
        <v>191</v>
      </c>
      <c r="N15" s="141">
        <v>989528005</v>
      </c>
      <c r="O15" s="147">
        <v>15</v>
      </c>
      <c r="P15" s="144" t="s">
        <v>48</v>
      </c>
      <c r="Q15" s="144" t="s">
        <v>24</v>
      </c>
      <c r="R15" s="148"/>
      <c r="S15" s="141" t="s">
        <v>187</v>
      </c>
      <c r="T15" s="249" t="s">
        <v>192</v>
      </c>
      <c r="U15" s="250" t="s">
        <v>193</v>
      </c>
    </row>
    <row r="16" spans="1:22" ht="15.75">
      <c r="A16" s="139">
        <v>11</v>
      </c>
      <c r="B16" s="140">
        <v>45119</v>
      </c>
      <c r="C16" s="141" t="s">
        <v>19</v>
      </c>
      <c r="D16" s="141" t="s">
        <v>187</v>
      </c>
      <c r="E16" s="142">
        <v>112930063</v>
      </c>
      <c r="F16" s="143" t="s">
        <v>198</v>
      </c>
      <c r="G16" s="144" t="s">
        <v>199</v>
      </c>
      <c r="H16" s="141">
        <v>402611</v>
      </c>
      <c r="I16" s="141" t="s">
        <v>24</v>
      </c>
      <c r="J16" s="144" t="s">
        <v>21</v>
      </c>
      <c r="K16" s="145">
        <v>45181</v>
      </c>
      <c r="L16" s="146" t="s">
        <v>190</v>
      </c>
      <c r="M16" s="146" t="s">
        <v>191</v>
      </c>
      <c r="N16" s="141">
        <v>989528005</v>
      </c>
      <c r="O16" s="147">
        <v>15</v>
      </c>
      <c r="P16" s="144" t="s">
        <v>48</v>
      </c>
      <c r="Q16" s="144" t="s">
        <v>24</v>
      </c>
      <c r="R16" s="148"/>
      <c r="S16" s="141" t="s">
        <v>187</v>
      </c>
      <c r="T16" s="249" t="s">
        <v>192</v>
      </c>
      <c r="U16" s="250" t="s">
        <v>193</v>
      </c>
    </row>
    <row r="17" spans="1:21" ht="15.75">
      <c r="A17" s="139">
        <v>12</v>
      </c>
      <c r="B17" s="140">
        <v>45047</v>
      </c>
      <c r="C17" s="141" t="s">
        <v>153</v>
      </c>
      <c r="D17" s="141" t="s">
        <v>200</v>
      </c>
      <c r="E17" s="142">
        <v>40466111</v>
      </c>
      <c r="F17" s="143" t="s">
        <v>155</v>
      </c>
      <c r="G17" s="144" t="s">
        <v>201</v>
      </c>
      <c r="H17" s="141">
        <v>381664</v>
      </c>
      <c r="I17" s="141" t="s">
        <v>24</v>
      </c>
      <c r="J17" s="144" t="s">
        <v>21</v>
      </c>
      <c r="K17" s="145">
        <v>45182</v>
      </c>
      <c r="L17" s="146" t="s">
        <v>202</v>
      </c>
      <c r="M17" s="146" t="s">
        <v>203</v>
      </c>
      <c r="N17" s="141">
        <v>992831273</v>
      </c>
      <c r="O17" s="147">
        <v>20</v>
      </c>
      <c r="P17" s="144" t="s">
        <v>48</v>
      </c>
      <c r="Q17" s="144" t="s">
        <v>24</v>
      </c>
      <c r="R17" s="148"/>
      <c r="S17" s="141" t="s">
        <v>200</v>
      </c>
      <c r="T17" s="249" t="s">
        <v>204</v>
      </c>
      <c r="U17" s="250" t="s">
        <v>205</v>
      </c>
    </row>
    <row r="18" spans="1:21" ht="15.75">
      <c r="A18" s="139">
        <v>13</v>
      </c>
      <c r="B18" s="140">
        <v>45044</v>
      </c>
      <c r="C18" s="141" t="s">
        <v>153</v>
      </c>
      <c r="D18" s="141" t="s">
        <v>206</v>
      </c>
      <c r="E18" s="142">
        <v>112570126</v>
      </c>
      <c r="F18" s="143" t="s">
        <v>207</v>
      </c>
      <c r="G18" s="144" t="s">
        <v>208</v>
      </c>
      <c r="H18" s="141" t="s">
        <v>25</v>
      </c>
      <c r="I18" s="141" t="s">
        <v>24</v>
      </c>
      <c r="J18" s="144" t="s">
        <v>21</v>
      </c>
      <c r="K18" s="145">
        <v>45182</v>
      </c>
      <c r="L18" s="146" t="s">
        <v>202</v>
      </c>
      <c r="M18" s="146" t="s">
        <v>203</v>
      </c>
      <c r="N18" s="141">
        <v>992831273</v>
      </c>
      <c r="O18" s="147">
        <v>20</v>
      </c>
      <c r="P18" s="144" t="s">
        <v>48</v>
      </c>
      <c r="Q18" s="144" t="s">
        <v>24</v>
      </c>
      <c r="R18" s="148"/>
      <c r="S18" s="141" t="s">
        <v>206</v>
      </c>
      <c r="T18" s="249" t="s">
        <v>204</v>
      </c>
      <c r="U18" s="250" t="s">
        <v>205</v>
      </c>
    </row>
    <row r="19" spans="1:21" ht="15.75">
      <c r="A19" s="139">
        <v>14</v>
      </c>
      <c r="B19" s="140">
        <v>45052</v>
      </c>
      <c r="C19" s="141" t="s">
        <v>19</v>
      </c>
      <c r="D19" s="141" t="s">
        <v>209</v>
      </c>
      <c r="E19" s="142">
        <v>112960004</v>
      </c>
      <c r="F19" s="143" t="s">
        <v>210</v>
      </c>
      <c r="G19" s="144" t="s">
        <v>211</v>
      </c>
      <c r="H19" s="141">
        <v>395118</v>
      </c>
      <c r="I19" s="141" t="s">
        <v>24</v>
      </c>
      <c r="J19" s="144" t="s">
        <v>21</v>
      </c>
      <c r="K19" s="145">
        <v>45183</v>
      </c>
      <c r="L19" s="146" t="s">
        <v>120</v>
      </c>
      <c r="M19" s="146" t="s">
        <v>212</v>
      </c>
      <c r="N19" s="141">
        <v>998053299</v>
      </c>
      <c r="O19" s="147">
        <v>30</v>
      </c>
      <c r="P19" s="144" t="s">
        <v>48</v>
      </c>
      <c r="Q19" s="144" t="s">
        <v>24</v>
      </c>
      <c r="R19" s="148"/>
      <c r="S19" s="141" t="s">
        <v>209</v>
      </c>
      <c r="T19" s="249" t="s">
        <v>213</v>
      </c>
      <c r="U19" s="250" t="s">
        <v>214</v>
      </c>
    </row>
    <row r="20" spans="1:21" ht="15.75">
      <c r="A20" s="139">
        <v>15</v>
      </c>
      <c r="B20" s="140">
        <v>45052</v>
      </c>
      <c r="C20" s="141" t="s">
        <v>91</v>
      </c>
      <c r="D20" s="141" t="s">
        <v>118</v>
      </c>
      <c r="E20" s="142">
        <v>40782128</v>
      </c>
      <c r="F20" s="143" t="s">
        <v>215</v>
      </c>
      <c r="G20" s="144" t="s">
        <v>216</v>
      </c>
      <c r="H20" s="141">
        <v>394489</v>
      </c>
      <c r="I20" s="141" t="s">
        <v>24</v>
      </c>
      <c r="J20" s="144" t="s">
        <v>21</v>
      </c>
      <c r="K20" s="145">
        <v>45183</v>
      </c>
      <c r="L20" s="146" t="s">
        <v>120</v>
      </c>
      <c r="M20" s="146" t="s">
        <v>212</v>
      </c>
      <c r="N20" s="141">
        <v>998053299</v>
      </c>
      <c r="O20" s="147">
        <v>15</v>
      </c>
      <c r="P20" s="144" t="s">
        <v>48</v>
      </c>
      <c r="Q20" s="144" t="s">
        <v>24</v>
      </c>
      <c r="R20" s="148"/>
      <c r="S20" s="141" t="s">
        <v>118</v>
      </c>
      <c r="T20" s="249" t="s">
        <v>213</v>
      </c>
      <c r="U20" s="250" t="s">
        <v>214</v>
      </c>
    </row>
    <row r="21" spans="1:21" ht="15.75">
      <c r="A21" s="139">
        <v>16</v>
      </c>
      <c r="B21" s="140">
        <v>45163</v>
      </c>
      <c r="C21" s="141" t="s">
        <v>163</v>
      </c>
      <c r="D21" s="141" t="s">
        <v>217</v>
      </c>
      <c r="E21" s="142">
        <v>111040006</v>
      </c>
      <c r="F21" s="143" t="s">
        <v>218</v>
      </c>
      <c r="G21" s="144" t="s">
        <v>219</v>
      </c>
      <c r="H21" s="141" t="s">
        <v>25</v>
      </c>
      <c r="I21" s="141" t="s">
        <v>24</v>
      </c>
      <c r="J21" s="144" t="s">
        <v>21</v>
      </c>
      <c r="K21" s="145">
        <v>45182</v>
      </c>
      <c r="L21" s="146" t="s">
        <v>220</v>
      </c>
      <c r="M21" s="146" t="s">
        <v>117</v>
      </c>
      <c r="N21" s="141">
        <v>984706882</v>
      </c>
      <c r="O21" s="147">
        <v>15</v>
      </c>
      <c r="P21" s="144" t="s">
        <v>48</v>
      </c>
      <c r="Q21" s="144" t="s">
        <v>24</v>
      </c>
      <c r="R21" s="148"/>
      <c r="S21" s="141" t="s">
        <v>217</v>
      </c>
      <c r="T21" s="249" t="s">
        <v>221</v>
      </c>
      <c r="U21" s="250" t="s">
        <v>222</v>
      </c>
    </row>
    <row r="22" spans="1:21" ht="15.75">
      <c r="A22" s="139">
        <v>17</v>
      </c>
      <c r="B22" s="140">
        <v>45163</v>
      </c>
      <c r="C22" s="141" t="s">
        <v>163</v>
      </c>
      <c r="D22" s="141" t="s">
        <v>217</v>
      </c>
      <c r="E22" s="142">
        <v>40480321</v>
      </c>
      <c r="F22" s="143" t="s">
        <v>165</v>
      </c>
      <c r="G22" s="144" t="s">
        <v>223</v>
      </c>
      <c r="H22" s="141" t="s">
        <v>25</v>
      </c>
      <c r="I22" s="141" t="s">
        <v>24</v>
      </c>
      <c r="J22" s="144" t="s">
        <v>21</v>
      </c>
      <c r="K22" s="145">
        <v>45182</v>
      </c>
      <c r="L22" s="146" t="s">
        <v>220</v>
      </c>
      <c r="M22" s="146" t="s">
        <v>117</v>
      </c>
      <c r="N22" s="141">
        <v>984706882</v>
      </c>
      <c r="O22" s="147">
        <v>30</v>
      </c>
      <c r="P22" s="144" t="s">
        <v>48</v>
      </c>
      <c r="Q22" s="144" t="s">
        <v>24</v>
      </c>
      <c r="R22" s="148"/>
      <c r="S22" s="141" t="s">
        <v>217</v>
      </c>
      <c r="T22" s="249" t="s">
        <v>221</v>
      </c>
      <c r="U22" s="250" t="s">
        <v>222</v>
      </c>
    </row>
    <row r="23" spans="1:21" ht="15.75">
      <c r="A23" s="139">
        <v>18</v>
      </c>
      <c r="B23" s="140">
        <v>45163</v>
      </c>
      <c r="C23" s="141" t="s">
        <v>163</v>
      </c>
      <c r="D23" s="141" t="s">
        <v>217</v>
      </c>
      <c r="E23" s="142">
        <v>112580027</v>
      </c>
      <c r="F23" s="143" t="s">
        <v>224</v>
      </c>
      <c r="G23" s="144" t="s">
        <v>225</v>
      </c>
      <c r="H23" s="141" t="s">
        <v>25</v>
      </c>
      <c r="I23" s="141" t="s">
        <v>24</v>
      </c>
      <c r="J23" s="144" t="s">
        <v>21</v>
      </c>
      <c r="K23" s="145">
        <v>45182</v>
      </c>
      <c r="L23" s="146" t="s">
        <v>220</v>
      </c>
      <c r="M23" s="146" t="s">
        <v>117</v>
      </c>
      <c r="N23" s="141">
        <v>984706882</v>
      </c>
      <c r="O23" s="147">
        <v>15</v>
      </c>
      <c r="P23" s="144" t="s">
        <v>48</v>
      </c>
      <c r="Q23" s="144" t="s">
        <v>24</v>
      </c>
      <c r="R23" s="148"/>
      <c r="S23" s="141" t="s">
        <v>217</v>
      </c>
      <c r="T23" s="249" t="s">
        <v>221</v>
      </c>
      <c r="U23" s="250" t="s">
        <v>222</v>
      </c>
    </row>
    <row r="24" spans="1:21" ht="15.75">
      <c r="A24" s="139">
        <v>19</v>
      </c>
      <c r="B24" s="140">
        <v>45096</v>
      </c>
      <c r="C24" s="141" t="s">
        <v>91</v>
      </c>
      <c r="D24" s="141" t="s">
        <v>338</v>
      </c>
      <c r="E24" s="142">
        <v>41560151</v>
      </c>
      <c r="F24" s="143" t="s">
        <v>339</v>
      </c>
      <c r="G24" s="144" t="s">
        <v>340</v>
      </c>
      <c r="H24" s="141" t="s">
        <v>25</v>
      </c>
      <c r="I24" s="141" t="s">
        <v>24</v>
      </c>
      <c r="J24" s="144" t="s">
        <v>21</v>
      </c>
      <c r="K24" s="145">
        <v>45188</v>
      </c>
      <c r="L24" s="146" t="s">
        <v>167</v>
      </c>
      <c r="M24" s="146" t="s">
        <v>341</v>
      </c>
      <c r="N24" s="141">
        <v>98467227</v>
      </c>
      <c r="O24" s="147">
        <v>20</v>
      </c>
      <c r="P24" s="144" t="s">
        <v>48</v>
      </c>
      <c r="Q24" s="144" t="s">
        <v>24</v>
      </c>
      <c r="R24" s="148"/>
      <c r="S24" s="141" t="s">
        <v>338</v>
      </c>
      <c r="T24" s="249" t="s">
        <v>169</v>
      </c>
      <c r="U24" s="250" t="s">
        <v>342</v>
      </c>
    </row>
    <row r="25" spans="1:21" ht="15.75">
      <c r="A25" s="139">
        <v>20</v>
      </c>
      <c r="B25" s="140">
        <v>45096</v>
      </c>
      <c r="C25" s="141" t="s">
        <v>91</v>
      </c>
      <c r="D25" s="141" t="s">
        <v>338</v>
      </c>
      <c r="E25" s="142">
        <v>40782128</v>
      </c>
      <c r="F25" s="143" t="s">
        <v>215</v>
      </c>
      <c r="G25" s="144" t="s">
        <v>343</v>
      </c>
      <c r="H25" s="141" t="s">
        <v>25</v>
      </c>
      <c r="I25" s="141" t="s">
        <v>24</v>
      </c>
      <c r="J25" s="144" t="s">
        <v>21</v>
      </c>
      <c r="K25" s="145">
        <v>45188</v>
      </c>
      <c r="L25" s="146" t="s">
        <v>167</v>
      </c>
      <c r="M25" s="146" t="s">
        <v>341</v>
      </c>
      <c r="N25" s="141">
        <v>98467227</v>
      </c>
      <c r="O25" s="147">
        <v>20</v>
      </c>
      <c r="P25" s="144" t="s">
        <v>48</v>
      </c>
      <c r="Q25" s="144" t="s">
        <v>24</v>
      </c>
      <c r="R25" s="148"/>
      <c r="S25" s="141" t="s">
        <v>338</v>
      </c>
      <c r="T25" s="249" t="s">
        <v>169</v>
      </c>
      <c r="U25" s="250" t="s">
        <v>342</v>
      </c>
    </row>
    <row r="26" spans="1:21" ht="15.75">
      <c r="A26" s="139">
        <v>21</v>
      </c>
      <c r="B26" s="140">
        <v>44542</v>
      </c>
      <c r="C26" s="141" t="s">
        <v>91</v>
      </c>
      <c r="D26" s="141" t="s">
        <v>348</v>
      </c>
      <c r="E26" s="142">
        <v>112510035</v>
      </c>
      <c r="F26" s="143" t="s">
        <v>123</v>
      </c>
      <c r="G26" s="144" t="s">
        <v>347</v>
      </c>
      <c r="H26" s="141">
        <v>403358</v>
      </c>
      <c r="I26" s="141" t="s">
        <v>24</v>
      </c>
      <c r="J26" s="144" t="s">
        <v>21</v>
      </c>
      <c r="K26" s="145">
        <v>45188</v>
      </c>
      <c r="L26" s="146" t="s">
        <v>344</v>
      </c>
      <c r="M26" s="146" t="s">
        <v>345</v>
      </c>
      <c r="N26" s="254">
        <v>995172192</v>
      </c>
      <c r="O26" s="147">
        <v>20</v>
      </c>
      <c r="P26" s="144" t="s">
        <v>48</v>
      </c>
      <c r="Q26" s="144" t="s">
        <v>24</v>
      </c>
      <c r="R26" s="148"/>
      <c r="S26" s="141" t="s">
        <v>348</v>
      </c>
      <c r="T26" s="249" t="s">
        <v>349</v>
      </c>
      <c r="U26" s="250"/>
    </row>
    <row r="27" spans="1:21" ht="15.75">
      <c r="A27" s="139">
        <v>22</v>
      </c>
      <c r="B27" s="140">
        <v>44542</v>
      </c>
      <c r="C27" s="141" t="s">
        <v>91</v>
      </c>
      <c r="D27" s="141" t="s">
        <v>348</v>
      </c>
      <c r="E27" s="142">
        <v>41560061</v>
      </c>
      <c r="F27" s="143" t="s">
        <v>350</v>
      </c>
      <c r="G27" s="144" t="s">
        <v>351</v>
      </c>
      <c r="H27" s="141" t="s">
        <v>25</v>
      </c>
      <c r="I27" s="141" t="s">
        <v>24</v>
      </c>
      <c r="J27" s="144" t="s">
        <v>21</v>
      </c>
      <c r="K27" s="145">
        <v>45188</v>
      </c>
      <c r="L27" s="146" t="s">
        <v>344</v>
      </c>
      <c r="M27" s="146" t="s">
        <v>345</v>
      </c>
      <c r="N27" s="254">
        <v>995172192</v>
      </c>
      <c r="O27" s="147">
        <v>20</v>
      </c>
      <c r="P27" s="144" t="s">
        <v>48</v>
      </c>
      <c r="Q27" s="144" t="s">
        <v>24</v>
      </c>
      <c r="R27" s="148"/>
      <c r="S27" s="141" t="s">
        <v>348</v>
      </c>
      <c r="T27" s="249" t="s">
        <v>349</v>
      </c>
      <c r="U27" s="250"/>
    </row>
    <row r="28" spans="1:21">
      <c r="O28" s="152">
        <f>SUM(O6:O27)</f>
        <v>430</v>
      </c>
    </row>
  </sheetData>
  <hyperlinks>
    <hyperlink ref="U6" r:id="rId1"/>
    <hyperlink ref="U7" r:id="rId2"/>
    <hyperlink ref="U10" r:id="rId3"/>
    <hyperlink ref="U11" r:id="rId4"/>
    <hyperlink ref="U12" r:id="rId5"/>
    <hyperlink ref="U13" r:id="rId6"/>
    <hyperlink ref="U14" r:id="rId7"/>
    <hyperlink ref="U15" r:id="rId8"/>
    <hyperlink ref="U16" r:id="rId9"/>
    <hyperlink ref="U17" r:id="rId10"/>
    <hyperlink ref="U18" r:id="rId11"/>
    <hyperlink ref="U19" r:id="rId12"/>
    <hyperlink ref="U20" r:id="rId13"/>
    <hyperlink ref="U21" r:id="rId14"/>
    <hyperlink ref="U22" r:id="rId15"/>
    <hyperlink ref="U23" r:id="rId16"/>
    <hyperlink ref="U24" r:id="rId17"/>
    <hyperlink ref="U25" r:id="rId18"/>
  </hyperlinks>
  <pageMargins left="0.7" right="0.7" top="0.75" bottom="0.75" header="0.3" footer="0.3"/>
  <drawing r:id="rId19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9"/>
  <sheetViews>
    <sheetView tabSelected="1" topLeftCell="A3" workbookViewId="0">
      <selection activeCell="A16" sqref="A16"/>
    </sheetView>
  </sheetViews>
  <sheetFormatPr baseColWidth="10" defaultRowHeight="15"/>
  <cols>
    <col min="2" max="3" width="11.85546875" bestFit="1" customWidth="1"/>
    <col min="6" max="6" width="34.7109375" customWidth="1"/>
    <col min="8" max="8" width="27.28515625" customWidth="1"/>
    <col min="9" max="9" width="16.140625" customWidth="1"/>
    <col min="10" max="10" width="11.85546875" bestFit="1" customWidth="1"/>
    <col min="12" max="12" width="23.42578125" customWidth="1"/>
    <col min="13" max="13" width="19.5703125" customWidth="1"/>
    <col min="15" max="15" width="20.5703125" bestFit="1" customWidth="1"/>
  </cols>
  <sheetData>
    <row r="1" spans="1:18">
      <c r="A1" s="98"/>
      <c r="C1" s="149"/>
      <c r="D1" s="150"/>
      <c r="I1" s="151"/>
      <c r="K1" s="152"/>
      <c r="L1" s="152"/>
    </row>
    <row r="2" spans="1:18">
      <c r="A2" s="98"/>
      <c r="B2" s="114"/>
      <c r="C2" s="153" t="s">
        <v>28</v>
      </c>
      <c r="D2" s="154"/>
      <c r="E2" s="155"/>
      <c r="F2" s="156"/>
      <c r="G2" s="157"/>
      <c r="M2" s="158"/>
      <c r="O2" s="98"/>
    </row>
    <row r="3" spans="1:18">
      <c r="A3" s="98"/>
      <c r="B3" s="114"/>
      <c r="C3" s="159" t="s">
        <v>1</v>
      </c>
      <c r="D3" s="160"/>
      <c r="E3" s="161"/>
      <c r="F3" s="161"/>
      <c r="G3" s="157"/>
      <c r="M3" s="158"/>
      <c r="O3" s="98"/>
    </row>
    <row r="4" spans="1:18" ht="19.5">
      <c r="A4" s="98"/>
      <c r="B4" s="162" t="s">
        <v>147</v>
      </c>
      <c r="C4" s="163"/>
      <c r="D4" s="163"/>
      <c r="E4" s="164" t="s">
        <v>49</v>
      </c>
      <c r="F4" s="165"/>
      <c r="G4" s="164"/>
      <c r="H4" s="166"/>
      <c r="I4" s="163"/>
      <c r="J4" s="167"/>
      <c r="K4" s="167"/>
      <c r="L4" s="168"/>
      <c r="M4" s="169" t="s">
        <v>100</v>
      </c>
      <c r="O4" s="98"/>
    </row>
    <row r="5" spans="1:18">
      <c r="A5" s="98"/>
      <c r="B5" s="170" t="s">
        <v>50</v>
      </c>
      <c r="C5" s="171"/>
      <c r="D5" s="171"/>
      <c r="E5" s="171"/>
      <c r="F5" s="171"/>
      <c r="G5" s="171"/>
      <c r="H5" s="171"/>
      <c r="I5" s="171"/>
      <c r="J5" s="171"/>
      <c r="K5" s="171"/>
      <c r="L5" s="171"/>
      <c r="M5" s="172"/>
      <c r="O5" s="98"/>
    </row>
    <row r="6" spans="1:18">
      <c r="A6" s="98"/>
      <c r="B6" s="173" t="s">
        <v>99</v>
      </c>
      <c r="C6" s="174"/>
      <c r="D6" s="174"/>
      <c r="E6" s="174"/>
      <c r="F6" s="174"/>
      <c r="G6" s="174"/>
      <c r="H6" s="174"/>
      <c r="I6" s="174"/>
      <c r="J6" s="174"/>
      <c r="K6" s="174"/>
      <c r="L6" s="174"/>
      <c r="M6" s="175"/>
      <c r="O6" s="98"/>
    </row>
    <row r="7" spans="1:18" ht="23.25">
      <c r="A7" s="98"/>
      <c r="B7" s="176" t="s">
        <v>51</v>
      </c>
      <c r="C7" s="176" t="s">
        <v>52</v>
      </c>
      <c r="D7" s="176" t="s">
        <v>53</v>
      </c>
      <c r="E7" s="176" t="s">
        <v>54</v>
      </c>
      <c r="F7" s="176" t="s">
        <v>55</v>
      </c>
      <c r="G7" s="176" t="s">
        <v>56</v>
      </c>
      <c r="H7" s="176" t="s">
        <v>57</v>
      </c>
      <c r="I7" s="176" t="s">
        <v>58</v>
      </c>
      <c r="J7" s="176" t="s">
        <v>59</v>
      </c>
      <c r="K7" s="176" t="s">
        <v>60</v>
      </c>
      <c r="L7" s="176" t="s">
        <v>61</v>
      </c>
      <c r="M7" s="176" t="s">
        <v>62</v>
      </c>
      <c r="N7" s="176" t="s">
        <v>63</v>
      </c>
      <c r="O7" s="176" t="s">
        <v>64</v>
      </c>
      <c r="P7" s="176" t="s">
        <v>23</v>
      </c>
      <c r="Q7" s="176" t="s">
        <v>65</v>
      </c>
    </row>
    <row r="8" spans="1:18" ht="15.75">
      <c r="A8" s="177">
        <v>1</v>
      </c>
      <c r="B8" s="185">
        <v>45027</v>
      </c>
      <c r="C8" s="348">
        <v>45167</v>
      </c>
      <c r="D8" s="186">
        <v>1</v>
      </c>
      <c r="E8" s="187">
        <v>60803269</v>
      </c>
      <c r="F8" s="188" t="s">
        <v>122</v>
      </c>
      <c r="G8" s="187">
        <v>112510035</v>
      </c>
      <c r="H8" s="189" t="s">
        <v>123</v>
      </c>
      <c r="I8" s="185" t="s">
        <v>127</v>
      </c>
      <c r="J8" s="185" t="s">
        <v>25</v>
      </c>
      <c r="K8" s="178" t="s">
        <v>3</v>
      </c>
      <c r="L8" s="187" t="s">
        <v>124</v>
      </c>
      <c r="M8" s="187" t="s">
        <v>95</v>
      </c>
      <c r="N8" s="187">
        <v>12.5</v>
      </c>
      <c r="O8" s="190">
        <v>105015747</v>
      </c>
      <c r="P8" s="252"/>
      <c r="Q8" s="187">
        <v>984993067</v>
      </c>
    </row>
    <row r="9" spans="1:18" ht="15.75">
      <c r="A9" s="177">
        <v>2</v>
      </c>
      <c r="B9" s="178">
        <v>45108</v>
      </c>
      <c r="C9" s="349">
        <v>45174</v>
      </c>
      <c r="D9" s="179">
        <v>1</v>
      </c>
      <c r="E9" s="180"/>
      <c r="F9" s="181" t="s">
        <v>125</v>
      </c>
      <c r="G9" s="180">
        <v>112610069</v>
      </c>
      <c r="H9" s="182" t="s">
        <v>126</v>
      </c>
      <c r="I9" s="178" t="s">
        <v>128</v>
      </c>
      <c r="J9" s="178" t="s">
        <v>25</v>
      </c>
      <c r="K9" s="178" t="s">
        <v>3</v>
      </c>
      <c r="L9" s="180" t="s">
        <v>129</v>
      </c>
      <c r="M9" s="180" t="s">
        <v>130</v>
      </c>
      <c r="N9" s="180">
        <v>12.5</v>
      </c>
      <c r="O9" s="183">
        <v>151810694</v>
      </c>
      <c r="P9" s="251" t="s">
        <v>131</v>
      </c>
      <c r="Q9" s="180">
        <v>986133297</v>
      </c>
      <c r="R9" s="184"/>
    </row>
    <row r="10" spans="1:18" ht="15.75">
      <c r="A10" s="177">
        <v>3</v>
      </c>
      <c r="B10" s="348">
        <v>45166</v>
      </c>
      <c r="C10" s="348">
        <v>45166</v>
      </c>
      <c r="D10" s="186">
        <v>1</v>
      </c>
      <c r="E10" s="187"/>
      <c r="F10" s="188" t="s">
        <v>132</v>
      </c>
      <c r="G10" s="187"/>
      <c r="H10" s="189" t="s">
        <v>133</v>
      </c>
      <c r="I10" s="185" t="s">
        <v>134</v>
      </c>
      <c r="J10" s="185" t="s">
        <v>25</v>
      </c>
      <c r="K10" s="178" t="s">
        <v>3</v>
      </c>
      <c r="L10" s="187" t="s">
        <v>135</v>
      </c>
      <c r="M10" s="187" t="s">
        <v>141</v>
      </c>
      <c r="N10" s="187">
        <v>12.5</v>
      </c>
      <c r="O10" s="190">
        <v>107262495</v>
      </c>
      <c r="P10" s="252" t="s">
        <v>136</v>
      </c>
      <c r="Q10" s="187">
        <v>979184266</v>
      </c>
      <c r="R10" s="184"/>
    </row>
    <row r="11" spans="1:18" ht="15.75">
      <c r="A11" s="177">
        <v>4</v>
      </c>
      <c r="B11" s="348">
        <v>45184</v>
      </c>
      <c r="C11" s="348">
        <v>45184</v>
      </c>
      <c r="D11" s="186">
        <v>1</v>
      </c>
      <c r="E11" s="187"/>
      <c r="F11" s="188" t="s">
        <v>138</v>
      </c>
      <c r="G11" s="187"/>
      <c r="H11" s="188" t="s">
        <v>137</v>
      </c>
      <c r="I11" s="185" t="s">
        <v>139</v>
      </c>
      <c r="J11" s="185" t="s">
        <v>25</v>
      </c>
      <c r="K11" s="178" t="s">
        <v>3</v>
      </c>
      <c r="L11" s="187" t="s">
        <v>135</v>
      </c>
      <c r="M11" s="187" t="s">
        <v>140</v>
      </c>
      <c r="N11" s="187">
        <v>12.5</v>
      </c>
      <c r="O11" s="190">
        <v>107262495</v>
      </c>
      <c r="P11" s="252" t="s">
        <v>136</v>
      </c>
      <c r="Q11" s="187">
        <v>979184266</v>
      </c>
      <c r="R11" s="184"/>
    </row>
    <row r="12" spans="1:18" ht="15.75">
      <c r="A12" s="177">
        <v>5</v>
      </c>
      <c r="B12" s="191">
        <v>44749</v>
      </c>
      <c r="C12" s="350">
        <v>45170</v>
      </c>
      <c r="D12" s="192">
        <v>1</v>
      </c>
      <c r="E12" s="194">
        <v>60803252</v>
      </c>
      <c r="F12" s="194" t="s">
        <v>144</v>
      </c>
      <c r="G12" s="193">
        <v>112520025</v>
      </c>
      <c r="H12" s="194" t="s">
        <v>143</v>
      </c>
      <c r="I12" s="191" t="s">
        <v>145</v>
      </c>
      <c r="J12" s="191" t="s">
        <v>25</v>
      </c>
      <c r="K12" s="178" t="s">
        <v>3</v>
      </c>
      <c r="L12" s="193" t="s">
        <v>146</v>
      </c>
      <c r="M12" s="193" t="s">
        <v>95</v>
      </c>
      <c r="N12" s="193">
        <v>12.5</v>
      </c>
      <c r="O12" s="196">
        <v>105729222</v>
      </c>
      <c r="P12" s="193"/>
      <c r="Q12" s="193">
        <v>984396086</v>
      </c>
      <c r="R12" s="184"/>
    </row>
    <row r="13" spans="1:18" ht="15.75">
      <c r="A13" s="177">
        <v>6</v>
      </c>
      <c r="B13" s="191">
        <v>45168</v>
      </c>
      <c r="C13" s="350">
        <v>45180</v>
      </c>
      <c r="D13" s="192">
        <v>1</v>
      </c>
      <c r="E13" s="193">
        <v>89720031</v>
      </c>
      <c r="F13" s="194" t="s">
        <v>148</v>
      </c>
      <c r="G13" s="193">
        <v>40584105</v>
      </c>
      <c r="H13" s="195" t="s">
        <v>149</v>
      </c>
      <c r="I13" s="191" t="s">
        <v>150</v>
      </c>
      <c r="J13" s="191" t="s">
        <v>25</v>
      </c>
      <c r="K13" s="178" t="s">
        <v>3</v>
      </c>
      <c r="L13" s="193" t="s">
        <v>151</v>
      </c>
      <c r="M13" s="193" t="s">
        <v>95</v>
      </c>
      <c r="N13" s="193">
        <v>15</v>
      </c>
      <c r="O13" s="196">
        <v>100883933</v>
      </c>
      <c r="P13" s="257" t="s">
        <v>152</v>
      </c>
      <c r="Q13" s="193">
        <v>989465567</v>
      </c>
    </row>
    <row r="14" spans="1:18">
      <c r="A14" s="98"/>
      <c r="N14">
        <f>SUM(N8:N13)</f>
        <v>77.5</v>
      </c>
    </row>
    <row r="15" spans="1:18">
      <c r="A15" s="199"/>
      <c r="B15" s="114"/>
      <c r="M15" s="151"/>
    </row>
    <row r="16" spans="1:18" ht="15.75">
      <c r="A16" s="199"/>
      <c r="B16" s="114"/>
      <c r="G16" s="197">
        <v>2</v>
      </c>
      <c r="H16" s="198" t="s">
        <v>142</v>
      </c>
      <c r="I16">
        <v>12.5</v>
      </c>
      <c r="J16">
        <v>25</v>
      </c>
      <c r="M16" s="151"/>
    </row>
    <row r="17" spans="1:13" ht="15.75">
      <c r="A17" s="199"/>
      <c r="B17" s="114"/>
      <c r="G17" s="197">
        <v>3</v>
      </c>
      <c r="H17" s="198" t="s">
        <v>92</v>
      </c>
      <c r="I17">
        <v>12.5</v>
      </c>
      <c r="J17">
        <f t="shared" ref="J17" si="0">I17*G17</f>
        <v>37.5</v>
      </c>
      <c r="M17" s="151"/>
    </row>
    <row r="18" spans="1:13" ht="15.75">
      <c r="A18" s="199"/>
      <c r="B18" s="114"/>
      <c r="G18" s="197">
        <v>1</v>
      </c>
      <c r="H18" s="256" t="s">
        <v>93</v>
      </c>
      <c r="I18">
        <v>15</v>
      </c>
      <c r="J18">
        <v>15</v>
      </c>
      <c r="M18" s="151"/>
    </row>
    <row r="19" spans="1:13">
      <c r="G19" s="200"/>
      <c r="J19">
        <f>SUM(J16:J18)</f>
        <v>77.5</v>
      </c>
    </row>
  </sheetData>
  <hyperlinks>
    <hyperlink ref="P9" r:id="rId1"/>
    <hyperlink ref="P10" r:id="rId2"/>
    <hyperlink ref="P11" r:id="rId3"/>
    <hyperlink ref="P13" r:id="rId4"/>
  </hyperlinks>
  <pageMargins left="0.7" right="0.7" top="0.75" bottom="0.75" header="0.3" footer="0.3"/>
  <drawing r:id="rId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78"/>
  <sheetViews>
    <sheetView topLeftCell="F34" zoomScale="83" zoomScaleNormal="83" workbookViewId="0">
      <selection activeCell="Q54" sqref="Q54"/>
    </sheetView>
  </sheetViews>
  <sheetFormatPr baseColWidth="10" defaultRowHeight="15"/>
  <cols>
    <col min="2" max="2" width="15.7109375" customWidth="1"/>
    <col min="3" max="3" width="22.140625" customWidth="1"/>
    <col min="4" max="4" width="37.85546875" customWidth="1"/>
    <col min="5" max="5" width="15.28515625" customWidth="1"/>
    <col min="6" max="6" width="34.7109375" customWidth="1"/>
    <col min="7" max="7" width="19.42578125" customWidth="1"/>
    <col min="8" max="8" width="14.140625" customWidth="1"/>
    <col min="9" max="9" width="13.42578125" customWidth="1"/>
    <col min="13" max="13" width="17.85546875" customWidth="1"/>
    <col min="15" max="15" width="14.7109375" customWidth="1"/>
    <col min="16" max="16" width="32" customWidth="1"/>
    <col min="17" max="17" width="34.140625" customWidth="1"/>
    <col min="18" max="18" width="49.5703125" customWidth="1"/>
  </cols>
  <sheetData>
    <row r="1" spans="1:18">
      <c r="A1" s="201"/>
      <c r="B1" s="202" t="s">
        <v>0</v>
      </c>
      <c r="C1" s="203"/>
      <c r="D1" s="203"/>
      <c r="E1" s="204"/>
      <c r="F1" s="205"/>
      <c r="G1" s="206"/>
      <c r="H1" s="206"/>
      <c r="I1" s="207"/>
      <c r="J1" s="208"/>
      <c r="K1" s="209"/>
      <c r="L1" s="209"/>
      <c r="M1" s="210"/>
      <c r="N1" s="209"/>
      <c r="O1" s="207"/>
      <c r="P1" s="206"/>
      <c r="Q1" s="201"/>
      <c r="R1" s="201"/>
    </row>
    <row r="2" spans="1:18">
      <c r="A2" s="201"/>
      <c r="B2" s="202" t="s">
        <v>104</v>
      </c>
      <c r="C2" s="203"/>
      <c r="D2" s="203"/>
      <c r="E2" s="204"/>
      <c r="F2" s="205"/>
      <c r="G2" s="206"/>
      <c r="H2" s="206"/>
      <c r="I2" s="207"/>
      <c r="J2" s="208"/>
      <c r="K2" s="209"/>
      <c r="L2" s="209"/>
      <c r="M2" s="211"/>
      <c r="N2" s="209"/>
      <c r="O2" s="207"/>
      <c r="P2" s="206"/>
      <c r="Q2" s="201"/>
      <c r="R2" s="201"/>
    </row>
    <row r="3" spans="1:18">
      <c r="A3" s="201"/>
      <c r="B3" s="202" t="s">
        <v>66</v>
      </c>
      <c r="C3" s="203"/>
      <c r="D3" s="203"/>
      <c r="E3" s="204"/>
      <c r="F3" s="205"/>
      <c r="G3" s="206"/>
      <c r="H3" s="206"/>
      <c r="I3" s="207"/>
      <c r="J3" s="208"/>
      <c r="K3" s="209"/>
      <c r="L3" s="209"/>
      <c r="M3" s="211"/>
      <c r="N3" s="209"/>
      <c r="O3" s="207"/>
      <c r="P3" s="206"/>
      <c r="Q3" s="201"/>
      <c r="R3" s="201"/>
    </row>
    <row r="4" spans="1:18">
      <c r="A4" s="201"/>
      <c r="B4" s="212" t="s">
        <v>67</v>
      </c>
      <c r="C4" s="213"/>
      <c r="D4" s="213"/>
      <c r="E4" s="214"/>
      <c r="F4" s="215"/>
      <c r="G4" s="216"/>
      <c r="H4" s="217" t="s">
        <v>68</v>
      </c>
      <c r="I4" s="218" t="s">
        <v>67</v>
      </c>
      <c r="J4" s="219" t="s">
        <v>69</v>
      </c>
      <c r="K4" s="214" t="s">
        <v>70</v>
      </c>
      <c r="L4" s="220"/>
      <c r="M4" s="221"/>
      <c r="N4" s="214"/>
      <c r="O4" s="212" t="s">
        <v>67</v>
      </c>
      <c r="P4" s="222"/>
      <c r="Q4" s="222"/>
      <c r="R4" s="223"/>
    </row>
    <row r="5" spans="1:18">
      <c r="A5" s="201"/>
      <c r="B5" s="224"/>
      <c r="C5" s="225" t="s">
        <v>71</v>
      </c>
      <c r="D5" s="225" t="s">
        <v>72</v>
      </c>
      <c r="E5" s="226" t="s">
        <v>73</v>
      </c>
      <c r="F5" s="227" t="s">
        <v>74</v>
      </c>
      <c r="G5" s="228" t="s">
        <v>75</v>
      </c>
      <c r="H5" s="229" t="s">
        <v>76</v>
      </c>
      <c r="I5" s="230" t="s">
        <v>76</v>
      </c>
      <c r="J5" s="231" t="s">
        <v>77</v>
      </c>
      <c r="K5" s="226" t="s">
        <v>77</v>
      </c>
      <c r="L5" s="232" t="s">
        <v>78</v>
      </c>
      <c r="M5" s="233" t="s">
        <v>79</v>
      </c>
      <c r="N5" s="226" t="s">
        <v>80</v>
      </c>
      <c r="O5" s="224" t="s">
        <v>76</v>
      </c>
      <c r="P5" s="234" t="s">
        <v>81</v>
      </c>
      <c r="Q5" s="234" t="s">
        <v>82</v>
      </c>
      <c r="R5" s="235" t="s">
        <v>83</v>
      </c>
    </row>
    <row r="6" spans="1:18">
      <c r="A6" s="201"/>
      <c r="B6" s="236"/>
      <c r="C6" s="237"/>
      <c r="D6" s="237"/>
      <c r="E6" s="238"/>
      <c r="F6" s="239"/>
      <c r="G6" s="240"/>
      <c r="H6" s="241" t="s">
        <v>84</v>
      </c>
      <c r="I6" s="242" t="s">
        <v>84</v>
      </c>
      <c r="J6" s="243" t="s">
        <v>11</v>
      </c>
      <c r="K6" s="238" t="s">
        <v>85</v>
      </c>
      <c r="L6" s="244"/>
      <c r="M6" s="245"/>
      <c r="N6" s="238"/>
      <c r="O6" s="236" t="s">
        <v>86</v>
      </c>
      <c r="P6" s="246"/>
      <c r="Q6" s="246"/>
      <c r="R6" s="247"/>
    </row>
    <row r="7" spans="1:18" s="272" customFormat="1" ht="29.25" customHeight="1">
      <c r="A7" s="270">
        <v>1</v>
      </c>
      <c r="B7" s="274">
        <v>45159</v>
      </c>
      <c r="C7" s="285" t="s">
        <v>230</v>
      </c>
      <c r="D7" s="286" t="s">
        <v>231</v>
      </c>
      <c r="E7" s="285">
        <v>988689613</v>
      </c>
      <c r="F7" s="275" t="s">
        <v>300</v>
      </c>
      <c r="G7" s="276" t="s">
        <v>87</v>
      </c>
      <c r="H7" s="285" t="s">
        <v>226</v>
      </c>
      <c r="I7" s="274">
        <v>44877</v>
      </c>
      <c r="J7" s="276"/>
      <c r="K7" s="276"/>
      <c r="L7" s="280" t="s">
        <v>25</v>
      </c>
      <c r="M7" s="287" t="s">
        <v>229</v>
      </c>
      <c r="N7" s="277"/>
      <c r="O7" s="274">
        <v>45159</v>
      </c>
      <c r="P7" s="271"/>
      <c r="Q7" s="288">
        <v>103124749</v>
      </c>
      <c r="R7" s="276"/>
    </row>
    <row r="8" spans="1:18" s="272" customFormat="1" ht="21" customHeight="1">
      <c r="A8" s="270">
        <v>2</v>
      </c>
      <c r="B8" s="274">
        <v>45159</v>
      </c>
      <c r="C8" s="274" t="s">
        <v>236</v>
      </c>
      <c r="D8" s="274" t="s">
        <v>237</v>
      </c>
      <c r="E8" s="285">
        <v>988359937</v>
      </c>
      <c r="F8" s="274" t="s">
        <v>301</v>
      </c>
      <c r="G8" s="276" t="s">
        <v>87</v>
      </c>
      <c r="H8" s="274" t="s">
        <v>173</v>
      </c>
      <c r="I8" s="274">
        <v>45150</v>
      </c>
      <c r="J8" s="276"/>
      <c r="K8" s="276"/>
      <c r="L8" s="280">
        <v>398508</v>
      </c>
      <c r="M8" s="274" t="s">
        <v>235</v>
      </c>
      <c r="N8" s="277"/>
      <c r="O8" s="274">
        <v>45159</v>
      </c>
      <c r="P8" s="273"/>
      <c r="Q8" s="288">
        <v>103031464</v>
      </c>
      <c r="R8" s="276"/>
    </row>
    <row r="9" spans="1:18" s="272" customFormat="1" ht="21" customHeight="1">
      <c r="A9" s="270">
        <v>3</v>
      </c>
      <c r="B9" s="274">
        <v>45160</v>
      </c>
      <c r="C9" s="274" t="s">
        <v>242</v>
      </c>
      <c r="D9" s="274" t="s">
        <v>243</v>
      </c>
      <c r="E9" s="285">
        <v>980648878</v>
      </c>
      <c r="F9" s="274" t="s">
        <v>316</v>
      </c>
      <c r="G9" s="276" t="s">
        <v>87</v>
      </c>
      <c r="H9" s="274" t="s">
        <v>19</v>
      </c>
      <c r="I9" s="274">
        <v>45159</v>
      </c>
      <c r="J9" s="276"/>
      <c r="K9" s="276"/>
      <c r="L9" s="280" t="s">
        <v>25</v>
      </c>
      <c r="M9" s="274" t="s">
        <v>241</v>
      </c>
      <c r="N9" s="277"/>
      <c r="O9" s="274"/>
      <c r="P9" s="273"/>
      <c r="Q9" s="274">
        <v>45160</v>
      </c>
      <c r="R9" s="276"/>
    </row>
    <row r="10" spans="1:18" s="272" customFormat="1" ht="21" customHeight="1">
      <c r="A10" s="270">
        <v>4</v>
      </c>
      <c r="B10" s="274">
        <v>45160</v>
      </c>
      <c r="C10" s="274" t="s">
        <v>249</v>
      </c>
      <c r="D10" s="274" t="s">
        <v>250</v>
      </c>
      <c r="E10" s="285">
        <v>995731209</v>
      </c>
      <c r="F10" s="274" t="s">
        <v>317</v>
      </c>
      <c r="G10" s="276" t="s">
        <v>87</v>
      </c>
      <c r="H10" s="274" t="s">
        <v>245</v>
      </c>
      <c r="I10" s="274">
        <v>45153</v>
      </c>
      <c r="J10" s="276"/>
      <c r="K10" s="276"/>
      <c r="L10" s="280" t="s">
        <v>25</v>
      </c>
      <c r="M10" s="274" t="s">
        <v>248</v>
      </c>
      <c r="N10" s="277"/>
      <c r="O10" s="274">
        <v>45153</v>
      </c>
      <c r="P10" s="273"/>
      <c r="Q10" s="274">
        <v>45160</v>
      </c>
      <c r="R10" s="276"/>
    </row>
    <row r="11" spans="1:18" s="311" customFormat="1" ht="18.75" customHeight="1">
      <c r="A11" s="270">
        <v>5</v>
      </c>
      <c r="B11" s="303">
        <v>45161</v>
      </c>
      <c r="C11" s="304" t="s">
        <v>157</v>
      </c>
      <c r="D11" s="304" t="s">
        <v>117</v>
      </c>
      <c r="E11" s="305">
        <v>995102152</v>
      </c>
      <c r="F11" s="306" t="s">
        <v>302</v>
      </c>
      <c r="G11" s="307" t="s">
        <v>304</v>
      </c>
      <c r="H11" s="305" t="s">
        <v>153</v>
      </c>
      <c r="I11" s="303">
        <v>45142</v>
      </c>
      <c r="J11" s="307"/>
      <c r="K11" s="307"/>
      <c r="L11" s="305">
        <v>401729</v>
      </c>
      <c r="M11" s="308" t="s">
        <v>156</v>
      </c>
      <c r="N11" s="309"/>
      <c r="O11" s="303">
        <v>45161</v>
      </c>
      <c r="P11" s="310"/>
      <c r="Q11" s="308" t="s">
        <v>158</v>
      </c>
      <c r="R11" s="307"/>
    </row>
    <row r="12" spans="1:18" s="311" customFormat="1" ht="21" customHeight="1">
      <c r="A12" s="270">
        <v>6</v>
      </c>
      <c r="B12" s="303">
        <v>45161</v>
      </c>
      <c r="C12" s="304" t="s">
        <v>157</v>
      </c>
      <c r="D12" s="304" t="s">
        <v>117</v>
      </c>
      <c r="E12" s="305">
        <v>995102152</v>
      </c>
      <c r="F12" s="312" t="s">
        <v>303</v>
      </c>
      <c r="G12" s="307" t="s">
        <v>304</v>
      </c>
      <c r="H12" s="305" t="s">
        <v>19</v>
      </c>
      <c r="I12" s="303">
        <v>45070</v>
      </c>
      <c r="J12" s="307"/>
      <c r="K12" s="307"/>
      <c r="L12" s="305">
        <v>392531</v>
      </c>
      <c r="M12" s="308" t="s">
        <v>162</v>
      </c>
      <c r="N12" s="309"/>
      <c r="O12" s="303">
        <v>45161</v>
      </c>
      <c r="P12" s="313"/>
      <c r="Q12" s="308" t="s">
        <v>158</v>
      </c>
      <c r="R12" s="307"/>
    </row>
    <row r="13" spans="1:18" s="272" customFormat="1" ht="21" customHeight="1">
      <c r="A13" s="270">
        <v>7</v>
      </c>
      <c r="B13" s="274">
        <v>45161</v>
      </c>
      <c r="C13" s="274" t="s">
        <v>254</v>
      </c>
      <c r="D13" s="274" t="s">
        <v>255</v>
      </c>
      <c r="E13" s="285">
        <v>983734594</v>
      </c>
      <c r="F13" s="274" t="s">
        <v>318</v>
      </c>
      <c r="G13" s="276" t="s">
        <v>87</v>
      </c>
      <c r="H13" s="274" t="s">
        <v>19</v>
      </c>
      <c r="I13" s="274">
        <v>45143</v>
      </c>
      <c r="J13" s="276"/>
      <c r="K13" s="276"/>
      <c r="L13" s="280" t="s">
        <v>25</v>
      </c>
      <c r="M13" s="274" t="s">
        <v>253</v>
      </c>
      <c r="N13" s="277"/>
      <c r="O13" s="274">
        <v>45161</v>
      </c>
      <c r="P13" s="273"/>
      <c r="Q13" s="288">
        <v>103797593</v>
      </c>
      <c r="R13" s="276"/>
    </row>
    <row r="14" spans="1:18" s="322" customFormat="1" ht="23.25" customHeight="1">
      <c r="A14" s="270">
        <v>8</v>
      </c>
      <c r="B14" s="314">
        <v>45163</v>
      </c>
      <c r="C14" s="315" t="s">
        <v>109</v>
      </c>
      <c r="D14" s="315" t="s">
        <v>115</v>
      </c>
      <c r="E14" s="315">
        <v>998765069</v>
      </c>
      <c r="F14" s="315" t="s">
        <v>106</v>
      </c>
      <c r="G14" s="316" t="s">
        <v>319</v>
      </c>
      <c r="H14" s="315" t="s">
        <v>107</v>
      </c>
      <c r="I14" s="317">
        <v>45156</v>
      </c>
      <c r="J14" s="316"/>
      <c r="K14" s="316"/>
      <c r="L14" s="318">
        <v>403046</v>
      </c>
      <c r="M14" s="315" t="s">
        <v>108</v>
      </c>
      <c r="N14" s="319"/>
      <c r="O14" s="314">
        <v>45163</v>
      </c>
      <c r="P14" s="320"/>
      <c r="Q14" s="321">
        <v>102990504</v>
      </c>
      <c r="R14" s="316"/>
    </row>
    <row r="15" spans="1:18" s="311" customFormat="1" ht="20.25" customHeight="1">
      <c r="A15" s="270">
        <v>9</v>
      </c>
      <c r="B15" s="303">
        <v>45166</v>
      </c>
      <c r="C15" s="304" t="s">
        <v>167</v>
      </c>
      <c r="D15" s="304" t="s">
        <v>168</v>
      </c>
      <c r="E15" s="305">
        <v>984672287</v>
      </c>
      <c r="F15" s="305" t="s">
        <v>165</v>
      </c>
      <c r="G15" s="307" t="s">
        <v>304</v>
      </c>
      <c r="H15" s="305" t="s">
        <v>163</v>
      </c>
      <c r="I15" s="303">
        <v>45145</v>
      </c>
      <c r="J15" s="307"/>
      <c r="K15" s="307"/>
      <c r="L15" s="305">
        <v>402465</v>
      </c>
      <c r="M15" s="308" t="s">
        <v>166</v>
      </c>
      <c r="N15" s="309"/>
      <c r="O15" s="303">
        <v>45145</v>
      </c>
      <c r="P15" s="313"/>
      <c r="Q15" s="308" t="s">
        <v>169</v>
      </c>
      <c r="R15" s="307"/>
    </row>
    <row r="16" spans="1:18" s="311" customFormat="1">
      <c r="A16" s="270">
        <v>10</v>
      </c>
      <c r="B16" s="303">
        <v>45166</v>
      </c>
      <c r="C16" s="304" t="s">
        <v>167</v>
      </c>
      <c r="D16" s="304" t="s">
        <v>168</v>
      </c>
      <c r="E16" s="305">
        <v>984672287</v>
      </c>
      <c r="F16" s="305" t="s">
        <v>171</v>
      </c>
      <c r="G16" s="307" t="s">
        <v>304</v>
      </c>
      <c r="H16" s="305" t="s">
        <v>163</v>
      </c>
      <c r="I16" s="303">
        <v>45142</v>
      </c>
      <c r="J16" s="307"/>
      <c r="K16" s="307"/>
      <c r="L16" s="305">
        <v>402229</v>
      </c>
      <c r="M16" s="308" t="s">
        <v>172</v>
      </c>
      <c r="N16" s="309"/>
      <c r="O16" s="303">
        <v>45142</v>
      </c>
      <c r="P16" s="310"/>
      <c r="Q16" s="308" t="s">
        <v>169</v>
      </c>
      <c r="R16" s="307"/>
    </row>
    <row r="17" spans="1:18">
      <c r="A17" s="270">
        <v>11</v>
      </c>
      <c r="B17" s="293">
        <v>45166</v>
      </c>
      <c r="C17" s="294" t="s">
        <v>135</v>
      </c>
      <c r="D17" s="290" t="s">
        <v>328</v>
      </c>
      <c r="E17" s="291">
        <v>979184266</v>
      </c>
      <c r="F17" s="291" t="s">
        <v>329</v>
      </c>
      <c r="G17" s="278" t="s">
        <v>322</v>
      </c>
      <c r="H17" s="291" t="s">
        <v>330</v>
      </c>
      <c r="I17" s="289"/>
      <c r="J17" s="278"/>
      <c r="K17" s="278"/>
      <c r="L17" s="291" t="s">
        <v>25</v>
      </c>
      <c r="M17" s="292" t="s">
        <v>134</v>
      </c>
      <c r="N17" s="279"/>
      <c r="O17" s="289">
        <v>45166</v>
      </c>
      <c r="P17" s="265"/>
      <c r="Q17" s="292" t="s">
        <v>331</v>
      </c>
      <c r="R17" s="278"/>
    </row>
    <row r="18" spans="1:18">
      <c r="A18" s="270">
        <v>12</v>
      </c>
      <c r="B18" s="293">
        <v>45167</v>
      </c>
      <c r="C18" s="294" t="s">
        <v>124</v>
      </c>
      <c r="D18" s="290" t="s">
        <v>321</v>
      </c>
      <c r="E18" s="291">
        <v>984993067</v>
      </c>
      <c r="F18" s="291" t="s">
        <v>123</v>
      </c>
      <c r="G18" s="278" t="s">
        <v>322</v>
      </c>
      <c r="H18" s="291" t="s">
        <v>163</v>
      </c>
      <c r="I18" s="289">
        <v>45027</v>
      </c>
      <c r="J18" s="278"/>
      <c r="K18" s="278"/>
      <c r="L18" s="291" t="s">
        <v>25</v>
      </c>
      <c r="M18" s="292" t="s">
        <v>323</v>
      </c>
      <c r="N18" s="279"/>
      <c r="O18" s="289">
        <v>45167</v>
      </c>
      <c r="P18" s="265"/>
      <c r="Q18" s="292" t="s">
        <v>324</v>
      </c>
      <c r="R18" s="278" t="s">
        <v>325</v>
      </c>
    </row>
    <row r="19" spans="1:18" s="322" customFormat="1">
      <c r="A19" s="270">
        <v>13</v>
      </c>
      <c r="B19" s="314">
        <v>45168</v>
      </c>
      <c r="C19" s="315" t="s">
        <v>113</v>
      </c>
      <c r="D19" s="315" t="s">
        <v>114</v>
      </c>
      <c r="E19" s="315">
        <v>958639951</v>
      </c>
      <c r="F19" s="315" t="s">
        <v>27</v>
      </c>
      <c r="G19" s="316" t="s">
        <v>319</v>
      </c>
      <c r="H19" s="315" t="s">
        <v>326</v>
      </c>
      <c r="I19" s="323"/>
      <c r="J19" s="316"/>
      <c r="K19" s="316"/>
      <c r="L19" s="315" t="s">
        <v>25</v>
      </c>
      <c r="M19" s="315" t="s">
        <v>112</v>
      </c>
      <c r="N19" s="319"/>
      <c r="O19" s="314">
        <v>45168</v>
      </c>
      <c r="P19" s="320"/>
      <c r="Q19" s="324"/>
      <c r="R19" s="316" t="s">
        <v>327</v>
      </c>
    </row>
    <row r="20" spans="1:18" s="322" customFormat="1">
      <c r="A20" s="270">
        <v>14</v>
      </c>
      <c r="B20" s="314">
        <v>45168</v>
      </c>
      <c r="C20" s="315" t="s">
        <v>113</v>
      </c>
      <c r="D20" s="315" t="s">
        <v>114</v>
      </c>
      <c r="E20" s="315">
        <v>958639951</v>
      </c>
      <c r="F20" s="315" t="s">
        <v>27</v>
      </c>
      <c r="G20" s="316" t="s">
        <v>319</v>
      </c>
      <c r="H20" s="315" t="s">
        <v>326</v>
      </c>
      <c r="I20" s="323"/>
      <c r="J20" s="316"/>
      <c r="K20" s="316"/>
      <c r="L20" s="315" t="s">
        <v>25</v>
      </c>
      <c r="M20" s="315" t="s">
        <v>116</v>
      </c>
      <c r="N20" s="319"/>
      <c r="O20" s="314">
        <v>45168</v>
      </c>
      <c r="P20" s="320"/>
      <c r="Q20" s="324"/>
      <c r="R20" s="316" t="s">
        <v>327</v>
      </c>
    </row>
    <row r="21" spans="1:18" s="272" customFormat="1">
      <c r="A21" s="270">
        <v>15</v>
      </c>
      <c r="B21" s="274">
        <v>45168</v>
      </c>
      <c r="C21" s="332" t="s">
        <v>259</v>
      </c>
      <c r="D21" s="274" t="s">
        <v>260</v>
      </c>
      <c r="E21" s="285">
        <v>980472562</v>
      </c>
      <c r="F21" s="274" t="s">
        <v>257</v>
      </c>
      <c r="G21" s="276" t="s">
        <v>87</v>
      </c>
      <c r="H21" s="274" t="s">
        <v>19</v>
      </c>
      <c r="I21" s="274">
        <v>45139</v>
      </c>
      <c r="J21" s="276"/>
      <c r="K21" s="276"/>
      <c r="L21" s="295" t="s">
        <v>25</v>
      </c>
      <c r="M21" s="274" t="s">
        <v>258</v>
      </c>
      <c r="N21" s="277"/>
      <c r="O21" s="274">
        <v>45168</v>
      </c>
      <c r="P21" s="271"/>
      <c r="Q21" s="288">
        <v>109933705</v>
      </c>
      <c r="R21" s="276"/>
    </row>
    <row r="22" spans="1:18" s="272" customFormat="1">
      <c r="A22" s="270">
        <v>16</v>
      </c>
      <c r="B22" s="274">
        <v>45168</v>
      </c>
      <c r="C22" s="274" t="s">
        <v>270</v>
      </c>
      <c r="D22" s="274" t="s">
        <v>265</v>
      </c>
      <c r="E22" s="285">
        <v>995551988</v>
      </c>
      <c r="F22" s="274" t="s">
        <v>262</v>
      </c>
      <c r="G22" s="276" t="s">
        <v>87</v>
      </c>
      <c r="H22" s="274" t="s">
        <v>163</v>
      </c>
      <c r="I22" s="274">
        <v>45168</v>
      </c>
      <c r="J22" s="276"/>
      <c r="K22" s="276"/>
      <c r="L22" s="295" t="s">
        <v>25</v>
      </c>
      <c r="M22" s="274" t="s">
        <v>263</v>
      </c>
      <c r="N22" s="277"/>
      <c r="O22" s="274">
        <v>45168</v>
      </c>
      <c r="P22" s="271"/>
      <c r="Q22" s="288">
        <v>105058756</v>
      </c>
      <c r="R22" s="276"/>
    </row>
    <row r="23" spans="1:18" s="272" customFormat="1">
      <c r="A23" s="270">
        <v>17</v>
      </c>
      <c r="B23" s="274">
        <v>45169</v>
      </c>
      <c r="C23" s="274" t="s">
        <v>94</v>
      </c>
      <c r="D23" s="274" t="s">
        <v>271</v>
      </c>
      <c r="E23" s="285">
        <v>998623501</v>
      </c>
      <c r="F23" s="274" t="s">
        <v>268</v>
      </c>
      <c r="G23" s="276" t="s">
        <v>87</v>
      </c>
      <c r="H23" s="274" t="s">
        <v>94</v>
      </c>
      <c r="I23" s="274">
        <v>45111</v>
      </c>
      <c r="J23" s="276"/>
      <c r="K23" s="276"/>
      <c r="L23" s="295" t="s">
        <v>25</v>
      </c>
      <c r="M23" s="274" t="s">
        <v>269</v>
      </c>
      <c r="N23" s="277"/>
      <c r="O23" s="274">
        <v>45169</v>
      </c>
      <c r="P23" s="271"/>
      <c r="Q23" s="288">
        <v>100232941</v>
      </c>
      <c r="R23" s="276"/>
    </row>
    <row r="24" spans="1:18" s="272" customFormat="1">
      <c r="A24" s="270">
        <v>18</v>
      </c>
      <c r="B24" s="274">
        <v>45170</v>
      </c>
      <c r="C24" s="274" t="s">
        <v>275</v>
      </c>
      <c r="D24" s="274" t="s">
        <v>308</v>
      </c>
      <c r="E24" s="285">
        <v>984140564</v>
      </c>
      <c r="F24" s="274" t="s">
        <v>273</v>
      </c>
      <c r="G24" s="276" t="s">
        <v>87</v>
      </c>
      <c r="H24" s="274" t="s">
        <v>19</v>
      </c>
      <c r="I24" s="274">
        <v>45013</v>
      </c>
      <c r="J24" s="276"/>
      <c r="K24" s="276"/>
      <c r="L24" s="295" t="s">
        <v>25</v>
      </c>
      <c r="M24" s="274" t="s">
        <v>274</v>
      </c>
      <c r="N24" s="277"/>
      <c r="O24" s="274">
        <v>45170</v>
      </c>
      <c r="P24" s="271"/>
      <c r="Q24" s="288">
        <v>104216973</v>
      </c>
      <c r="R24" s="276"/>
    </row>
    <row r="25" spans="1:18">
      <c r="A25" s="270">
        <v>19</v>
      </c>
      <c r="B25" s="293">
        <v>45170</v>
      </c>
      <c r="C25" s="294" t="s">
        <v>146</v>
      </c>
      <c r="D25" s="267" t="s">
        <v>321</v>
      </c>
      <c r="E25" s="268">
        <v>984396086</v>
      </c>
      <c r="F25" s="267" t="s">
        <v>334</v>
      </c>
      <c r="G25" s="278" t="s">
        <v>322</v>
      </c>
      <c r="H25" s="267" t="s">
        <v>19</v>
      </c>
      <c r="I25" s="267">
        <v>44749</v>
      </c>
      <c r="J25" s="278"/>
      <c r="K25" s="278"/>
      <c r="L25" s="291" t="s">
        <v>25</v>
      </c>
      <c r="M25" s="267" t="s">
        <v>145</v>
      </c>
      <c r="N25" s="279"/>
      <c r="O25" s="267">
        <v>45170</v>
      </c>
      <c r="P25" s="265"/>
      <c r="Q25" s="284">
        <v>105729222</v>
      </c>
      <c r="R25" s="278" t="s">
        <v>335</v>
      </c>
    </row>
    <row r="26" spans="1:18">
      <c r="A26" s="270">
        <v>20</v>
      </c>
      <c r="B26" s="293">
        <v>45174</v>
      </c>
      <c r="C26" s="294" t="s">
        <v>129</v>
      </c>
      <c r="D26" s="267" t="s">
        <v>332</v>
      </c>
      <c r="E26" s="268">
        <v>986133297</v>
      </c>
      <c r="F26" s="296" t="s">
        <v>126</v>
      </c>
      <c r="G26" s="278" t="s">
        <v>322</v>
      </c>
      <c r="H26" s="267" t="s">
        <v>163</v>
      </c>
      <c r="I26" s="267">
        <v>45108</v>
      </c>
      <c r="J26" s="278"/>
      <c r="K26" s="278"/>
      <c r="L26" s="291" t="s">
        <v>25</v>
      </c>
      <c r="M26" s="267" t="s">
        <v>333</v>
      </c>
      <c r="N26" s="279"/>
      <c r="O26" s="267">
        <v>45174</v>
      </c>
      <c r="P26" s="265"/>
      <c r="Q26" s="284">
        <v>151810694</v>
      </c>
      <c r="R26" s="278" t="s">
        <v>125</v>
      </c>
    </row>
    <row r="27" spans="1:18" s="301" customFormat="1">
      <c r="A27" s="270">
        <v>21</v>
      </c>
      <c r="B27" s="302">
        <v>45174</v>
      </c>
      <c r="C27" s="327" t="s">
        <v>311</v>
      </c>
      <c r="D27" s="328" t="s">
        <v>117</v>
      </c>
      <c r="E27" s="327">
        <v>994480819</v>
      </c>
      <c r="F27" s="297" t="s">
        <v>312</v>
      </c>
      <c r="G27" s="298" t="s">
        <v>313</v>
      </c>
      <c r="H27" s="327"/>
      <c r="I27" s="302"/>
      <c r="J27" s="298"/>
      <c r="K27" s="298"/>
      <c r="L27" s="329" t="s">
        <v>25</v>
      </c>
      <c r="M27" s="330" t="s">
        <v>314</v>
      </c>
      <c r="N27" s="299"/>
      <c r="O27" s="302">
        <v>45204</v>
      </c>
      <c r="P27" s="300"/>
      <c r="Q27" s="331"/>
      <c r="R27" s="298" t="s">
        <v>315</v>
      </c>
    </row>
    <row r="28" spans="1:18" s="272" customFormat="1">
      <c r="A28" s="270">
        <v>22</v>
      </c>
      <c r="B28" s="274">
        <v>45175</v>
      </c>
      <c r="C28" s="274" t="s">
        <v>279</v>
      </c>
      <c r="D28" s="274" t="s">
        <v>280</v>
      </c>
      <c r="E28" s="285">
        <v>995920351</v>
      </c>
      <c r="F28" s="274" t="s">
        <v>277</v>
      </c>
      <c r="G28" s="276" t="s">
        <v>87</v>
      </c>
      <c r="H28" s="274" t="s">
        <v>113</v>
      </c>
      <c r="I28" s="274">
        <v>45150</v>
      </c>
      <c r="J28" s="276"/>
      <c r="K28" s="276"/>
      <c r="L28" s="280" t="s">
        <v>25</v>
      </c>
      <c r="M28" s="274" t="s">
        <v>278</v>
      </c>
      <c r="N28" s="277"/>
      <c r="O28" s="274">
        <v>45175</v>
      </c>
      <c r="P28" s="273"/>
      <c r="Q28" s="288">
        <v>1719981478</v>
      </c>
      <c r="R28" s="276"/>
    </row>
    <row r="29" spans="1:18" s="272" customFormat="1">
      <c r="A29" s="270">
        <v>23</v>
      </c>
      <c r="B29" s="274">
        <v>45175</v>
      </c>
      <c r="C29" s="274" t="s">
        <v>285</v>
      </c>
      <c r="D29" s="274" t="s">
        <v>286</v>
      </c>
      <c r="E29" s="285">
        <v>995127040</v>
      </c>
      <c r="F29" s="274" t="s">
        <v>283</v>
      </c>
      <c r="G29" s="276" t="s">
        <v>87</v>
      </c>
      <c r="H29" s="274" t="s">
        <v>91</v>
      </c>
      <c r="I29" s="274">
        <v>45165</v>
      </c>
      <c r="J29" s="276"/>
      <c r="K29" s="276"/>
      <c r="L29" s="280" t="s">
        <v>25</v>
      </c>
      <c r="M29" s="274" t="s">
        <v>284</v>
      </c>
      <c r="N29" s="277"/>
      <c r="O29" s="274">
        <v>45175</v>
      </c>
      <c r="P29" s="271"/>
      <c r="Q29" s="288">
        <v>101504330</v>
      </c>
      <c r="R29" s="276"/>
    </row>
    <row r="30" spans="1:18" s="311" customFormat="1">
      <c r="A30" s="270">
        <v>24</v>
      </c>
      <c r="B30" s="303">
        <v>45177</v>
      </c>
      <c r="C30" s="304" t="s">
        <v>177</v>
      </c>
      <c r="D30" s="304" t="s">
        <v>178</v>
      </c>
      <c r="E30" s="305">
        <v>984815359</v>
      </c>
      <c r="F30" s="305" t="s">
        <v>175</v>
      </c>
      <c r="G30" s="307" t="s">
        <v>304</v>
      </c>
      <c r="H30" s="305" t="s">
        <v>173</v>
      </c>
      <c r="I30" s="303">
        <v>45086</v>
      </c>
      <c r="J30" s="307"/>
      <c r="K30" s="307"/>
      <c r="L30" s="305" t="s">
        <v>25</v>
      </c>
      <c r="M30" s="308" t="s">
        <v>176</v>
      </c>
      <c r="N30" s="309"/>
      <c r="O30" s="303">
        <v>45086</v>
      </c>
      <c r="P30" s="313"/>
      <c r="Q30" s="308" t="s">
        <v>179</v>
      </c>
      <c r="R30" s="307"/>
    </row>
    <row r="31" spans="1:18" s="311" customFormat="1" ht="18" customHeight="1">
      <c r="A31" s="270">
        <v>25</v>
      </c>
      <c r="B31" s="303">
        <v>45177</v>
      </c>
      <c r="C31" s="304" t="s">
        <v>177</v>
      </c>
      <c r="D31" s="304" t="s">
        <v>178</v>
      </c>
      <c r="E31" s="305">
        <v>984815359</v>
      </c>
      <c r="F31" s="305" t="s">
        <v>182</v>
      </c>
      <c r="G31" s="307" t="s">
        <v>304</v>
      </c>
      <c r="H31" s="305" t="s">
        <v>173</v>
      </c>
      <c r="I31" s="303">
        <v>45110</v>
      </c>
      <c r="J31" s="307"/>
      <c r="K31" s="307"/>
      <c r="L31" s="305">
        <v>398873</v>
      </c>
      <c r="M31" s="308" t="s">
        <v>183</v>
      </c>
      <c r="N31" s="309"/>
      <c r="O31" s="303">
        <v>45110</v>
      </c>
      <c r="P31" s="310"/>
      <c r="Q31" s="308" t="s">
        <v>179</v>
      </c>
      <c r="R31" s="307"/>
    </row>
    <row r="32" spans="1:18" s="311" customFormat="1" ht="17.25" customHeight="1">
      <c r="A32" s="270">
        <v>26</v>
      </c>
      <c r="B32" s="303">
        <v>45177</v>
      </c>
      <c r="C32" s="304" t="s">
        <v>177</v>
      </c>
      <c r="D32" s="304" t="s">
        <v>178</v>
      </c>
      <c r="E32" s="305">
        <v>984815359</v>
      </c>
      <c r="F32" s="305" t="s">
        <v>185</v>
      </c>
      <c r="G32" s="307" t="s">
        <v>304</v>
      </c>
      <c r="H32" s="305" t="s">
        <v>173</v>
      </c>
      <c r="I32" s="303">
        <v>45084</v>
      </c>
      <c r="J32" s="307"/>
      <c r="K32" s="307"/>
      <c r="L32" s="305" t="s">
        <v>25</v>
      </c>
      <c r="M32" s="308" t="s">
        <v>186</v>
      </c>
      <c r="N32" s="309"/>
      <c r="O32" s="303">
        <v>45084</v>
      </c>
      <c r="P32" s="313"/>
      <c r="Q32" s="308" t="s">
        <v>179</v>
      </c>
      <c r="R32" s="307"/>
    </row>
    <row r="33" spans="1:18" s="255" customFormat="1" ht="17.25" customHeight="1">
      <c r="A33" s="270">
        <v>27</v>
      </c>
      <c r="B33" s="293">
        <v>45180</v>
      </c>
      <c r="C33" s="294" t="s">
        <v>151</v>
      </c>
      <c r="D33" s="269" t="s">
        <v>336</v>
      </c>
      <c r="E33" s="268">
        <v>989465567</v>
      </c>
      <c r="F33" s="282" t="s">
        <v>149</v>
      </c>
      <c r="G33" s="278" t="s">
        <v>322</v>
      </c>
      <c r="H33" s="268" t="s">
        <v>113</v>
      </c>
      <c r="I33" s="267">
        <v>44803</v>
      </c>
      <c r="J33" s="278"/>
      <c r="K33" s="278"/>
      <c r="L33" s="281" t="s">
        <v>25</v>
      </c>
      <c r="M33" s="283" t="s">
        <v>150</v>
      </c>
      <c r="N33" s="279"/>
      <c r="O33" s="267">
        <v>45180</v>
      </c>
      <c r="P33" s="266"/>
      <c r="Q33" s="284">
        <v>10088933</v>
      </c>
      <c r="R33" s="278"/>
    </row>
    <row r="34" spans="1:18" s="311" customFormat="1">
      <c r="A34" s="270">
        <v>28</v>
      </c>
      <c r="B34" s="303">
        <v>45181</v>
      </c>
      <c r="C34" s="304" t="s">
        <v>190</v>
      </c>
      <c r="D34" s="304" t="s">
        <v>191</v>
      </c>
      <c r="E34" s="305">
        <v>989528005</v>
      </c>
      <c r="F34" s="305" t="s">
        <v>188</v>
      </c>
      <c r="G34" s="307" t="s">
        <v>304</v>
      </c>
      <c r="H34" s="305" t="s">
        <v>19</v>
      </c>
      <c r="I34" s="303">
        <v>45119</v>
      </c>
      <c r="J34" s="307"/>
      <c r="K34" s="307"/>
      <c r="L34" s="305">
        <v>402613</v>
      </c>
      <c r="M34" s="308" t="s">
        <v>189</v>
      </c>
      <c r="N34" s="309"/>
      <c r="O34" s="303">
        <v>45181</v>
      </c>
      <c r="P34" s="310"/>
      <c r="Q34" s="308" t="s">
        <v>192</v>
      </c>
      <c r="R34" s="307"/>
    </row>
    <row r="35" spans="1:18" s="311" customFormat="1">
      <c r="A35" s="270">
        <v>29</v>
      </c>
      <c r="B35" s="303">
        <v>45181</v>
      </c>
      <c r="C35" s="304" t="s">
        <v>190</v>
      </c>
      <c r="D35" s="304" t="s">
        <v>191</v>
      </c>
      <c r="E35" s="305">
        <v>989528005</v>
      </c>
      <c r="F35" s="305" t="s">
        <v>194</v>
      </c>
      <c r="G35" s="307" t="s">
        <v>304</v>
      </c>
      <c r="H35" s="305" t="s">
        <v>19</v>
      </c>
      <c r="I35" s="303">
        <v>45119</v>
      </c>
      <c r="J35" s="307"/>
      <c r="K35" s="307"/>
      <c r="L35" s="305">
        <v>402615</v>
      </c>
      <c r="M35" s="308" t="s">
        <v>195</v>
      </c>
      <c r="N35" s="309"/>
      <c r="O35" s="303">
        <v>45181</v>
      </c>
      <c r="P35" s="313"/>
      <c r="Q35" s="308" t="s">
        <v>192</v>
      </c>
      <c r="R35" s="307"/>
    </row>
    <row r="36" spans="1:18" s="311" customFormat="1">
      <c r="A36" s="270">
        <v>30</v>
      </c>
      <c r="B36" s="303">
        <v>45181</v>
      </c>
      <c r="C36" s="304" t="s">
        <v>190</v>
      </c>
      <c r="D36" s="304" t="s">
        <v>191</v>
      </c>
      <c r="E36" s="305">
        <v>989528005</v>
      </c>
      <c r="F36" s="305" t="s">
        <v>196</v>
      </c>
      <c r="G36" s="307" t="s">
        <v>304</v>
      </c>
      <c r="H36" s="305" t="s">
        <v>19</v>
      </c>
      <c r="I36" s="303">
        <v>45119</v>
      </c>
      <c r="J36" s="307"/>
      <c r="K36" s="307"/>
      <c r="L36" s="305">
        <v>402618</v>
      </c>
      <c r="M36" s="308" t="s">
        <v>197</v>
      </c>
      <c r="N36" s="309"/>
      <c r="O36" s="303">
        <v>45181</v>
      </c>
      <c r="P36" s="313"/>
      <c r="Q36" s="308" t="s">
        <v>192</v>
      </c>
      <c r="R36" s="307"/>
    </row>
    <row r="37" spans="1:18" s="311" customFormat="1">
      <c r="A37" s="270">
        <v>31</v>
      </c>
      <c r="B37" s="303">
        <v>45181</v>
      </c>
      <c r="C37" s="304" t="s">
        <v>190</v>
      </c>
      <c r="D37" s="304" t="s">
        <v>191</v>
      </c>
      <c r="E37" s="305">
        <v>989528005</v>
      </c>
      <c r="F37" s="305" t="s">
        <v>198</v>
      </c>
      <c r="G37" s="307" t="s">
        <v>304</v>
      </c>
      <c r="H37" s="305" t="s">
        <v>19</v>
      </c>
      <c r="I37" s="303">
        <v>45119</v>
      </c>
      <c r="J37" s="307"/>
      <c r="K37" s="307"/>
      <c r="L37" s="305">
        <v>402611</v>
      </c>
      <c r="M37" s="308" t="s">
        <v>199</v>
      </c>
      <c r="N37" s="309"/>
      <c r="O37" s="303">
        <v>45181</v>
      </c>
      <c r="P37" s="310"/>
      <c r="Q37" s="308" t="s">
        <v>192</v>
      </c>
      <c r="R37" s="307"/>
    </row>
    <row r="38" spans="1:18" s="311" customFormat="1">
      <c r="A38" s="270">
        <v>32</v>
      </c>
      <c r="B38" s="303">
        <v>45182</v>
      </c>
      <c r="C38" s="304" t="s">
        <v>202</v>
      </c>
      <c r="D38" s="304" t="s">
        <v>203</v>
      </c>
      <c r="E38" s="305">
        <v>992831273</v>
      </c>
      <c r="F38" s="305" t="s">
        <v>155</v>
      </c>
      <c r="G38" s="307" t="s">
        <v>304</v>
      </c>
      <c r="H38" s="305" t="s">
        <v>153</v>
      </c>
      <c r="I38" s="303">
        <v>45047</v>
      </c>
      <c r="J38" s="307"/>
      <c r="K38" s="307"/>
      <c r="L38" s="305">
        <v>381664</v>
      </c>
      <c r="M38" s="308" t="s">
        <v>201</v>
      </c>
      <c r="N38" s="309"/>
      <c r="O38" s="303">
        <v>45182</v>
      </c>
      <c r="P38" s="313"/>
      <c r="Q38" s="308" t="s">
        <v>204</v>
      </c>
      <c r="R38" s="307"/>
    </row>
    <row r="39" spans="1:18" s="311" customFormat="1">
      <c r="A39" s="270">
        <v>33</v>
      </c>
      <c r="B39" s="303">
        <v>45182</v>
      </c>
      <c r="C39" s="304" t="s">
        <v>202</v>
      </c>
      <c r="D39" s="304" t="s">
        <v>203</v>
      </c>
      <c r="E39" s="305">
        <v>992831273</v>
      </c>
      <c r="F39" s="305" t="s">
        <v>207</v>
      </c>
      <c r="G39" s="307" t="s">
        <v>304</v>
      </c>
      <c r="H39" s="305" t="s">
        <v>153</v>
      </c>
      <c r="I39" s="303">
        <v>45044</v>
      </c>
      <c r="J39" s="307"/>
      <c r="K39" s="307"/>
      <c r="L39" s="305" t="s">
        <v>25</v>
      </c>
      <c r="M39" s="308" t="s">
        <v>208</v>
      </c>
      <c r="N39" s="309"/>
      <c r="O39" s="303">
        <v>45182</v>
      </c>
      <c r="P39" s="313"/>
      <c r="Q39" s="308" t="s">
        <v>204</v>
      </c>
      <c r="R39" s="307"/>
    </row>
    <row r="40" spans="1:18" s="311" customFormat="1">
      <c r="A40" s="270">
        <v>34</v>
      </c>
      <c r="B40" s="303">
        <v>45182</v>
      </c>
      <c r="C40" s="304" t="s">
        <v>220</v>
      </c>
      <c r="D40" s="304" t="s">
        <v>117</v>
      </c>
      <c r="E40" s="305">
        <v>984706882</v>
      </c>
      <c r="F40" s="305" t="s">
        <v>218</v>
      </c>
      <c r="G40" s="307" t="s">
        <v>304</v>
      </c>
      <c r="H40" s="305" t="s">
        <v>163</v>
      </c>
      <c r="I40" s="303">
        <v>45163</v>
      </c>
      <c r="J40" s="307"/>
      <c r="K40" s="307"/>
      <c r="L40" s="305" t="s">
        <v>25</v>
      </c>
      <c r="M40" s="308" t="s">
        <v>219</v>
      </c>
      <c r="N40" s="309"/>
      <c r="O40" s="303">
        <v>45182</v>
      </c>
      <c r="P40" s="310"/>
      <c r="Q40" s="308" t="s">
        <v>221</v>
      </c>
      <c r="R40" s="307"/>
    </row>
    <row r="41" spans="1:18" s="311" customFormat="1">
      <c r="A41" s="270">
        <v>35</v>
      </c>
      <c r="B41" s="303">
        <v>45182</v>
      </c>
      <c r="C41" s="304" t="s">
        <v>220</v>
      </c>
      <c r="D41" s="304" t="s">
        <v>117</v>
      </c>
      <c r="E41" s="305">
        <v>984706882</v>
      </c>
      <c r="F41" s="305" t="s">
        <v>165</v>
      </c>
      <c r="G41" s="307" t="s">
        <v>304</v>
      </c>
      <c r="H41" s="305" t="s">
        <v>163</v>
      </c>
      <c r="I41" s="303">
        <v>45163</v>
      </c>
      <c r="J41" s="307"/>
      <c r="K41" s="307"/>
      <c r="L41" s="305" t="s">
        <v>25</v>
      </c>
      <c r="M41" s="308" t="s">
        <v>223</v>
      </c>
      <c r="N41" s="309"/>
      <c r="O41" s="303">
        <v>45182</v>
      </c>
      <c r="P41" s="313"/>
      <c r="Q41" s="308" t="s">
        <v>221</v>
      </c>
      <c r="R41" s="307"/>
    </row>
    <row r="42" spans="1:18" s="311" customFormat="1">
      <c r="A42" s="270">
        <v>36</v>
      </c>
      <c r="B42" s="303">
        <v>45182</v>
      </c>
      <c r="C42" s="304" t="s">
        <v>220</v>
      </c>
      <c r="D42" s="304" t="s">
        <v>117</v>
      </c>
      <c r="E42" s="305">
        <v>984706882</v>
      </c>
      <c r="F42" s="305" t="s">
        <v>224</v>
      </c>
      <c r="G42" s="307" t="s">
        <v>304</v>
      </c>
      <c r="H42" s="305" t="s">
        <v>163</v>
      </c>
      <c r="I42" s="303">
        <v>45163</v>
      </c>
      <c r="J42" s="307"/>
      <c r="K42" s="307"/>
      <c r="L42" s="305" t="s">
        <v>25</v>
      </c>
      <c r="M42" s="308" t="s">
        <v>225</v>
      </c>
      <c r="N42" s="309"/>
      <c r="O42" s="303">
        <v>45182</v>
      </c>
      <c r="P42" s="313"/>
      <c r="Q42" s="308" t="s">
        <v>221</v>
      </c>
      <c r="R42" s="307"/>
    </row>
    <row r="43" spans="1:18" s="322" customFormat="1">
      <c r="A43" s="270">
        <v>37</v>
      </c>
      <c r="B43" s="314">
        <v>45183</v>
      </c>
      <c r="C43" s="315" t="s">
        <v>120</v>
      </c>
      <c r="D43" s="315" t="s">
        <v>121</v>
      </c>
      <c r="E43" s="315">
        <v>998053299</v>
      </c>
      <c r="F43" s="315" t="s">
        <v>106</v>
      </c>
      <c r="G43" s="316" t="s">
        <v>319</v>
      </c>
      <c r="H43" s="315" t="s">
        <v>107</v>
      </c>
      <c r="I43" s="317">
        <v>45052</v>
      </c>
      <c r="J43" s="316"/>
      <c r="K43" s="316"/>
      <c r="L43" s="318" t="s">
        <v>25</v>
      </c>
      <c r="M43" s="315" t="s">
        <v>119</v>
      </c>
      <c r="N43" s="319"/>
      <c r="O43" s="314">
        <v>45183</v>
      </c>
      <c r="P43" s="320"/>
      <c r="Q43" s="321">
        <v>190353044</v>
      </c>
      <c r="R43" s="316"/>
    </row>
    <row r="44" spans="1:18" s="272" customFormat="1">
      <c r="A44" s="270">
        <v>38</v>
      </c>
      <c r="B44" s="274">
        <v>45183</v>
      </c>
      <c r="C44" s="274" t="s">
        <v>291</v>
      </c>
      <c r="D44" s="274" t="s">
        <v>292</v>
      </c>
      <c r="E44" s="285">
        <v>995912842</v>
      </c>
      <c r="F44" s="274" t="s">
        <v>289</v>
      </c>
      <c r="G44" s="276" t="s">
        <v>87</v>
      </c>
      <c r="H44" s="274" t="s">
        <v>19</v>
      </c>
      <c r="I44" s="274">
        <v>45180</v>
      </c>
      <c r="J44" s="276"/>
      <c r="K44" s="276"/>
      <c r="L44" s="280" t="s">
        <v>25</v>
      </c>
      <c r="M44" s="274" t="s">
        <v>290</v>
      </c>
      <c r="N44" s="277"/>
      <c r="O44" s="274">
        <v>45183</v>
      </c>
      <c r="P44" s="273"/>
      <c r="Q44" s="288">
        <v>105161749</v>
      </c>
      <c r="R44" s="276"/>
    </row>
    <row r="45" spans="1:18" s="311" customFormat="1">
      <c r="A45" s="270">
        <v>39</v>
      </c>
      <c r="B45" s="303">
        <v>45183</v>
      </c>
      <c r="C45" s="304" t="s">
        <v>120</v>
      </c>
      <c r="D45" s="304" t="s">
        <v>212</v>
      </c>
      <c r="E45" s="305">
        <v>998053299</v>
      </c>
      <c r="F45" s="305" t="s">
        <v>210</v>
      </c>
      <c r="G45" s="307" t="s">
        <v>304</v>
      </c>
      <c r="H45" s="305" t="s">
        <v>19</v>
      </c>
      <c r="I45" s="303">
        <v>45052</v>
      </c>
      <c r="J45" s="307"/>
      <c r="K45" s="307"/>
      <c r="L45" s="305">
        <v>395118</v>
      </c>
      <c r="M45" s="308" t="s">
        <v>211</v>
      </c>
      <c r="N45" s="309"/>
      <c r="O45" s="303">
        <v>45183</v>
      </c>
      <c r="P45" s="313"/>
      <c r="Q45" s="308" t="s">
        <v>213</v>
      </c>
      <c r="R45" s="307"/>
    </row>
    <row r="46" spans="1:18" s="311" customFormat="1" ht="15" customHeight="1">
      <c r="A46" s="270">
        <v>40</v>
      </c>
      <c r="B46" s="303">
        <v>45183</v>
      </c>
      <c r="C46" s="304" t="s">
        <v>120</v>
      </c>
      <c r="D46" s="304" t="s">
        <v>212</v>
      </c>
      <c r="E46" s="305">
        <v>998053299</v>
      </c>
      <c r="F46" s="305" t="s">
        <v>215</v>
      </c>
      <c r="G46" s="307" t="s">
        <v>304</v>
      </c>
      <c r="H46" s="305" t="s">
        <v>91</v>
      </c>
      <c r="I46" s="303">
        <v>45052</v>
      </c>
      <c r="J46" s="307"/>
      <c r="K46" s="307"/>
      <c r="L46" s="305">
        <v>394489</v>
      </c>
      <c r="M46" s="308" t="s">
        <v>216</v>
      </c>
      <c r="N46" s="309"/>
      <c r="O46" s="303">
        <v>45183</v>
      </c>
      <c r="P46" s="310"/>
      <c r="Q46" s="308" t="s">
        <v>213</v>
      </c>
      <c r="R46" s="307"/>
    </row>
    <row r="47" spans="1:18" s="255" customFormat="1">
      <c r="A47" s="270">
        <v>41</v>
      </c>
      <c r="B47" s="293">
        <v>45184</v>
      </c>
      <c r="C47" s="294" t="s">
        <v>135</v>
      </c>
      <c r="D47" s="290" t="s">
        <v>328</v>
      </c>
      <c r="E47" s="291">
        <v>979184266</v>
      </c>
      <c r="F47" s="294" t="s">
        <v>137</v>
      </c>
      <c r="G47" s="278" t="s">
        <v>322</v>
      </c>
      <c r="H47" s="291" t="s">
        <v>330</v>
      </c>
      <c r="I47" s="289"/>
      <c r="J47" s="278"/>
      <c r="K47" s="278"/>
      <c r="L47" s="291" t="s">
        <v>25</v>
      </c>
      <c r="M47" s="292" t="s">
        <v>134</v>
      </c>
      <c r="N47" s="279"/>
      <c r="O47" s="289">
        <v>45166</v>
      </c>
      <c r="P47" s="265"/>
      <c r="Q47" s="292" t="s">
        <v>331</v>
      </c>
      <c r="R47" s="278"/>
    </row>
    <row r="48" spans="1:18" s="272" customFormat="1">
      <c r="A48" s="270">
        <v>42</v>
      </c>
      <c r="B48" s="274">
        <v>45185</v>
      </c>
      <c r="C48" s="274" t="s">
        <v>297</v>
      </c>
      <c r="D48" s="274" t="s">
        <v>298</v>
      </c>
      <c r="E48" s="285">
        <v>984248889</v>
      </c>
      <c r="F48" s="274" t="s">
        <v>295</v>
      </c>
      <c r="G48" s="276" t="s">
        <v>87</v>
      </c>
      <c r="H48" s="274" t="s">
        <v>153</v>
      </c>
      <c r="I48" s="274">
        <v>45107</v>
      </c>
      <c r="J48" s="276"/>
      <c r="K48" s="276"/>
      <c r="L48" s="280" t="s">
        <v>25</v>
      </c>
      <c r="M48" s="274" t="s">
        <v>296</v>
      </c>
      <c r="N48" s="277"/>
      <c r="O48" s="274">
        <v>45185</v>
      </c>
      <c r="P48" s="271"/>
      <c r="Q48" s="288">
        <v>109931046</v>
      </c>
      <c r="R48" s="276"/>
    </row>
    <row r="49" spans="1:18" s="322" customFormat="1">
      <c r="A49" s="270">
        <v>43</v>
      </c>
      <c r="B49" s="314">
        <v>45157</v>
      </c>
      <c r="C49" s="315" t="s">
        <v>19</v>
      </c>
      <c r="D49" s="315" t="s">
        <v>96</v>
      </c>
      <c r="E49" s="315">
        <v>991172261</v>
      </c>
      <c r="F49" s="315" t="s">
        <v>106</v>
      </c>
      <c r="G49" s="316" t="s">
        <v>319</v>
      </c>
      <c r="H49" s="315" t="s">
        <v>90</v>
      </c>
      <c r="I49" s="325"/>
      <c r="J49" s="316"/>
      <c r="K49" s="316"/>
      <c r="L49" s="318" t="s">
        <v>25</v>
      </c>
      <c r="M49" s="315" t="s">
        <v>97</v>
      </c>
      <c r="N49" s="319"/>
      <c r="O49" s="314">
        <v>45157</v>
      </c>
      <c r="P49" s="326"/>
      <c r="Q49" s="321">
        <v>104088265</v>
      </c>
      <c r="R49" s="316"/>
    </row>
    <row r="50" spans="1:18" s="322" customFormat="1">
      <c r="A50" s="270">
        <v>44</v>
      </c>
      <c r="B50" s="314">
        <v>45157</v>
      </c>
      <c r="C50" s="315" t="s">
        <v>19</v>
      </c>
      <c r="D50" s="315" t="s">
        <v>96</v>
      </c>
      <c r="E50" s="315">
        <v>991172261</v>
      </c>
      <c r="F50" s="315" t="s">
        <v>27</v>
      </c>
      <c r="G50" s="316" t="s">
        <v>319</v>
      </c>
      <c r="H50" s="315" t="s">
        <v>90</v>
      </c>
      <c r="I50" s="325"/>
      <c r="J50" s="316"/>
      <c r="K50" s="316"/>
      <c r="L50" s="318" t="s">
        <v>25</v>
      </c>
      <c r="M50" s="315" t="s">
        <v>97</v>
      </c>
      <c r="N50" s="319"/>
      <c r="O50" s="314">
        <v>45157</v>
      </c>
      <c r="P50" s="326"/>
      <c r="Q50" s="321">
        <v>104088265</v>
      </c>
      <c r="R50" s="316"/>
    </row>
    <row r="51" spans="1:18" s="346" customFormat="1">
      <c r="A51" s="270">
        <v>45</v>
      </c>
      <c r="B51" s="345">
        <v>45188</v>
      </c>
      <c r="C51" s="333" t="s">
        <v>167</v>
      </c>
      <c r="D51" s="333" t="s">
        <v>341</v>
      </c>
      <c r="E51" s="334">
        <v>98467227</v>
      </c>
      <c r="F51" s="334" t="s">
        <v>339</v>
      </c>
      <c r="G51" s="307" t="s">
        <v>304</v>
      </c>
      <c r="H51" s="335" t="s">
        <v>107</v>
      </c>
      <c r="I51" s="312"/>
      <c r="J51" s="336"/>
      <c r="K51" s="336"/>
      <c r="L51" s="337" t="s">
        <v>25</v>
      </c>
      <c r="M51" s="340" t="s">
        <v>340</v>
      </c>
      <c r="N51" s="338"/>
      <c r="O51" s="345">
        <v>45188</v>
      </c>
      <c r="P51" s="339"/>
      <c r="Q51" s="340" t="s">
        <v>169</v>
      </c>
      <c r="R51" s="336"/>
    </row>
    <row r="52" spans="1:18" s="346" customFormat="1">
      <c r="A52" s="270">
        <v>46</v>
      </c>
      <c r="B52" s="345">
        <v>45188</v>
      </c>
      <c r="C52" s="333" t="s">
        <v>167</v>
      </c>
      <c r="D52" s="333" t="s">
        <v>341</v>
      </c>
      <c r="E52" s="334">
        <v>98467227</v>
      </c>
      <c r="F52" s="334" t="s">
        <v>215</v>
      </c>
      <c r="G52" s="307" t="s">
        <v>304</v>
      </c>
      <c r="H52" s="335" t="s">
        <v>107</v>
      </c>
      <c r="I52" s="312"/>
      <c r="J52" s="336"/>
      <c r="K52" s="336"/>
      <c r="L52" s="337" t="s">
        <v>25</v>
      </c>
      <c r="M52" s="340" t="s">
        <v>343</v>
      </c>
      <c r="N52" s="338"/>
      <c r="O52" s="345">
        <v>45188</v>
      </c>
      <c r="P52" s="341"/>
      <c r="Q52" s="340" t="s">
        <v>169</v>
      </c>
      <c r="R52" s="336"/>
    </row>
    <row r="53" spans="1:18" s="346" customFormat="1">
      <c r="A53" s="270">
        <v>47</v>
      </c>
      <c r="B53" s="345">
        <v>45188</v>
      </c>
      <c r="C53" s="335" t="s">
        <v>344</v>
      </c>
      <c r="D53" s="342" t="s">
        <v>345</v>
      </c>
      <c r="E53" s="335">
        <v>995172192</v>
      </c>
      <c r="F53" s="306" t="s">
        <v>346</v>
      </c>
      <c r="G53" s="307" t="s">
        <v>304</v>
      </c>
      <c r="H53" s="335" t="s">
        <v>107</v>
      </c>
      <c r="I53" s="312"/>
      <c r="J53" s="336"/>
      <c r="K53" s="336"/>
      <c r="L53" s="337">
        <v>403358</v>
      </c>
      <c r="M53" s="343" t="s">
        <v>347</v>
      </c>
      <c r="N53" s="338"/>
      <c r="O53" s="345">
        <v>45188</v>
      </c>
      <c r="P53" s="339"/>
      <c r="Q53" s="344">
        <v>1203653611</v>
      </c>
      <c r="R53" s="336"/>
    </row>
    <row r="54" spans="1:18">
      <c r="A54" s="270">
        <v>48</v>
      </c>
      <c r="B54" s="345">
        <v>45188</v>
      </c>
      <c r="C54" s="335" t="s">
        <v>344</v>
      </c>
      <c r="D54" s="342" t="s">
        <v>345</v>
      </c>
      <c r="E54" s="335">
        <v>995172192</v>
      </c>
      <c r="F54" s="306" t="s">
        <v>350</v>
      </c>
      <c r="G54" s="307" t="s">
        <v>304</v>
      </c>
      <c r="H54" s="335" t="s">
        <v>107</v>
      </c>
      <c r="I54" s="312"/>
      <c r="J54" s="336"/>
      <c r="K54" s="336"/>
      <c r="L54" s="337">
        <v>403358</v>
      </c>
      <c r="M54" s="343" t="s">
        <v>351</v>
      </c>
      <c r="N54" s="338"/>
      <c r="O54" s="345">
        <v>45188</v>
      </c>
      <c r="P54" s="339"/>
      <c r="Q54" s="344">
        <v>1203653611</v>
      </c>
      <c r="R54" s="336"/>
    </row>
    <row r="55" spans="1:18" s="255" customFormat="1"/>
    <row r="56" spans="1:18" s="255" customFormat="1"/>
    <row r="57" spans="1:18" s="255" customFormat="1"/>
    <row r="58" spans="1:18" s="253" customFormat="1" ht="15.75" customHeight="1"/>
    <row r="59" spans="1:18" s="255" customFormat="1"/>
    <row r="60" spans="1:18" s="255" customFormat="1"/>
    <row r="64" spans="1:18" s="255" customFormat="1"/>
    <row r="65" s="255" customFormat="1"/>
    <row r="66" s="255" customFormat="1"/>
    <row r="67" s="255" customFormat="1"/>
    <row r="68" s="255" customFormat="1"/>
    <row r="69" s="255" customFormat="1"/>
    <row r="70" s="255" customFormat="1"/>
    <row r="71" s="255" customFormat="1"/>
    <row r="72" s="255" customFormat="1"/>
    <row r="73" s="255" customFormat="1"/>
    <row r="74" s="255" customFormat="1"/>
    <row r="75" s="255" customFormat="1"/>
    <row r="76" s="255" customFormat="1"/>
    <row r="77" s="255" customFormat="1"/>
    <row r="78" s="255" customFormat="1"/>
  </sheetData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ALMACEN</vt:lpstr>
      <vt:lpstr>BBQ</vt:lpstr>
      <vt:lpstr>1 PRODUCTO</vt:lpstr>
      <vt:lpstr>PROMOCION</vt:lpstr>
      <vt:lpstr>GARANTIAS</vt:lpstr>
      <vt:lpstr>CONSOLIDADO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mariela</cp:lastModifiedBy>
  <dcterms:created xsi:type="dcterms:W3CDTF">2023-08-18T15:37:10Z</dcterms:created>
  <dcterms:modified xsi:type="dcterms:W3CDTF">2023-09-20T15:43:50Z</dcterms:modified>
</cp:coreProperties>
</file>