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C39D25F2-29D4-B943-9606-B1B8C215770C}" xr6:coauthVersionLast="47" xr6:coauthVersionMax="47" xr10:uidLastSave="{00000000-0000-0000-0000-000000000000}"/>
  <bookViews>
    <workbookView xWindow="0" yWindow="500" windowWidth="44800" windowHeight="22540" xr2:uid="{1EC8AA46-143E-4C8D-A832-A8EDA5710575}"/>
  </bookViews>
  <sheets>
    <sheet name="GARANTIAS" sheetId="1" r:id="rId1"/>
    <sheet name="PROMOCION" sheetId="3" r:id="rId2"/>
    <sheet name="BBQ" sheetId="4" r:id="rId3"/>
    <sheet name="BASE " sheetId="2" r:id="rId4"/>
    <sheet name="ALMACEN" sheetId="5" r:id="rId5"/>
    <sheet name="CONSOLIDADO" sheetId="7" r:id="rId6"/>
    <sheet name="UN PRODUCTO" sheetId="9" r:id="rId7"/>
  </sheets>
  <definedNames>
    <definedName name="_xlnm._FilterDatabase" localSheetId="3" hidden="1">'BASE '!$A$1:$B$907</definedName>
    <definedName name="PROD">'BASE '!$A$3:$B$907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4" l="1"/>
  <c r="S12" i="4"/>
  <c r="A71" i="7"/>
  <c r="A72" i="7"/>
  <c r="A73" i="7"/>
  <c r="A74" i="7"/>
  <c r="A75" i="7"/>
  <c r="A76" i="7"/>
  <c r="A77" i="7"/>
  <c r="A78" i="7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H72" i="7"/>
  <c r="H91" i="7"/>
  <c r="N25" i="1"/>
  <c r="H24" i="1"/>
  <c r="H19" i="1"/>
  <c r="H70" i="7" l="1"/>
  <c r="H61" i="7"/>
  <c r="H28" i="7"/>
  <c r="H62" i="7"/>
  <c r="S23" i="9"/>
  <c r="F23" i="9"/>
  <c r="H15" i="1"/>
  <c r="S15" i="9"/>
  <c r="F15" i="9"/>
  <c r="J29" i="1"/>
  <c r="J30" i="1"/>
  <c r="J31" i="1"/>
  <c r="J32" i="1"/>
  <c r="J33" i="1"/>
  <c r="J28" i="1"/>
  <c r="G37" i="1"/>
  <c r="H131" i="3"/>
  <c r="H129" i="3"/>
  <c r="H130" i="3"/>
  <c r="O124" i="3"/>
  <c r="S120" i="3"/>
  <c r="S119" i="3"/>
  <c r="S118" i="3"/>
  <c r="F120" i="3"/>
  <c r="F119" i="3"/>
  <c r="F118" i="3"/>
  <c r="S117" i="3"/>
  <c r="F117" i="3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1" i="7"/>
  <c r="H69" i="7"/>
  <c r="H68" i="7"/>
  <c r="H67" i="7"/>
  <c r="S116" i="3"/>
  <c r="S115" i="3"/>
  <c r="S114" i="3"/>
  <c r="S113" i="3"/>
  <c r="S112" i="3"/>
  <c r="S111" i="3"/>
  <c r="F116" i="3"/>
  <c r="F115" i="3"/>
  <c r="F114" i="3"/>
  <c r="F113" i="3"/>
  <c r="S110" i="3"/>
  <c r="S109" i="3"/>
  <c r="S107" i="3"/>
  <c r="S106" i="3"/>
  <c r="S105" i="3"/>
  <c r="S104" i="3"/>
  <c r="S103" i="3"/>
  <c r="S102" i="3"/>
  <c r="S35" i="9"/>
  <c r="S34" i="9"/>
  <c r="S33" i="9"/>
  <c r="S32" i="9"/>
  <c r="S31" i="9"/>
  <c r="S30" i="9"/>
  <c r="H23" i="1"/>
  <c r="H22" i="1"/>
  <c r="H21" i="1"/>
  <c r="H20" i="1"/>
  <c r="H18" i="1"/>
  <c r="H17" i="1"/>
  <c r="H16" i="1"/>
  <c r="S11" i="4"/>
  <c r="S10" i="4"/>
  <c r="S9" i="4"/>
  <c r="S8" i="4"/>
  <c r="S7" i="4"/>
  <c r="S6" i="4"/>
  <c r="J37" i="1" l="1"/>
  <c r="S100" i="3"/>
  <c r="S99" i="3"/>
  <c r="S97" i="3"/>
  <c r="S96" i="3"/>
  <c r="S95" i="3"/>
  <c r="S94" i="3"/>
  <c r="O36" i="9"/>
  <c r="S29" i="9"/>
  <c r="S28" i="9"/>
  <c r="S27" i="9"/>
  <c r="S26" i="9"/>
  <c r="S25" i="9"/>
  <c r="S24" i="9"/>
  <c r="S22" i="9"/>
  <c r="S92" i="3"/>
  <c r="S90" i="3"/>
  <c r="F8" i="5"/>
  <c r="H14" i="1"/>
  <c r="H13" i="1"/>
  <c r="H12" i="1"/>
  <c r="H11" i="1"/>
  <c r="H10" i="1"/>
  <c r="H9" i="1"/>
  <c r="S21" i="9"/>
  <c r="S20" i="9"/>
  <c r="S19" i="9"/>
  <c r="S18" i="9"/>
  <c r="S17" i="9"/>
  <c r="S16" i="9"/>
  <c r="S14" i="9"/>
  <c r="S13" i="9"/>
  <c r="S12" i="9"/>
  <c r="S11" i="9"/>
  <c r="S10" i="9"/>
  <c r="S9" i="9"/>
  <c r="S8" i="9"/>
  <c r="S7" i="9"/>
  <c r="S6" i="9"/>
  <c r="F35" i="9"/>
  <c r="F34" i="9"/>
  <c r="F33" i="9"/>
  <c r="F32" i="9"/>
  <c r="F31" i="9"/>
  <c r="F30" i="9"/>
  <c r="F29" i="9"/>
  <c r="F28" i="9"/>
  <c r="F27" i="9"/>
  <c r="F26" i="9"/>
  <c r="F25" i="9"/>
  <c r="F24" i="9"/>
  <c r="F22" i="9"/>
  <c r="F21" i="9"/>
  <c r="F20" i="9"/>
  <c r="F19" i="9"/>
  <c r="F18" i="9"/>
  <c r="F17" i="9"/>
  <c r="F16" i="9"/>
  <c r="F14" i="9"/>
  <c r="F13" i="9"/>
  <c r="F12" i="9"/>
  <c r="F11" i="9"/>
  <c r="F10" i="9"/>
  <c r="F9" i="9"/>
  <c r="F8" i="9"/>
  <c r="F112" i="3" l="1"/>
  <c r="F111" i="3"/>
  <c r="F110" i="3"/>
  <c r="F109" i="3"/>
  <c r="S108" i="3"/>
  <c r="F108" i="3"/>
  <c r="F107" i="3"/>
  <c r="F106" i="3"/>
  <c r="F105" i="3"/>
  <c r="F104" i="3"/>
  <c r="F103" i="3"/>
  <c r="F102" i="3"/>
  <c r="S101" i="3"/>
  <c r="F101" i="3"/>
  <c r="F100" i="3"/>
  <c r="F99" i="3"/>
  <c r="S98" i="3"/>
  <c r="F98" i="3"/>
  <c r="F97" i="3"/>
  <c r="F96" i="3"/>
  <c r="F95" i="3"/>
  <c r="F94" i="3"/>
  <c r="S93" i="3"/>
  <c r="F93" i="3"/>
  <c r="F92" i="3"/>
  <c r="S91" i="3"/>
  <c r="F91" i="3"/>
  <c r="F90" i="3"/>
  <c r="S89" i="3"/>
  <c r="F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H66" i="7" l="1"/>
  <c r="H65" i="7"/>
  <c r="H64" i="7"/>
  <c r="H63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7" i="7"/>
  <c r="H26" i="7"/>
  <c r="H25" i="7"/>
  <c r="H24" i="7"/>
  <c r="H23" i="7"/>
  <c r="H22" i="7"/>
  <c r="H21" i="7"/>
  <c r="H20" i="7"/>
  <c r="H19" i="7"/>
  <c r="H18" i="7"/>
  <c r="F7" i="9"/>
  <c r="F6" i="9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H8" i="7"/>
  <c r="H9" i="7"/>
  <c r="H10" i="7"/>
  <c r="H11" i="7"/>
  <c r="H12" i="7"/>
  <c r="H13" i="7"/>
  <c r="H14" i="7"/>
  <c r="H15" i="7"/>
  <c r="H16" i="7"/>
  <c r="H17" i="7"/>
  <c r="H7" i="7"/>
  <c r="E133" i="3"/>
  <c r="H133" i="3"/>
  <c r="H16" i="4"/>
</calcChain>
</file>

<file path=xl/sharedStrings.xml><?xml version="1.0" encoding="utf-8"?>
<sst xmlns="http://schemas.openxmlformats.org/spreadsheetml/2006/main" count="4084" uniqueCount="1696">
  <si>
    <t xml:space="preserve">TEKA ECUADOR S.A. </t>
  </si>
  <si>
    <t>Registro Único de Contribuyente: 1791883144001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</si>
  <si>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</si>
  <si>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</si>
  <si>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</si>
  <si>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</si>
  <si>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</si>
  <si>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</si>
  <si>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</si>
  <si>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</si>
  <si>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</si>
  <si>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</si>
  <si>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</si>
  <si>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</si>
  <si>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</si>
  <si>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</si>
  <si>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</si>
  <si>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</si>
  <si>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</si>
  <si>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</si>
  <si>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</si>
  <si>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</si>
  <si>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AFF 87600 MST BK COCINA INDUCCION</t>
  </si>
  <si>
    <t>SAP</t>
  </si>
  <si>
    <t>HLB 8510 P "MAESTRO PIZZA"</t>
  </si>
  <si>
    <t>HLB 8416 "AIR FRY" - HORNO ELEC</t>
  </si>
  <si>
    <t>IZF 99700 MST COCINA INDUCCION</t>
  </si>
  <si>
    <t>C 7310 INOX CAMPANA (110V-60HZ) C/KIT</t>
  </si>
  <si>
    <t>GZC 75330 XBB CRISTAL COCINA GAS</t>
  </si>
  <si>
    <t>IZC 64010 MSS COCINA INDUCCION</t>
  </si>
  <si>
    <t>IZF 88700 MST COCINA INDUCCION</t>
  </si>
  <si>
    <t xml:space="preserve">COCINAS 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</si>
  <si>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</si>
  <si>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</si>
  <si>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</si>
  <si>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</si>
  <si>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</si>
  <si>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</si>
  <si>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</si>
  <si>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</si>
  <si>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</si>
  <si>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</si>
  <si>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</si>
  <si>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</si>
  <si>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</si>
  <si>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</si>
  <si>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</si>
  <si>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</si>
  <si>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</si>
  <si>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</si>
  <si>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</si>
  <si>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</si>
  <si>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</si>
  <si>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</si>
  <si>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</si>
  <si>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</si>
  <si>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</si>
  <si>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</si>
  <si>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</si>
  <si>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</si>
  <si>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</si>
  <si>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</si>
  <si>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</si>
  <si>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</si>
  <si>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</si>
  <si>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</si>
  <si>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</si>
  <si>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</si>
  <si>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</si>
  <si>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</si>
  <si>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</si>
  <si>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</si>
  <si>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</si>
  <si>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</si>
  <si>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</si>
  <si>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</si>
  <si>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</si>
  <si>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</si>
  <si>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</si>
  <si>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</si>
  <si>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</si>
  <si>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</si>
  <si>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</si>
  <si>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</si>
  <si>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</si>
  <si>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</si>
  <si>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</si>
  <si>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</si>
  <si>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</si>
  <si>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</si>
  <si>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</si>
  <si>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</si>
  <si>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</si>
  <si>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</si>
  <si>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</si>
  <si>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</si>
  <si>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</si>
  <si>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</si>
  <si>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</si>
  <si>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</si>
  <si>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</si>
  <si>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</si>
  <si>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</si>
  <si>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</si>
  <si>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</si>
  <si>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</si>
  <si>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</si>
  <si>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</si>
  <si>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</si>
  <si>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</si>
  <si>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</si>
  <si>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</si>
  <si>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</si>
  <si>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</si>
  <si>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</si>
  <si>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</si>
  <si>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</si>
  <si>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</si>
  <si>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</si>
  <si>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</si>
  <si>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</si>
  <si>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</si>
  <si>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</si>
  <si>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</si>
  <si>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</si>
  <si>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</si>
  <si>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</si>
  <si>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</si>
  <si>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</si>
  <si>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</si>
  <si>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</si>
  <si>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</si>
  <si>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</si>
  <si>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</si>
  <si>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</si>
  <si>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</si>
  <si>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</si>
  <si>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</si>
  <si>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</si>
  <si>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</si>
  <si>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</si>
  <si>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</si>
  <si>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</si>
  <si>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</si>
  <si>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</si>
  <si>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</si>
  <si>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</si>
  <si>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</si>
  <si>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</si>
  <si>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</si>
  <si>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</si>
  <si>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</si>
  <si>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</si>
  <si>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</si>
  <si>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</si>
  <si>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</si>
  <si>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</si>
  <si>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</si>
  <si>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</si>
  <si>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</si>
  <si>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</si>
  <si>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</si>
  <si>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</si>
  <si>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</si>
  <si>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</si>
  <si>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</si>
  <si>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</si>
  <si>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</si>
  <si>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</si>
  <si>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</si>
  <si>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</si>
  <si>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</si>
  <si>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</si>
  <si>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</si>
  <si>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</si>
  <si>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</si>
  <si>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</si>
  <si>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</si>
  <si>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</si>
  <si>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</si>
  <si>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</si>
  <si>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</si>
  <si>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</si>
  <si>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</si>
  <si>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</si>
  <si>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</si>
  <si>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</si>
  <si>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</si>
  <si>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</si>
  <si>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</si>
  <si>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</si>
  <si>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</si>
  <si>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</si>
  <si>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</si>
  <si>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</si>
  <si>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</si>
  <si>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</si>
  <si>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</si>
  <si>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</si>
  <si>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</si>
  <si>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</si>
  <si>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</si>
  <si>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</si>
  <si>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</si>
  <si>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</si>
  <si>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</si>
  <si>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</si>
  <si>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</si>
  <si>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</si>
  <si>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</si>
  <si>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</si>
  <si>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</si>
  <si>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</si>
  <si>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</si>
  <si>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</si>
  <si>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</si>
  <si>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</si>
  <si>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</si>
  <si>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</si>
  <si>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</si>
  <si>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</si>
  <si>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</si>
  <si>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</si>
  <si>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</si>
  <si>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</si>
  <si>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</si>
  <si>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</si>
  <si>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</si>
  <si>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</si>
  <si>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</si>
  <si>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</si>
  <si>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</si>
  <si>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</si>
  <si>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</si>
  <si>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</si>
  <si>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</si>
  <si>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</si>
  <si>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</si>
  <si>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</si>
  <si>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</si>
  <si>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IZS 97630 MST COCINA INDUCCION</t>
  </si>
  <si>
    <t>IZS 86630 MST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</si>
  <si>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</si>
  <si>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</si>
  <si>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</si>
  <si>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</si>
  <si>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</si>
  <si>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</si>
  <si>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</si>
  <si>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</si>
  <si>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</si>
  <si>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</si>
  <si>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</si>
  <si>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</si>
  <si>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</si>
  <si>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</si>
  <si>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</si>
  <si>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</si>
  <si>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</si>
  <si>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</si>
  <si>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</si>
  <si>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</si>
  <si>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</si>
  <si>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</si>
  <si>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</si>
  <si>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</si>
  <si>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</si>
  <si>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</si>
  <si>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</si>
  <si>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</si>
  <si>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</si>
  <si>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</si>
  <si>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</si>
  <si>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</si>
  <si>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</si>
  <si>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</si>
  <si>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</si>
  <si>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</si>
  <si>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</si>
  <si>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</si>
  <si>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</si>
  <si>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</si>
  <si>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</si>
  <si>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</si>
  <si>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</si>
  <si>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</si>
  <si>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</si>
  <si>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</si>
  <si>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</si>
  <si>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</si>
  <si>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</si>
  <si>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</si>
  <si>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</si>
  <si>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</si>
  <si>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</si>
  <si>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</si>
  <si>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</si>
  <si>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</si>
  <si>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</si>
  <si>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</si>
  <si>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</si>
  <si>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</si>
  <si>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</si>
  <si>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</si>
  <si>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</si>
  <si>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</si>
  <si>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</si>
  <si>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</si>
  <si>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</si>
  <si>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</si>
  <si>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</si>
  <si>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</si>
  <si>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</si>
  <si>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</si>
  <si>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</si>
  <si>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</si>
  <si>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</si>
  <si>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</si>
  <si>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</si>
  <si>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</si>
  <si>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</si>
  <si>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</si>
  <si>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</si>
  <si>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</si>
  <si>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</si>
  <si>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</si>
  <si>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</si>
  <si>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</si>
  <si>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</si>
  <si>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</si>
  <si>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</si>
  <si>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</si>
  <si>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</si>
  <si>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</si>
  <si>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</si>
  <si>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</si>
  <si>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</si>
  <si>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</si>
  <si>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</si>
  <si>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</si>
  <si>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</si>
  <si>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</si>
  <si>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</si>
  <si>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</si>
  <si>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</si>
  <si>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</si>
  <si>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</si>
  <si>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</si>
  <si>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</si>
  <si>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</si>
  <si>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</si>
  <si>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</si>
  <si>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</si>
  <si>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</si>
  <si>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</si>
  <si>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</si>
  <si>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</si>
  <si>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</si>
  <si>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</si>
  <si>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</si>
  <si>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</si>
  <si>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</si>
  <si>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</si>
  <si>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</si>
  <si>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</si>
  <si>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</si>
  <si>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</si>
  <si>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</si>
  <si>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</si>
  <si>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</si>
  <si>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</si>
  <si>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</si>
  <si>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</si>
  <si>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</si>
  <si>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</si>
  <si>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</si>
  <si>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</si>
  <si>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</si>
  <si>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</si>
  <si>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</si>
  <si>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</si>
  <si>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</si>
  <si>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</si>
  <si>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</si>
  <si>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</si>
  <si>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</si>
  <si>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</si>
  <si>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</si>
  <si>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</si>
  <si>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</si>
  <si>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</si>
  <si>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</si>
  <si>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</si>
  <si>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</si>
  <si>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</si>
  <si>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</si>
  <si>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</si>
  <si>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</si>
  <si>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</si>
  <si>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</si>
  <si>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</si>
  <si>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</si>
  <si>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</si>
  <si>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</si>
  <si>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</si>
  <si>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</si>
  <si>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</si>
  <si>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</si>
  <si>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</si>
  <si>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</si>
  <si>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</si>
  <si>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</si>
  <si>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</si>
  <si>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</si>
  <si>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</si>
  <si>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</si>
  <si>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</si>
  <si>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</si>
  <si>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</si>
  <si>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</si>
  <si>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</si>
  <si>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</si>
  <si>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</si>
  <si>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</si>
  <si>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</si>
  <si>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</si>
  <si>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</si>
  <si>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</si>
  <si>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</si>
  <si>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</si>
  <si>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</si>
  <si>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</si>
  <si>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</si>
  <si>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</si>
  <si>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</si>
  <si>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</si>
  <si>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</si>
  <si>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</si>
  <si>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</si>
  <si>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</si>
  <si>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</si>
  <si>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</si>
  <si>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</si>
  <si>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</si>
  <si>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</si>
  <si>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</si>
  <si>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</si>
  <si>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</si>
  <si>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</si>
  <si>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</si>
  <si>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</si>
  <si>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</si>
  <si>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</si>
  <si>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</si>
  <si>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</si>
  <si>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</si>
  <si>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</si>
  <si>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</si>
  <si>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</si>
  <si>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</si>
  <si>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</si>
  <si>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</si>
  <si>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</si>
  <si>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</si>
  <si>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</si>
  <si>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</si>
  <si>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</si>
  <si>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</si>
  <si>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</si>
  <si>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</si>
  <si>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</si>
  <si>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</si>
  <si>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</si>
  <si>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</si>
  <si>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</si>
  <si>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</si>
  <si>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</si>
  <si>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</si>
  <si>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</si>
  <si>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</si>
  <si>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</si>
  <si>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</si>
  <si>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</si>
  <si>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</si>
  <si>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</si>
  <si>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</si>
  <si>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</si>
  <si>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</si>
  <si>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</si>
  <si>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</si>
  <si>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</si>
  <si>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</si>
  <si>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</si>
  <si>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</si>
  <si>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</si>
  <si>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</si>
  <si>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</si>
  <si>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</si>
  <si>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</si>
  <si>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</si>
  <si>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</si>
  <si>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</si>
  <si>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</si>
  <si>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</si>
  <si>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</si>
  <si>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</si>
  <si>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</si>
  <si>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</si>
  <si>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</si>
  <si>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</si>
  <si>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</si>
  <si>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</si>
  <si>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</si>
  <si>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</si>
  <si>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</si>
  <si>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</si>
  <si>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</si>
  <si>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</si>
  <si>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</si>
  <si>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</si>
  <si>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</si>
  <si>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</si>
  <si>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</si>
  <si>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</si>
  <si>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</si>
  <si>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</si>
  <si>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</si>
  <si>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</si>
  <si>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</si>
  <si>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</si>
  <si>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</si>
  <si>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</si>
  <si>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</si>
  <si>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</si>
  <si>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</si>
  <si>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</si>
  <si>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</si>
  <si>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</si>
  <si>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</si>
  <si>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</si>
  <si>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</si>
  <si>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</si>
  <si>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</si>
  <si>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</si>
  <si>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</si>
  <si>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</si>
  <si>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</si>
  <si>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</si>
  <si>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</si>
  <si>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</si>
  <si>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</si>
  <si>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</si>
  <si>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</si>
  <si>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</si>
  <si>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</si>
  <si>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</si>
  <si>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</si>
  <si>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</si>
  <si>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</si>
  <si>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</si>
  <si>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</si>
  <si>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</si>
  <si>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</si>
  <si>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</si>
  <si>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</si>
  <si>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</si>
  <si>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</si>
  <si>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</si>
  <si>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</si>
  <si>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</si>
  <si>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</si>
  <si>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</si>
  <si>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</si>
  <si>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</si>
  <si>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</si>
  <si>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</si>
  <si>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</si>
  <si>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</si>
  <si>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</si>
  <si>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</si>
  <si>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</si>
  <si>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</si>
  <si>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</si>
  <si>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</si>
  <si>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</si>
  <si>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</si>
  <si>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</si>
  <si>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</si>
  <si>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</si>
  <si>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</si>
  <si>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</si>
  <si>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</si>
  <si>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</si>
  <si>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</si>
  <si>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</si>
  <si>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</si>
  <si>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</si>
  <si>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</si>
  <si>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</si>
  <si>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</si>
  <si>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</si>
  <si>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</si>
  <si>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</si>
  <si>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</si>
  <si>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</si>
  <si>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</si>
  <si>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</si>
  <si>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</si>
  <si>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</si>
  <si>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</si>
  <si>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</si>
  <si>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</si>
  <si>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</si>
  <si>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</si>
  <si>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</si>
  <si>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</si>
  <si>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</si>
  <si>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</si>
  <si>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</si>
  <si>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</si>
  <si>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</si>
  <si>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</si>
  <si>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</si>
  <si>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</si>
  <si>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</si>
  <si>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</si>
  <si>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</si>
  <si>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</si>
  <si>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</si>
  <si>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</si>
  <si>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</si>
  <si>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</si>
  <si>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</si>
  <si>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</si>
  <si>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</si>
  <si>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</si>
  <si>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</si>
  <si>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</si>
  <si>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</si>
  <si>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</si>
  <si>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</si>
  <si>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</si>
  <si>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</si>
  <si>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</si>
  <si>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</si>
  <si>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</si>
  <si>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</si>
  <si>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</si>
  <si>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</si>
  <si>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</si>
  <si>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</si>
  <si>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</si>
  <si>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</si>
  <si>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</si>
  <si>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</si>
  <si>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</si>
  <si>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</si>
  <si>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</si>
  <si>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</si>
  <si>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</si>
  <si>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</si>
  <si>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</si>
  <si>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</si>
  <si>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</si>
  <si>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</si>
  <si>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</si>
  <si>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</si>
  <si>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</si>
  <si>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</si>
  <si>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</si>
  <si>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</si>
  <si>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</si>
  <si>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</si>
  <si>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</si>
  <si>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</si>
  <si>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</si>
  <si>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</si>
  <si>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</si>
  <si>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</si>
  <si>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</si>
  <si>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</si>
  <si>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</si>
  <si>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</si>
  <si>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</si>
  <si>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</si>
  <si>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</si>
  <si>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</si>
  <si>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</si>
  <si>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</si>
  <si>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</si>
  <si>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</si>
  <si>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</si>
  <si>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</si>
  <si>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</si>
  <si>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</si>
  <si>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</si>
  <si>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</si>
  <si>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</si>
  <si>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</si>
  <si>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</si>
  <si>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</si>
  <si>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</si>
  <si>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</si>
  <si>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</si>
  <si>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</si>
  <si>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</si>
  <si>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</si>
  <si>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</si>
  <si>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</si>
  <si>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</si>
  <si>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</si>
  <si>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</si>
  <si>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</si>
  <si>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</si>
  <si>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</si>
  <si>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</si>
  <si>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</si>
  <si>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</si>
  <si>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</si>
  <si>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</si>
  <si>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</si>
  <si>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</si>
  <si>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</si>
  <si>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</si>
  <si>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</si>
  <si>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</si>
  <si>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</si>
  <si>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</si>
  <si>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</si>
  <si>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</si>
  <si>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</si>
  <si>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</si>
  <si>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</si>
  <si>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</si>
  <si>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</si>
  <si>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</si>
  <si>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</si>
  <si>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</si>
  <si>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</si>
  <si>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</si>
  <si>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</si>
  <si>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</si>
  <si>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</si>
  <si>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</si>
  <si>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</si>
  <si>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</si>
  <si>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</si>
  <si>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</si>
  <si>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</si>
  <si>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</si>
  <si>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</si>
  <si>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</si>
  <si>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</si>
  <si>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</si>
  <si>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</si>
  <si>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</si>
  <si>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</si>
  <si>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</si>
  <si>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</si>
  <si>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</si>
  <si>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</si>
  <si>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</si>
  <si>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</si>
  <si>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</si>
  <si>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</si>
  <si>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</si>
  <si>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</si>
  <si>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</si>
  <si>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</si>
  <si>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</si>
  <si>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</si>
  <si>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</si>
  <si>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</si>
  <si>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</si>
  <si>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</si>
  <si>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</si>
  <si>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</si>
  <si>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</si>
  <si>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</si>
  <si>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</si>
  <si>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</si>
  <si>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</si>
  <si>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</si>
  <si>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</si>
  <si>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</si>
  <si>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</si>
  <si>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</si>
  <si>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</si>
  <si>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</si>
  <si>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</si>
  <si>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</si>
  <si>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</si>
  <si>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</si>
  <si>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</si>
  <si>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</si>
  <si>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</si>
  <si>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</si>
  <si>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</si>
  <si>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</si>
  <si>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</si>
  <si>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</si>
  <si>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</si>
  <si>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</si>
  <si>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</si>
  <si>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</si>
  <si>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</si>
  <si>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</si>
  <si>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</si>
  <si>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</si>
  <si>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</si>
  <si>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</si>
  <si>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</si>
  <si>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</si>
  <si>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</si>
  <si>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</si>
  <si>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</si>
  <si>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</si>
  <si>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</si>
  <si>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</si>
  <si>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</si>
  <si>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</si>
  <si>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</si>
  <si>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</si>
  <si>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</si>
  <si>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</si>
  <si>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</si>
  <si>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</si>
  <si>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</si>
  <si>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</si>
  <si>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</si>
  <si>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</si>
  <si>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</si>
  <si>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</si>
  <si>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</si>
  <si>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</si>
  <si>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</si>
  <si>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</si>
  <si>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</si>
  <si>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</si>
  <si>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</si>
  <si>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</si>
  <si>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</si>
  <si>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</si>
  <si>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</si>
  <si>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</si>
  <si>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</si>
  <si>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</si>
  <si>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</si>
  <si>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</si>
  <si>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</si>
  <si>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</si>
  <si>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</si>
  <si>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</si>
  <si>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</si>
  <si>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</si>
  <si>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</si>
  <si>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</si>
  <si>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</si>
  <si>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</si>
  <si>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</si>
  <si>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</si>
  <si>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</si>
  <si>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</si>
  <si>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</si>
  <si>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</si>
  <si>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</si>
  <si>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</si>
  <si>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</si>
  <si>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</si>
  <si>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</si>
  <si>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</si>
  <si>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</si>
  <si>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</si>
  <si>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</si>
  <si>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</si>
  <si>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</si>
  <si>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</si>
  <si>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</si>
  <si>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</si>
  <si>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</si>
  <si>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</si>
  <si>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</si>
  <si>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</si>
  <si>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</si>
  <si>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</si>
  <si>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</si>
  <si>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</si>
  <si>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</si>
  <si>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</si>
  <si>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</si>
  <si>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</si>
  <si>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</si>
  <si>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</si>
  <si>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</si>
  <si>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</si>
  <si>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</si>
  <si>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</si>
  <si>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</si>
  <si>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</si>
  <si>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</si>
  <si>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</si>
  <si>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</si>
  <si>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</si>
  <si>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</si>
  <si>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</si>
  <si>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</si>
  <si>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</si>
  <si>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</si>
  <si>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</si>
  <si>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</si>
  <si>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</si>
  <si>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</si>
  <si>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</si>
  <si>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</si>
  <si>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</si>
  <si>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</si>
  <si>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</si>
  <si>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</si>
  <si>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</si>
  <si>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</si>
  <si>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</si>
  <si>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</si>
  <si>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</si>
  <si>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</si>
  <si>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</si>
  <si>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</si>
  <si>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</si>
  <si>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</si>
  <si>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</si>
  <si>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</si>
  <si>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</si>
  <si>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</si>
  <si>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</si>
  <si>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</si>
  <si>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</si>
  <si>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</si>
  <si>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</si>
  <si>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</si>
  <si>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</si>
  <si>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</si>
  <si>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</si>
  <si>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</si>
  <si>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</si>
  <si>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</si>
  <si>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</si>
  <si>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</si>
  <si>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</si>
  <si>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</si>
  <si>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</si>
  <si>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</si>
  <si>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</si>
  <si>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</si>
  <si>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</si>
  <si>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</si>
  <si>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</si>
  <si>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</si>
  <si>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</si>
  <si>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</si>
  <si>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</si>
  <si>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</si>
  <si>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</si>
  <si>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</si>
  <si>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</si>
  <si>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</si>
  <si>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</si>
  <si>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</si>
  <si>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</si>
  <si>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ESTA SE LLENA POR DEFECTO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</si>
  <si>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</si>
  <si>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</si>
  <si>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</si>
  <si>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</si>
  <si>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</si>
  <si>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</si>
  <si>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</si>
  <si>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</si>
  <si>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</si>
  <si>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</si>
  <si>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</si>
  <si>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</si>
  <si>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</si>
  <si>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</si>
  <si>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</si>
  <si>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</si>
  <si>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</si>
  <si>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</si>
  <si>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</si>
  <si>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</si>
  <si>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</si>
  <si>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</si>
  <si>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</si>
  <si>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</si>
  <si>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</si>
  <si>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</si>
  <si>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</si>
  <si>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</si>
  <si>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 xml:space="preserve">BBQ </t>
  </si>
  <si>
    <t>PRODUCTOS</t>
  </si>
  <si>
    <t>TEKA ECUADOR S.A.</t>
  </si>
  <si>
    <t xml:space="preserve">ALMACENES 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</si>
  <si>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</si>
  <si>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</si>
  <si>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</si>
  <si>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</si>
  <si>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</si>
  <si>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</si>
  <si>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</si>
  <si>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</si>
  <si>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</si>
  <si>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</si>
  <si>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OBSERVACION</t>
  </si>
  <si>
    <t xml:space="preserve">PRODUCTO </t>
  </si>
  <si>
    <t xml:space="preserve">UN PRODUCTO </t>
  </si>
  <si>
    <t>FECHA INTERVENCION</t>
  </si>
  <si>
    <t xml:space="preserve">NOMBRE </t>
  </si>
  <si>
    <t>DIRECCIÓN</t>
  </si>
  <si>
    <t>TELÉFONO</t>
  </si>
  <si>
    <t xml:space="preserve">ASUNTO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</si>
  <si>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</si>
  <si>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</si>
  <si>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</si>
  <si>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</si>
  <si>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</si>
  <si>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</si>
  <si>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</si>
  <si>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</si>
  <si>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</si>
  <si>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</si>
  <si>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>Visitado</t>
  </si>
  <si>
    <t>INSTALAR</t>
  </si>
  <si>
    <t xml:space="preserve">DESCRIPCION </t>
  </si>
  <si>
    <t xml:space="preserve">CÓDIGO </t>
  </si>
  <si>
    <t>ERIKA URGILES</t>
  </si>
  <si>
    <t>AV. REMIGIO CRESPO Y LIBERTAD</t>
  </si>
  <si>
    <t>JORGE MENDEZ</t>
  </si>
  <si>
    <t>CHALLUABAMBA</t>
  </si>
  <si>
    <t>MILTON BARRAGAN</t>
  </si>
  <si>
    <t>MISICATA</t>
  </si>
  <si>
    <t>REPARAR</t>
  </si>
  <si>
    <t>LENNIN ZUÑIGA</t>
  </si>
  <si>
    <t>EDIFICIO SAN FRANCISCO</t>
  </si>
  <si>
    <t>JUAN CAJAMARCA</t>
  </si>
  <si>
    <t>BARRIO UNIDO</t>
  </si>
  <si>
    <t>ADALBERTO MACEDO</t>
  </si>
  <si>
    <t>TERRAZAS DEL RIO</t>
  </si>
  <si>
    <t>JOSE TAPIA</t>
  </si>
  <si>
    <t>AZOGUES</t>
  </si>
  <si>
    <t>LUCIA SARMIENTO</t>
  </si>
  <si>
    <t>RICAURTE</t>
  </si>
  <si>
    <t>CARLOS RENDON</t>
  </si>
  <si>
    <t>FEDERICO PROANO 3 87</t>
  </si>
  <si>
    <t>MAURICIO ULLOA</t>
  </si>
  <si>
    <t>EDIFICIO TERRA</t>
  </si>
  <si>
    <t>EDGAR SALDANA</t>
  </si>
  <si>
    <t>CALLE MENTA</t>
  </si>
  <si>
    <t>JUAN CARLOS TAPIA</t>
  </si>
  <si>
    <t>EL CABO/PAUTE</t>
  </si>
  <si>
    <t>MARIA RAMOS</t>
  </si>
  <si>
    <t>EL CEBOLLAR</t>
  </si>
  <si>
    <t>KEVIN TAPIA</t>
  </si>
  <si>
    <t>PEDRO BALAREZO</t>
  </si>
  <si>
    <t>PASEO CANARIS</t>
  </si>
  <si>
    <t>ELENA ABAD</t>
  </si>
  <si>
    <t>TAMBILLO</t>
  </si>
  <si>
    <t>CARMEN PLAZA</t>
  </si>
  <si>
    <t>EL VALLE</t>
  </si>
  <si>
    <t>PABLO PANDO</t>
  </si>
  <si>
    <t>PATAMARCA</t>
  </si>
  <si>
    <t>ELSA ORELLANA</t>
  </si>
  <si>
    <t>BAGUANCHI</t>
  </si>
  <si>
    <t>LEE MACEDO</t>
  </si>
  <si>
    <t>URB. AKARI</t>
  </si>
  <si>
    <t>PAOLA URGILES</t>
  </si>
  <si>
    <t>LOS JUGLARES</t>
  </si>
  <si>
    <t>GERARDINA AUQUILLA</t>
  </si>
  <si>
    <t>PAUTE</t>
  </si>
  <si>
    <t>RUBEN MOGROVEJO</t>
  </si>
  <si>
    <t>AV DON BOSCO</t>
  </si>
  <si>
    <t>LAURA LOPEZ</t>
  </si>
  <si>
    <t>1ERO DE MAYO</t>
  </si>
  <si>
    <t>IVAN ARPI</t>
  </si>
  <si>
    <t>CONS. ORELLANA</t>
  </si>
  <si>
    <t>EDIFICIO ORIZZONTE</t>
  </si>
  <si>
    <t>FABIAN FIGUEROA</t>
  </si>
  <si>
    <t>SAN JOAQUIN EL ALTO</t>
  </si>
  <si>
    <t>PATRICIO RIVERA</t>
  </si>
  <si>
    <t>CDLA KENNEDY</t>
  </si>
  <si>
    <t>HUGO QUEZADA</t>
  </si>
  <si>
    <t>NELSON IDROVO</t>
  </si>
  <si>
    <t>GEOVANNY LUPERCIO</t>
  </si>
  <si>
    <t>CRUCE CRMEN</t>
  </si>
  <si>
    <t>DAYANNA SUAREZ</t>
  </si>
  <si>
    <t>JARDINES DE BALSAY</t>
  </si>
  <si>
    <t>ABBY OSMAN</t>
  </si>
  <si>
    <t>JOSE ALVEAR 2 58</t>
  </si>
  <si>
    <t xml:space="preserve">MARGOT RIVERA </t>
  </si>
  <si>
    <t>REMIGIO CRESPO</t>
  </si>
  <si>
    <t>DIANA ENDERICA</t>
  </si>
  <si>
    <t>CDLA. TOMEBAMBA</t>
  </si>
  <si>
    <t>LUIS DONOSO</t>
  </si>
  <si>
    <t>EDIFICIO 1-05</t>
  </si>
  <si>
    <t>EDUARDO CHANGO</t>
  </si>
  <si>
    <t>SANTIAGO LOPEZ</t>
  </si>
  <si>
    <t>PACHAMAMA 5-14</t>
  </si>
  <si>
    <t>VERONICA CARVALLO</t>
  </si>
  <si>
    <t>EDIFICIO TORRE DEL RIO</t>
  </si>
  <si>
    <t>CATALINA VINTIMILLA</t>
  </si>
  <si>
    <t>EDIFICIO ALBA</t>
  </si>
  <si>
    <t>DORIAN MOSQUERA</t>
  </si>
  <si>
    <t>VIVIANA ZAMBRANO</t>
  </si>
  <si>
    <t>VISTA DEL RIO</t>
  </si>
  <si>
    <t>ALFREDO JIMENEZ</t>
  </si>
  <si>
    <t>NARANCAY</t>
  </si>
  <si>
    <t>ANA LUCIA ILLESCAS</t>
  </si>
  <si>
    <t>LA ESTACIA 2</t>
  </si>
  <si>
    <t>BERNARDA SANCHEZ</t>
  </si>
  <si>
    <t>TARQUI</t>
  </si>
  <si>
    <t>EMILIA FLORES</t>
  </si>
  <si>
    <t>MARIA HINCAPIE</t>
  </si>
  <si>
    <t>SOLANO</t>
  </si>
  <si>
    <t>PEDRO ANDRADE</t>
  </si>
  <si>
    <t>CONDOMINIO AKIRA</t>
  </si>
  <si>
    <t>FATIMA TORAL</t>
  </si>
  <si>
    <t>CONDOMINIO GALICIA</t>
  </si>
  <si>
    <t>JORGE ROBALINO</t>
  </si>
  <si>
    <t>TORRES DE ALMERIA</t>
  </si>
  <si>
    <t>ROSA ROMERO</t>
  </si>
  <si>
    <t>YUNGUILLA</t>
  </si>
  <si>
    <t>VERONICA FAREZ</t>
  </si>
  <si>
    <t>VIA SOLDADOS</t>
  </si>
  <si>
    <t>MEGAKYWI/MARIA AVELLANO</t>
  </si>
  <si>
    <t>WAYRA PLAZA</t>
  </si>
  <si>
    <t>ELISABETH OCHOA</t>
  </si>
  <si>
    <t>VINICIO PULLA</t>
  </si>
  <si>
    <t>SAN MIGUEL POTOSI</t>
  </si>
  <si>
    <t>JAIRO TORRES</t>
  </si>
  <si>
    <t>MARIA URGILES</t>
  </si>
  <si>
    <t>LAS PENCAS ALTAS</t>
  </si>
  <si>
    <t>SANTIAGO VILLAVICENCIO</t>
  </si>
  <si>
    <t>NELSON DIAZ</t>
  </si>
  <si>
    <t>AV. DEL MIGRANTE</t>
  </si>
  <si>
    <t>BOYACA</t>
  </si>
  <si>
    <t>CAPELO</t>
  </si>
  <si>
    <t>PX249H00121</t>
  </si>
  <si>
    <t>adrianaurgiles44@gmail.com</t>
  </si>
  <si>
    <t>COMERCIAL KYWI</t>
  </si>
  <si>
    <t>MD247L00374</t>
  </si>
  <si>
    <t>jorgemendez5@hotmail.com</t>
  </si>
  <si>
    <t>BATH &amp; HOME</t>
  </si>
  <si>
    <t>MD20CL00505</t>
  </si>
  <si>
    <t>mfrancisco202@gmail.com</t>
  </si>
  <si>
    <t>0190478955</t>
  </si>
  <si>
    <t>COMO HOGAR</t>
  </si>
  <si>
    <t>ZP24AP00573</t>
  </si>
  <si>
    <t>aciroblas54@hotmail.com</t>
  </si>
  <si>
    <t>0102311651</t>
  </si>
  <si>
    <t>TARJETA TOUCH FUERA DE POSICION, SE CORRIGE EL FALLO</t>
  </si>
  <si>
    <t>MERCARD</t>
  </si>
  <si>
    <t>TP241A03974</t>
  </si>
  <si>
    <t>cris-raly@hotmail.com</t>
  </si>
  <si>
    <t>0106588726</t>
  </si>
  <si>
    <t>0225000467</t>
  </si>
  <si>
    <t>betomacedo60@gmail.com</t>
  </si>
  <si>
    <t>01552272266</t>
  </si>
  <si>
    <t>CO249E00160</t>
  </si>
  <si>
    <t>alejandrotapia741@gmail.com</t>
  </si>
  <si>
    <t>COM. SOLIS</t>
  </si>
  <si>
    <t>TZ247H16144</t>
  </si>
  <si>
    <t>bibiscam93@hotmail.com</t>
  </si>
  <si>
    <t>0101268761</t>
  </si>
  <si>
    <t>JC247400285</t>
  </si>
  <si>
    <t>ortenciarendon90@gmail.com</t>
  </si>
  <si>
    <t>0100041276</t>
  </si>
  <si>
    <t>KYWI</t>
  </si>
  <si>
    <t>TZ24BD10689</t>
  </si>
  <si>
    <t>mauroullua90@hotmail.com</t>
  </si>
  <si>
    <t>0104701073</t>
  </si>
  <si>
    <t>CO249E00267</t>
  </si>
  <si>
    <t>edgarhsald@yahoo.com</t>
  </si>
  <si>
    <t>105709489</t>
  </si>
  <si>
    <t>ZP242200520</t>
  </si>
  <si>
    <t>nauntapiasdb@yahoo.com</t>
  </si>
  <si>
    <t>0104784921</t>
  </si>
  <si>
    <t>TP245P08017</t>
  </si>
  <si>
    <t>mariapangol2014@gmail.com</t>
  </si>
  <si>
    <t>0101297166</t>
  </si>
  <si>
    <t>HOME VEGA</t>
  </si>
  <si>
    <t>EY246K00022</t>
  </si>
  <si>
    <t>ecuasa@hotmail.com</t>
  </si>
  <si>
    <t>0104903943001</t>
  </si>
  <si>
    <t>SUKASA</t>
  </si>
  <si>
    <t>MD24BL0000187</t>
  </si>
  <si>
    <t>pedro.balarezo@hotmail.com</t>
  </si>
  <si>
    <t>0100257393</t>
  </si>
  <si>
    <t>ZP24AG00372</t>
  </si>
  <si>
    <t>marceabad@hotmail.com</t>
  </si>
  <si>
    <t>0101265874</t>
  </si>
  <si>
    <t>COM. LUNA PAZMIÑO</t>
  </si>
  <si>
    <t>ZP24AQ00114</t>
  </si>
  <si>
    <t>plazacarmen834@hotmail.com</t>
  </si>
  <si>
    <t>0104776984</t>
  </si>
  <si>
    <t>COMERCIAL SOLIS</t>
  </si>
  <si>
    <t>TP249H02869</t>
  </si>
  <si>
    <t>djia_mjac@hotmail.com</t>
  </si>
  <si>
    <t>0104178991</t>
  </si>
  <si>
    <t>EK246100061</t>
  </si>
  <si>
    <t>eeorellana@hotmail.com</t>
  </si>
  <si>
    <t>EK24400047</t>
  </si>
  <si>
    <t>sayuribu24@gmail.com</t>
  </si>
  <si>
    <t>TP24AQ05731</t>
  </si>
  <si>
    <t>paolaurgilesv@gmail.com</t>
  </si>
  <si>
    <t>MC234KOOO45</t>
  </si>
  <si>
    <t>charitoauquilla@yahoo.com</t>
  </si>
  <si>
    <t>0101590834</t>
  </si>
  <si>
    <t>SE REALIZA NOTA DE CREDITO DESPUES DE VERIFICACIONES</t>
  </si>
  <si>
    <t>MC232500070</t>
  </si>
  <si>
    <t>ferriastral@hotmail.com</t>
  </si>
  <si>
    <t>0101204683</t>
  </si>
  <si>
    <t>TP233208937</t>
  </si>
  <si>
    <t>tiestojj7-34@hotmail.com</t>
  </si>
  <si>
    <t>TZ251MIS802</t>
  </si>
  <si>
    <t>alexamor.1208@gmail.com</t>
  </si>
  <si>
    <t>MEGAOFERTAS</t>
  </si>
  <si>
    <t>TP253E11285</t>
  </si>
  <si>
    <t>cosntructoraorellana@gmail.com</t>
  </si>
  <si>
    <t>0190494039</t>
  </si>
  <si>
    <t>ZP24900080</t>
  </si>
  <si>
    <t>fabian.figueroa76@hotmail.com</t>
  </si>
  <si>
    <t>ZP24AN00558</t>
  </si>
  <si>
    <t>juanpatriciorivera@hotmail.com</t>
  </si>
  <si>
    <t>BH ELECTRODOMESTICOS</t>
  </si>
  <si>
    <t>ZP23BM00331</t>
  </si>
  <si>
    <t>grupo.caminar@hotmail.com</t>
  </si>
  <si>
    <t>0104714019</t>
  </si>
  <si>
    <t>MODULO DE POTENCIA IZQUIERDA EN CORTO CIRCUITO</t>
  </si>
  <si>
    <t>ZP24C500194</t>
  </si>
  <si>
    <t>gracevelastegui@yahoo.com</t>
  </si>
  <si>
    <t>0102753340</t>
  </si>
  <si>
    <t>LA BUJIA ESTA ROBANDO CORRIENTE, SE CAMBIA BUJIA</t>
  </si>
  <si>
    <t>ZP236L00076</t>
  </si>
  <si>
    <t>pati26@gmail.com</t>
  </si>
  <si>
    <t>0104184999</t>
  </si>
  <si>
    <t>rgarzon48@gmail.com</t>
  </si>
  <si>
    <t>MW23AR00707</t>
  </si>
  <si>
    <t>ybba503@gmail.com</t>
  </si>
  <si>
    <t>01514192664</t>
  </si>
  <si>
    <t>CONECTOR INTERRUPTOR FINAL CARRERA FALSO CONTACTO</t>
  </si>
  <si>
    <t>ZP24BM00259</t>
  </si>
  <si>
    <t>mcrivera.brvo@gmail.com</t>
  </si>
  <si>
    <t>ZP244V00173</t>
  </si>
  <si>
    <t>maria.enderica@yahoo.com</t>
  </si>
  <si>
    <t>TZ24CA07264</t>
  </si>
  <si>
    <t>responsable1@hotmail.com</t>
  </si>
  <si>
    <t>TZ252732463</t>
  </si>
  <si>
    <t>eduand.chango@gmail.com</t>
  </si>
  <si>
    <t>0105249841</t>
  </si>
  <si>
    <t>TP252KO3564</t>
  </si>
  <si>
    <t>slopez@etapanet.net</t>
  </si>
  <si>
    <t>0152184875</t>
  </si>
  <si>
    <t>TP251T00215</t>
  </si>
  <si>
    <t>vcio1448@hotmail.com</t>
  </si>
  <si>
    <t>0104351465</t>
  </si>
  <si>
    <t>ZP24A900590</t>
  </si>
  <si>
    <t>jeimisramosmonopi@hotmail.com</t>
  </si>
  <si>
    <t>TP252503337</t>
  </si>
  <si>
    <t>dorian87-19@outlook.com</t>
  </si>
  <si>
    <t>0104505540</t>
  </si>
  <si>
    <t>CO249E00908</t>
  </si>
  <si>
    <t>vivipaulyzambrano@hotmail.com</t>
  </si>
  <si>
    <t>EK247200088</t>
  </si>
  <si>
    <t>info@redoffice.ec</t>
  </si>
  <si>
    <t>ZP244300187</t>
  </si>
  <si>
    <t>analucia.illescas@gmail.com</t>
  </si>
  <si>
    <t>ZP246C00138</t>
  </si>
  <si>
    <t>estebansarmientocobos@gmail.com</t>
  </si>
  <si>
    <t>ZP251TOO242</t>
  </si>
  <si>
    <t>prici.verdugo@gmail.com</t>
  </si>
  <si>
    <t>TP24AR07902</t>
  </si>
  <si>
    <t>mhicapie380@gmail.com</t>
  </si>
  <si>
    <t>EK241F00019</t>
  </si>
  <si>
    <t>pedro.a.89@hotmail.com</t>
  </si>
  <si>
    <t>TP247X02365</t>
  </si>
  <si>
    <t>fati.toral.leon@gmail.com</t>
  </si>
  <si>
    <t>ZP239600479</t>
  </si>
  <si>
    <t>jerp63@gmail.com</t>
  </si>
  <si>
    <t>rosaromy@gmail.com</t>
  </si>
  <si>
    <t>0100580505</t>
  </si>
  <si>
    <t>TP24A305015</t>
  </si>
  <si>
    <t>verofarez@hotmail.com</t>
  </si>
  <si>
    <t>0105039796</t>
  </si>
  <si>
    <t>STOCK</t>
  </si>
  <si>
    <t>CO249E00669</t>
  </si>
  <si>
    <t>maka.alvenzo@kywi.com.ec</t>
  </si>
  <si>
    <t>CO249E00688</t>
  </si>
  <si>
    <t>ZP24AP00583</t>
  </si>
  <si>
    <t>ana.elisabeth.ochoa@hotmai;l.com</t>
  </si>
  <si>
    <t>TZ243604775</t>
  </si>
  <si>
    <t>viciciopullas1959@hotmail.com</t>
  </si>
  <si>
    <t>TZ24BF12858</t>
  </si>
  <si>
    <t>patho1924@gmail.com</t>
  </si>
  <si>
    <t>COM.SOLIS</t>
  </si>
  <si>
    <t>TZ216ER2875</t>
  </si>
  <si>
    <t>juanca7010@hotmail.com</t>
  </si>
  <si>
    <t>TP247305046</t>
  </si>
  <si>
    <t>Isantiagov@live.com</t>
  </si>
  <si>
    <t>TZ247LO2371</t>
  </si>
  <si>
    <t>nelson.vidal87@gmail.com</t>
  </si>
  <si>
    <t>0151367190</t>
  </si>
  <si>
    <t xml:space="preserve">TERMINAL CALENTADOR FALSO CONTACTO, SE REEMPLAZA </t>
  </si>
  <si>
    <t>SE REALIZA NOTA DE CREDITO FUGA DE GAS</t>
  </si>
  <si>
    <t>Técnico:  Cristian Capelo</t>
  </si>
  <si>
    <t>Clientes Visitados al 18 de Julio 2025</t>
  </si>
  <si>
    <t>INSTALACION 2 EQUIPOS</t>
  </si>
  <si>
    <t>INSTALACION 3 EQUIPOS</t>
  </si>
  <si>
    <t>INSTALACION 1 EQUIPO</t>
  </si>
  <si>
    <t>INSTALACION 10 EQUIPOS EN 2 CASAS DEL MISMO CLIENTE</t>
  </si>
  <si>
    <t>INSTALACION 4 EQUIPOS</t>
  </si>
  <si>
    <t>007-006-000137763</t>
  </si>
  <si>
    <t>043-404-000042471</t>
  </si>
  <si>
    <t>006-000158025</t>
  </si>
  <si>
    <t>001500-000070341</t>
  </si>
  <si>
    <t>002-201-000010370</t>
  </si>
  <si>
    <t>001-500-000071340</t>
  </si>
  <si>
    <t>001-500-000070531</t>
  </si>
  <si>
    <t>001-500-000070726</t>
  </si>
  <si>
    <t>001-500-000074331</t>
  </si>
  <si>
    <t>002-201-000010668</t>
  </si>
  <si>
    <t>002-201-000009351</t>
  </si>
  <si>
    <t>040-103-000013457</t>
  </si>
  <si>
    <t>040-103-000014118</t>
  </si>
  <si>
    <t>040-103-000013967</t>
  </si>
  <si>
    <t>040-103-000010701</t>
  </si>
  <si>
    <t>02-201-000004491</t>
  </si>
  <si>
    <t>02-201-000000582</t>
  </si>
  <si>
    <t>014-004-000068074</t>
  </si>
  <si>
    <t>006-002-000157921</t>
  </si>
  <si>
    <t>001-501-000007439</t>
  </si>
  <si>
    <t>001-500-000072250</t>
  </si>
  <si>
    <t>007-000037260</t>
  </si>
  <si>
    <t>040-105-000001484</t>
  </si>
  <si>
    <t>040-103-000007015</t>
  </si>
  <si>
    <t>016-904-000305617</t>
  </si>
  <si>
    <t>043-905-000076000</t>
  </si>
  <si>
    <t>090-103--000012549</t>
  </si>
  <si>
    <t>001-500-000072387</t>
  </si>
  <si>
    <t>001-500-000074526</t>
  </si>
  <si>
    <t>040-103-000008324</t>
  </si>
  <si>
    <t>001-101-000003659</t>
  </si>
  <si>
    <t>001-500-000079990</t>
  </si>
  <si>
    <t>016-902-000504877</t>
  </si>
  <si>
    <t>016-902-000515443</t>
  </si>
  <si>
    <t>037-101-000000718</t>
  </si>
  <si>
    <t>001-500-000074471</t>
  </si>
  <si>
    <t>001-500-000074378</t>
  </si>
  <si>
    <t>043-903-000069244</t>
  </si>
  <si>
    <t>006-002-0000157725</t>
  </si>
  <si>
    <t>043-904-000056971</t>
  </si>
  <si>
    <t>043-904-000017727</t>
  </si>
  <si>
    <t>040-103-0000014079</t>
  </si>
  <si>
    <t>001-500-000041118</t>
  </si>
  <si>
    <t>007-006-000138285</t>
  </si>
  <si>
    <t>Capelo</t>
  </si>
  <si>
    <t>Cuenca</t>
  </si>
  <si>
    <t>Cliente final</t>
  </si>
  <si>
    <t>TP24B007298</t>
  </si>
  <si>
    <t>TP246L08332</t>
  </si>
  <si>
    <t>TZ241S26065</t>
  </si>
  <si>
    <t>EY24H00017</t>
  </si>
  <si>
    <t>ZP24CH00810</t>
  </si>
  <si>
    <t>TP22C205607</t>
  </si>
  <si>
    <t>TZ24BF14038</t>
  </si>
  <si>
    <t>TZ24CA07275</t>
  </si>
  <si>
    <t>TP24BJ00792</t>
  </si>
  <si>
    <t>AW24A</t>
  </si>
  <si>
    <t>TKAZZC5B060900152502150044</t>
  </si>
  <si>
    <t>AW234800264</t>
  </si>
  <si>
    <t>TZ247202353</t>
  </si>
  <si>
    <t>ZP249T00034</t>
  </si>
  <si>
    <t>ZP24CL00241</t>
  </si>
  <si>
    <t>ZP24AF00424</t>
  </si>
  <si>
    <t>TP253E11259</t>
  </si>
  <si>
    <t>TP24AV00177</t>
  </si>
  <si>
    <t>MP24BL0000424</t>
  </si>
  <si>
    <t>TP246606957</t>
  </si>
  <si>
    <t>ZP24CH00418</t>
  </si>
  <si>
    <t>TZ246R19762</t>
  </si>
  <si>
    <t>TP249900023</t>
  </si>
  <si>
    <t>TZ24C507084</t>
  </si>
  <si>
    <t>TZ243T28489</t>
  </si>
  <si>
    <t>TP252503333</t>
  </si>
  <si>
    <t>TZ24CA07901</t>
  </si>
  <si>
    <t>MW243T01735</t>
  </si>
  <si>
    <t>MW251P29109</t>
  </si>
  <si>
    <t>PX24AMD0385</t>
  </si>
  <si>
    <t>TZ249P16669</t>
  </si>
  <si>
    <t>ZP24BT00546</t>
  </si>
  <si>
    <t>TZ246B07834</t>
  </si>
  <si>
    <t>TP243R02036</t>
  </si>
  <si>
    <t>PX246Q00053</t>
  </si>
  <si>
    <t>TP251905689</t>
  </si>
  <si>
    <t>TZ252327042</t>
  </si>
  <si>
    <t>TP252R03924</t>
  </si>
  <si>
    <t>ZP253T00109</t>
  </si>
  <si>
    <t>ZP241X00437</t>
  </si>
  <si>
    <t>ZP251T00704</t>
  </si>
  <si>
    <t>MW243T01945</t>
  </si>
  <si>
    <t>MD24BL0000332</t>
  </si>
  <si>
    <t>TP247J07097</t>
  </si>
  <si>
    <t>ZP24CL00349</t>
  </si>
  <si>
    <t>TP249402920</t>
  </si>
  <si>
    <t>TP251002369</t>
  </si>
  <si>
    <t>MW27002298</t>
  </si>
  <si>
    <t>TZ251W23920</t>
  </si>
  <si>
    <t>ZP254400015</t>
  </si>
  <si>
    <t>CAPELO JULIO 2025</t>
  </si>
  <si>
    <t>001-001-000001009</t>
  </si>
  <si>
    <t>001-500-000074126</t>
  </si>
  <si>
    <t>040-103-000014150</t>
  </si>
  <si>
    <t>001-500-000079289</t>
  </si>
  <si>
    <t>043-903-000078603</t>
  </si>
  <si>
    <t>043-902-000052192</t>
  </si>
  <si>
    <t>043-901-000008111</t>
  </si>
  <si>
    <t>016-902-000513966</t>
  </si>
  <si>
    <t>040-103-000313410</t>
  </si>
  <si>
    <t>001-101-0000003663</t>
  </si>
  <si>
    <t>006-002-000158219</t>
  </si>
  <si>
    <t>043-903-000079297</t>
  </si>
  <si>
    <t>093-905-000080505</t>
  </si>
  <si>
    <t>001-500-000072835</t>
  </si>
  <si>
    <t>016-907-000289717</t>
  </si>
  <si>
    <t>044-013-000021254</t>
  </si>
  <si>
    <t>001-500-000074780</t>
  </si>
  <si>
    <t>CUENCA</t>
  </si>
  <si>
    <t>CLIENTE FINAL</t>
  </si>
  <si>
    <t>CONJUNTO INDUCCION I100 DOMINO M7 LAYOUT</t>
  </si>
  <si>
    <t>BUJIA GBC 63010 KBB</t>
  </si>
  <si>
    <t>TERMINAL CALENTADOR FALSO CONTACTO, SE REEMPLAZA TERMINAL</t>
  </si>
  <si>
    <t>SE REALIZA NOTA DE CREDITO DESPUES DE VERIFICACIONES, FUGA DE GAS NO ACCESIBLE</t>
  </si>
  <si>
    <t>017-101-000008016</t>
  </si>
  <si>
    <t>040-107-000001532</t>
  </si>
  <si>
    <t>001-001-000001030</t>
  </si>
  <si>
    <t>016-907-000183632</t>
  </si>
  <si>
    <t>002-103-000008580</t>
  </si>
  <si>
    <t>001-002-000308421</t>
  </si>
  <si>
    <t>001-001-000000680</t>
  </si>
  <si>
    <t>De Cristian Capelo</t>
  </si>
  <si>
    <t>Al 18  de julio del 2025</t>
  </si>
  <si>
    <t xml:space="preserve">SAP TEKA	</t>
  </si>
  <si>
    <t>AP24061780012</t>
  </si>
  <si>
    <t>SUKASA(CRISTIAN SAGAL)</t>
  </si>
  <si>
    <t>0989902826</t>
  </si>
  <si>
    <t>CORREO ELECTRONICO</t>
  </si>
  <si>
    <t>JULIO 2025</t>
  </si>
  <si>
    <t>093-902-000055207</t>
  </si>
  <si>
    <t>ZP246C00199</t>
  </si>
  <si>
    <t>TP24AB01273</t>
  </si>
  <si>
    <t>JACKELINE SILVA</t>
  </si>
  <si>
    <t>esalome2013@gmail.com</t>
  </si>
  <si>
    <t>040-104-000012165</t>
  </si>
  <si>
    <t>ZP2413M002709</t>
  </si>
  <si>
    <t>MD24BLOOOO370</t>
  </si>
  <si>
    <t>SEBASTIAN ABRIL</t>
  </si>
  <si>
    <t>EDIFICIO EL CANARO</t>
  </si>
  <si>
    <t>abrilsebas@gmail.com</t>
  </si>
  <si>
    <t>016-902-000516311</t>
  </si>
  <si>
    <t>TP222H08061</t>
  </si>
  <si>
    <t>DANILO ORELLANA</t>
  </si>
  <si>
    <t>BENIGNO MALO</t>
  </si>
  <si>
    <t>0102180601</t>
  </si>
  <si>
    <t>deorellana64@hotmail.com</t>
  </si>
  <si>
    <t>001-502-000000271</t>
  </si>
  <si>
    <t>ZP24BM00238</t>
  </si>
  <si>
    <t>SEBASTIAN PINOS</t>
  </si>
  <si>
    <t>0190403513</t>
  </si>
  <si>
    <t>alltoursreserva@hotmail.com</t>
  </si>
  <si>
    <t>093-902-000056064</t>
  </si>
  <si>
    <t>TP24C201639</t>
  </si>
  <si>
    <t>FERNANDO LEON</t>
  </si>
  <si>
    <t>VISTA LINDA</t>
  </si>
  <si>
    <t>0102163870</t>
  </si>
  <si>
    <t>fernandoleong@yahoo.es</t>
  </si>
  <si>
    <t>016-907-000260525</t>
  </si>
  <si>
    <t>TZ24BE11840</t>
  </si>
  <si>
    <t>CRIS JARAMILLO</t>
  </si>
  <si>
    <t>AV BETHOVEN Y CHARAGO</t>
  </si>
  <si>
    <t>0704263839</t>
  </si>
  <si>
    <t>chis_steffy@hotmail.com</t>
  </si>
  <si>
    <t>006-002-000158241</t>
  </si>
  <si>
    <t>ZP251800355</t>
  </si>
  <si>
    <t>MYP SEGURIDAD</t>
  </si>
  <si>
    <t>AV 10 DE AGOSTO</t>
  </si>
  <si>
    <t>010210886</t>
  </si>
  <si>
    <t>mpseg@hotmail.com</t>
  </si>
  <si>
    <t>040-103-000014393</t>
  </si>
  <si>
    <t>TP246R01825</t>
  </si>
  <si>
    <t>JOSE CABRERA</t>
  </si>
  <si>
    <t>AV PUMAPUNGO 4 88</t>
  </si>
  <si>
    <t>0100316223</t>
  </si>
  <si>
    <t>josemcabrera1944@gmail.com</t>
  </si>
  <si>
    <t>MACROOFERTAS</t>
  </si>
  <si>
    <t>001-101-000003681</t>
  </si>
  <si>
    <t>TP253E11262</t>
  </si>
  <si>
    <t>CONSTRUCTORA OCQ</t>
  </si>
  <si>
    <t>AV 12 ABRIL Y GATTO</t>
  </si>
  <si>
    <t>0195509698001</t>
  </si>
  <si>
    <t>orellanaconstructores@hotmail.com</t>
  </si>
  <si>
    <t>001-500-000072404</t>
  </si>
  <si>
    <t>ZP251U00188</t>
  </si>
  <si>
    <t>001-500-000071799</t>
  </si>
  <si>
    <t>TZ249P16667</t>
  </si>
  <si>
    <t>001-500-000074173</t>
  </si>
  <si>
    <t>YH253R00190</t>
  </si>
  <si>
    <t>001-500-000073476</t>
  </si>
  <si>
    <t>PX24AX00088</t>
  </si>
  <si>
    <t>006-002-000157766</t>
  </si>
  <si>
    <t>TP24A304053</t>
  </si>
  <si>
    <t>LUZ MARIA TAPIA</t>
  </si>
  <si>
    <t>EDIFICIO TERRACOTA</t>
  </si>
  <si>
    <t>ficomedina1951@gmail.com</t>
  </si>
  <si>
    <t>001-502-000000345</t>
  </si>
  <si>
    <t>ZP251T00194</t>
  </si>
  <si>
    <t>TZ245N21952</t>
  </si>
  <si>
    <t>TP24A305010</t>
  </si>
  <si>
    <t>JHONATHAN MORA</t>
  </si>
  <si>
    <t>PUERTAS DEL SOL</t>
  </si>
  <si>
    <t>jonny522010@gmail.com</t>
  </si>
  <si>
    <t>043-902-000053437</t>
  </si>
  <si>
    <t>Barbacoa a Gas T-BBQ 4100 SS</t>
  </si>
  <si>
    <t>043-905-000070922</t>
  </si>
  <si>
    <t>043-906-000046965</t>
  </si>
  <si>
    <t>Barbacoa a Gas T-BBQ 3100 GBK  SS</t>
  </si>
  <si>
    <t>001-500-000073652</t>
  </si>
  <si>
    <t>CO249E00150</t>
  </si>
  <si>
    <t>LUZ TAPIA</t>
  </si>
  <si>
    <t>TP233W08605</t>
  </si>
  <si>
    <t>SE CAMBIA LA LAMPARA DICROICA</t>
  </si>
  <si>
    <t>LAMPARA DICROICA CNL KUPPERBUSH</t>
  </si>
  <si>
    <t>0104729447</t>
  </si>
  <si>
    <t>melimorenoc2119@gmail.com</t>
  </si>
  <si>
    <t>001-101-000003031</t>
  </si>
  <si>
    <t>BANDEJA GRASA T BBQ 4100</t>
  </si>
  <si>
    <t>CO249E00320</t>
  </si>
  <si>
    <t>SE ENCUENTRA PIEZA ROTA AL ABRIR CAJA PARA ARMADO</t>
  </si>
  <si>
    <t>17941220001</t>
  </si>
  <si>
    <t>kywicuenca@kywi.com.ec</t>
  </si>
  <si>
    <t>correo electronico</t>
  </si>
  <si>
    <t>GENERADOR ENCENDIDO 6 SAL 120 240 V</t>
  </si>
  <si>
    <t>ZP242700275</t>
  </si>
  <si>
    <t>EL GENERADOR NO TRABAJA, SE DEBE SUSTITUIR</t>
  </si>
  <si>
    <t>0103750493</t>
  </si>
  <si>
    <t>jadomm@hotmail.com</t>
  </si>
  <si>
    <t>043-902-000018850</t>
  </si>
  <si>
    <t>TZ242G19696</t>
  </si>
  <si>
    <t>SE AJUSTA EL QUEMADOR (POCO AIRE)</t>
  </si>
  <si>
    <t>0103636262</t>
  </si>
  <si>
    <t>ariasvelez@hotmail.com</t>
  </si>
  <si>
    <t>040-101-000000254</t>
  </si>
  <si>
    <t>INES ARIAS DE IDROVO</t>
  </si>
  <si>
    <t>OMMAR BUSTAMANTE</t>
  </si>
  <si>
    <t>JHON CRUZ(KYWI)</t>
  </si>
  <si>
    <t>MELISSA MORENO</t>
  </si>
  <si>
    <t>SE REINICIA FABRICA DE HIELO</t>
  </si>
  <si>
    <t>MARIA ZAMORA</t>
  </si>
  <si>
    <t>0104639042</t>
  </si>
  <si>
    <t>MC24B100082</t>
  </si>
  <si>
    <t>ferzamora1980@gmail.com</t>
  </si>
  <si>
    <t>043-902-000050777</t>
  </si>
  <si>
    <t>LOJA</t>
  </si>
  <si>
    <t>CONJUNTO TOUCH</t>
  </si>
  <si>
    <t>ZP61200073</t>
  </si>
  <si>
    <t>SRA GLORIA</t>
  </si>
  <si>
    <t>SE CAMBIA CONJUNTO TOUCH</t>
  </si>
  <si>
    <t>S/N</t>
  </si>
  <si>
    <t>no indica</t>
  </si>
  <si>
    <t>loja</t>
  </si>
  <si>
    <t>sc147n17766</t>
  </si>
  <si>
    <t>001-500-000074746</t>
  </si>
  <si>
    <t>TZ24AU21988</t>
  </si>
  <si>
    <t>KARINA SERPA</t>
  </si>
  <si>
    <t>1 DE MAYO</t>
  </si>
  <si>
    <t>1253019226001</t>
  </si>
  <si>
    <t>santiagoarthertula@icloud.com</t>
  </si>
  <si>
    <t>043-905-000082709</t>
  </si>
  <si>
    <t>TZ24AR20922</t>
  </si>
  <si>
    <t>GREG LUKASZEWIXZ</t>
  </si>
  <si>
    <t>EDIFICIO GENOVA</t>
  </si>
  <si>
    <t>01517107087</t>
  </si>
  <si>
    <t>galukas@gmail.com</t>
  </si>
  <si>
    <t>043-903-000079347</t>
  </si>
  <si>
    <t>TP252503325</t>
  </si>
  <si>
    <t>MABEL LOPEZ</t>
  </si>
  <si>
    <t>RIO DAULE 1-70</t>
  </si>
  <si>
    <t>0101077493</t>
  </si>
  <si>
    <t>luislopezzambrano2019@gmail.com</t>
  </si>
  <si>
    <t>004-010-000000738</t>
  </si>
  <si>
    <t>ZP247H00619</t>
  </si>
  <si>
    <t>JAIME NARVAEZ</t>
  </si>
  <si>
    <t>JARDINES SAN JOAQUIN</t>
  </si>
  <si>
    <t>01030116630</t>
  </si>
  <si>
    <t>isanrez@gmail.com</t>
  </si>
  <si>
    <t>043-904-000068029</t>
  </si>
  <si>
    <t>MC24B100085</t>
  </si>
  <si>
    <t>EUGENIA TAMARIZ</t>
  </si>
  <si>
    <t>EDIFICIO RIVER FRONT</t>
  </si>
  <si>
    <t>0908915085</t>
  </si>
  <si>
    <t>maeuz@hotmail.com</t>
  </si>
  <si>
    <t>040-103-000014492</t>
  </si>
  <si>
    <t>TKAZCSD1867001</t>
  </si>
  <si>
    <t>AV DON BOSCO 2 01</t>
  </si>
  <si>
    <t>ferriaustral@hotmail.com</t>
  </si>
  <si>
    <t>001-502-000000228</t>
  </si>
  <si>
    <t>ZP251U00170</t>
  </si>
  <si>
    <t>OMAR ROJAS</t>
  </si>
  <si>
    <t>omarsrc@gmail.com</t>
  </si>
  <si>
    <t>043-903-000075582</t>
  </si>
  <si>
    <t>ZP24CA00725</t>
  </si>
  <si>
    <t>043-502-000074746</t>
  </si>
  <si>
    <t>TP24BJ00753</t>
  </si>
  <si>
    <t>TZ24AW24276</t>
  </si>
  <si>
    <t>MD233702100</t>
  </si>
  <si>
    <t>TP233702100</t>
  </si>
  <si>
    <t>TKAZC5B0609001</t>
  </si>
  <si>
    <t>001-500-000072652</t>
  </si>
  <si>
    <t>ZP251U00177</t>
  </si>
  <si>
    <t>TP245E04620</t>
  </si>
  <si>
    <t>TZ24CA07376</t>
  </si>
  <si>
    <t>CARLOS PACHECO</t>
  </si>
  <si>
    <t>SAYAUSI</t>
  </si>
  <si>
    <t>0301529830</t>
  </si>
  <si>
    <t>gerencia@piguis.com</t>
  </si>
  <si>
    <t>001-500-000072960</t>
  </si>
  <si>
    <t>EK24A000036</t>
  </si>
  <si>
    <t>TZ24BF12889</t>
  </si>
  <si>
    <t>TP251002554</t>
  </si>
  <si>
    <t>MD24BL0000390</t>
  </si>
  <si>
    <t>ZP24CL00239</t>
  </si>
  <si>
    <t>TKAZCB0609001</t>
  </si>
  <si>
    <t>ADRIAN ULLOA</t>
  </si>
  <si>
    <t>RAFAEL FAJARDO/MIGUEL CORDERO</t>
  </si>
  <si>
    <t>ggcandvisor@gmail.com</t>
  </si>
  <si>
    <t>GARANTIA</t>
  </si>
  <si>
    <t>SE CAMBIA LAMPARA</t>
  </si>
  <si>
    <t>SE CAMBIA PIEZA ROTA</t>
  </si>
  <si>
    <t>SE SUSTITUYE GENERADOR</t>
  </si>
  <si>
    <t>INSTALACION 5 EQUIPOS</t>
  </si>
  <si>
    <t>SE AJUSTA EL QUEMADOR</t>
  </si>
  <si>
    <t>CAMBIA CONJUNTO TOUCH</t>
  </si>
  <si>
    <t xml:space="preserve">REPARACION DE COCINAS </t>
  </si>
  <si>
    <t>INSTALACION 7 EQUIPOS</t>
  </si>
  <si>
    <t>INSTALACION 6 EQUIPOS</t>
  </si>
  <si>
    <t>EL GUZHO</t>
  </si>
  <si>
    <t>WYRA PLAZA</t>
  </si>
  <si>
    <t>EL VECINO</t>
  </si>
  <si>
    <t>PRADO ALTO</t>
  </si>
  <si>
    <t>ROMAN CORDERO</t>
  </si>
  <si>
    <t>006-002-000158156</t>
  </si>
  <si>
    <t>040-103--000014153</t>
  </si>
  <si>
    <t>ZP253501075</t>
  </si>
  <si>
    <t>EK247F00058</t>
  </si>
  <si>
    <t>AW234800293</t>
  </si>
  <si>
    <t>TZ252732467</t>
  </si>
  <si>
    <t>MASNOU CIA LTDA</t>
  </si>
  <si>
    <t xml:space="preserve">VISTA LINDA </t>
  </si>
  <si>
    <t>0190364194001</t>
  </si>
  <si>
    <t>lamonsalve@elmasnou.com</t>
  </si>
  <si>
    <t>SC147N17766</t>
  </si>
  <si>
    <t>LAVAVAJILLAS</t>
  </si>
  <si>
    <t>MICROONDAS</t>
  </si>
  <si>
    <t>REFRIGERADOR</t>
  </si>
  <si>
    <t>EXTRACTOR</t>
  </si>
  <si>
    <t>HORNO A GAS</t>
  </si>
  <si>
    <t>TZ242505197</t>
  </si>
  <si>
    <t>ISABEL CACERES</t>
  </si>
  <si>
    <t>0100682608</t>
  </si>
  <si>
    <t>isacos@gmail.com</t>
  </si>
  <si>
    <t>043-911-00001384</t>
  </si>
  <si>
    <t>TKAZCC5564001</t>
  </si>
  <si>
    <t>MARIBEL ARGUDO</t>
  </si>
  <si>
    <t>0103678710</t>
  </si>
  <si>
    <t>repair.repuesto@gmil.com</t>
  </si>
  <si>
    <t>001-500-00007132</t>
  </si>
  <si>
    <t>MANUEL VEGA 10 46</t>
  </si>
  <si>
    <t>repair.repuestos@hotmail.com</t>
  </si>
  <si>
    <t>CHEQUEO DE SITEMA DE ENFRIAMIENTO</t>
  </si>
  <si>
    <t>AV PASEO DE LOS CANARIS</t>
  </si>
  <si>
    <t>isacobs@gmail.com</t>
  </si>
  <si>
    <t>SE VISITA PARA REPARACION SE SOLUCIONA</t>
  </si>
  <si>
    <t>SENSOR TERMOPAR FUERA DE POSICION, SE CORRIGE</t>
  </si>
  <si>
    <t>NO PRODUCE HIELO,SE REINICIA ICEMAKER</t>
  </si>
  <si>
    <t>SE PROGRAMA TARJETA TOUCH Y  SE REVISAN INTERCONEXIONES ELECTRICAS</t>
  </si>
  <si>
    <t>016-907-000262277</t>
  </si>
  <si>
    <t>CO249E00622</t>
  </si>
  <si>
    <t>CARLOS LUZURIAGA</t>
  </si>
  <si>
    <t>CESAR ANDRADE</t>
  </si>
  <si>
    <t>carlosi1990@hotmail.com</t>
  </si>
  <si>
    <t>0101089308001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</si>
</sst>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_-* #,##0.00\ _€_-;\-* #,##0.00\ _€_-;_-* &quot;-&quot;??\ _€_-;_-@_-"/>
    <numFmt numFmtId="166" formatCode="_-* #,##0.00_-;\-* #,##0.00_-;_-* &quot;-&quot;??_-;_-@_-"/>
    <numFmt numFmtId="167" formatCode="dd\-mm\-yy;@"/>
    <numFmt numFmtId="168" formatCode="&quot;$&quot;#,##0.00"/>
    <numFmt numFmtId="169" formatCode="_(&quot;$&quot;\ * #,##0.00_);_(&quot;$&quot;\ * \(#,##0.00\);_(&quot;$&quot;\ * &quot;-&quot;??_);_(@_)"/>
    <numFmt numFmtId="170" formatCode="dd/mm/yyyy;@"/>
  </numFmts>
  <fonts count="9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name val="Calibri"/>
      <family val="2"/>
    </font>
    <font>
      <sz val="10"/>
      <name val="Arial"/>
      <family val="2"/>
    </font>
    <font>
      <b/>
      <sz val="15"/>
      <name val="Arial"/>
      <family val="2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5"/>
      <color theme="1"/>
      <name val="Calibri"/>
      <family val="2"/>
    </font>
    <font>
      <sz val="15"/>
      <name val="Calibri"/>
      <family val="2"/>
    </font>
    <font>
      <sz val="11"/>
      <color rgb="FF000000"/>
      <name val="Aptos Narrow"/>
      <family val="2"/>
    </font>
    <font>
      <sz val="13"/>
      <color rgb="FF000000"/>
      <name val="Aptos Narrow"/>
      <family val="2"/>
    </font>
    <font>
      <sz val="13"/>
      <name val="Aptos Narrow"/>
      <family val="2"/>
    </font>
    <font>
      <sz val="7"/>
      <color rgb="FF000000"/>
      <name val="Aptos Narrow"/>
      <family val="2"/>
    </font>
    <font>
      <sz val="7"/>
      <name val="Aptos Narrow"/>
      <family val="2"/>
    </font>
    <font>
      <b/>
      <sz val="18"/>
      <name val="Aptos Narrow"/>
      <family val="2"/>
    </font>
    <font>
      <b/>
      <sz val="18"/>
      <color rgb="FF000000"/>
      <name val="Aptos Narrow"/>
      <family val="2"/>
    </font>
    <font>
      <sz val="18"/>
      <name val="Aptos Narrow"/>
      <family val="2"/>
    </font>
    <font>
      <b/>
      <sz val="7"/>
      <name val="Aptos Narrow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1"/>
      <color indexed="8"/>
      <name val="Calibri"/>
      <family val="2"/>
      <charset val="1"/>
    </font>
    <font>
      <sz val="13"/>
      <name val="Calibri"/>
      <family val="2"/>
      <charset val="1"/>
    </font>
    <font>
      <sz val="13"/>
      <color indexed="8"/>
      <name val="Calibri"/>
      <family val="2"/>
      <charset val="1"/>
    </font>
    <font>
      <b/>
      <sz val="12"/>
      <color rgb="FFFFFFFF"/>
      <name val="Calibri"/>
      <family val="2"/>
    </font>
    <font>
      <sz val="15"/>
      <color indexed="8"/>
      <name val="Calibri"/>
      <family val="2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3"/>
      <color rgb="FF1D2228"/>
      <name val="Gothic sans-serif"/>
      <charset val="1"/>
    </font>
    <font>
      <sz val="13"/>
      <color rgb="FF1D2228"/>
      <name val="Arial"/>
      <family val="2"/>
      <charset val="1"/>
    </font>
    <font>
      <sz val="10"/>
      <color rgb="FF1D2228"/>
      <name val="Arial"/>
      <family val="2"/>
      <charset val="1"/>
    </font>
    <font>
      <b/>
      <sz val="13"/>
      <color rgb="FF1D2228"/>
      <name val="Gothic sans-serif"/>
      <charset val="1"/>
    </font>
    <font>
      <b/>
      <sz val="13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8"/>
      <name val="Arial"/>
      <family val="2"/>
    </font>
    <font>
      <u/>
      <sz val="12.65"/>
      <color theme="1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Arial Cyr"/>
      <charset val="204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204"/>
    </font>
    <font>
      <sz val="10"/>
      <color indexed="8"/>
      <name val="MS Sans Serif"/>
      <family val="2"/>
      <charset val="204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  <charset val="1"/>
    </font>
    <font>
      <b/>
      <sz val="10"/>
      <color rgb="FF000000"/>
      <name val="Calibri"/>
      <family val="2"/>
    </font>
    <font>
      <sz val="16"/>
      <color indexed="8"/>
      <name val="Calibri"/>
      <family val="2"/>
    </font>
    <font>
      <sz val="16"/>
      <name val="Calibri"/>
      <family val="2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u/>
      <sz val="16"/>
      <color theme="10"/>
      <name val="Aptos Narrow"/>
      <family val="2"/>
      <scheme val="minor"/>
    </font>
    <font>
      <u/>
      <sz val="16"/>
      <color theme="4"/>
      <name val="Calibri"/>
      <family val="2"/>
    </font>
    <font>
      <sz val="16"/>
      <color theme="1"/>
      <name val="Aptos Narrow"/>
      <family val="2"/>
      <scheme val="minor"/>
    </font>
    <font>
      <u/>
      <sz val="16"/>
      <color theme="10"/>
      <name val="Calibri"/>
      <family val="2"/>
    </font>
    <font>
      <sz val="14"/>
      <name val="Calibri"/>
      <family val="2"/>
    </font>
    <font>
      <u/>
      <sz val="13"/>
      <color theme="4"/>
      <name val="Calibri"/>
      <family val="2"/>
    </font>
    <font>
      <sz val="8"/>
      <color indexed="8"/>
      <name val="Calibri"/>
      <family val="2"/>
    </font>
    <font>
      <u/>
      <sz val="12"/>
      <color theme="3" tint="0.249977111117893"/>
      <name val="Calibri"/>
      <family val="2"/>
    </font>
    <font>
      <u/>
      <sz val="12"/>
      <color theme="3" tint="0.249977111117893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3"/>
      <color rgb="FF000000"/>
      <name val="Aptos Narrow"/>
      <family val="2"/>
      <scheme val="minor"/>
    </font>
    <font>
      <u/>
      <sz val="12"/>
      <color theme="10"/>
      <name val="Calibri"/>
      <family val="2"/>
    </font>
    <font>
      <u/>
      <sz val="13"/>
      <color theme="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12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 applyNumberFormat="0" applyFill="0" applyBorder="0" applyAlignment="0" applyProtection="0"/>
    <xf numFmtId="0" fontId="48" fillId="36" borderId="0">
      <alignment horizontal="left"/>
    </xf>
    <xf numFmtId="0" fontId="1" fillId="0" borderId="0"/>
    <xf numFmtId="0" fontId="48" fillId="0" borderId="0"/>
    <xf numFmtId="0" fontId="1" fillId="0" borderId="0"/>
    <xf numFmtId="0" fontId="26" fillId="0" borderId="0"/>
    <xf numFmtId="0" fontId="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" fillId="0" borderId="0"/>
    <xf numFmtId="0" fontId="48" fillId="36" borderId="0">
      <alignment horizontal="left"/>
    </xf>
    <xf numFmtId="0" fontId="18" fillId="0" borderId="0" applyNumberFormat="0" applyFill="0" applyBorder="0" applyAlignment="0" applyProtection="0"/>
    <xf numFmtId="43" fontId="2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3" fontId="26" fillId="0" borderId="0" applyFont="0" applyFill="0" applyBorder="0" applyAlignment="0" applyProtection="0"/>
    <xf numFmtId="0" fontId="61" fillId="0" borderId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62" fillId="0" borderId="0"/>
    <xf numFmtId="44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62" fillId="0" borderId="0"/>
    <xf numFmtId="0" fontId="6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8" fillId="0" borderId="0"/>
    <xf numFmtId="0" fontId="66" fillId="0" borderId="0"/>
    <xf numFmtId="0" fontId="26" fillId="0" borderId="0"/>
    <xf numFmtId="0" fontId="1" fillId="0" borderId="0"/>
    <xf numFmtId="0" fontId="67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63" fillId="0" borderId="0"/>
    <xf numFmtId="0" fontId="69" fillId="0" borderId="0"/>
    <xf numFmtId="0" fontId="70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62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  <xf numFmtId="0" fontId="62" fillId="0" borderId="0"/>
    <xf numFmtId="0" fontId="62" fillId="0" borderId="0"/>
    <xf numFmtId="0" fontId="1" fillId="0" borderId="0"/>
    <xf numFmtId="0" fontId="67" fillId="0" borderId="0"/>
    <xf numFmtId="0" fontId="7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6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2" fillId="0" borderId="0"/>
    <xf numFmtId="0" fontId="62" fillId="0" borderId="0"/>
    <xf numFmtId="0" fontId="6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2" fillId="0" borderId="0" applyBorder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8" fillId="0" borderId="0"/>
  </cellStyleXfs>
  <cellXfs count="260">
    <xf numFmtId="0" fontId="0" fillId="0" borderId="0" xfId="0"/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  <xf numFmtId="0" fontId="29" fillId="0" borderId="0" xfId="0" applyFont="1"/>
    <xf numFmtId="0" fontId="30" fillId="0" borderId="0" xfId="0" applyFont="1"/>
    <xf numFmtId="0" fontId="31" fillId="0" borderId="20" xfId="48" applyFont="1" applyBorder="1" applyAlignment="1">
      <alignment horizontal="left" vertical="center" wrapText="1"/>
    </xf>
    <xf numFmtId="4" fontId="20" fillId="33" borderId="0" xfId="0" applyNumberFormat="1" applyFont="1" applyFill="1" applyAlignment="1">
      <alignment horizontal="right"/>
    </xf>
    <xf numFmtId="0" fontId="32" fillId="0" borderId="0" xfId="51" applyAlignment="1">
      <alignment horizontal="right"/>
    </xf>
    <xf numFmtId="4" fontId="21" fillId="0" borderId="0" xfId="52" applyNumberFormat="1" applyFont="1" applyAlignment="1">
      <alignment horizontal="left"/>
    </xf>
    <xf numFmtId="0" fontId="22" fillId="0" borderId="0" xfId="52" applyFont="1" applyAlignment="1">
      <alignment horizontal="left"/>
    </xf>
    <xf numFmtId="0" fontId="23" fillId="0" borderId="0" xfId="52" applyFont="1" applyAlignment="1">
      <alignment vertical="center"/>
    </xf>
    <xf numFmtId="0" fontId="22" fillId="0" borderId="0" xfId="52" applyFont="1"/>
    <xf numFmtId="2" fontId="24" fillId="0" borderId="0" xfId="52" applyNumberFormat="1" applyFont="1" applyAlignment="1">
      <alignment horizontal="left"/>
    </xf>
    <xf numFmtId="0" fontId="33" fillId="0" borderId="0" xfId="51" applyFont="1"/>
    <xf numFmtId="0" fontId="34" fillId="0" borderId="0" xfId="51" applyFont="1"/>
    <xf numFmtId="4" fontId="33" fillId="0" borderId="0" xfId="51" applyNumberFormat="1" applyFont="1" applyAlignment="1">
      <alignment horizontal="right"/>
    </xf>
    <xf numFmtId="0" fontId="32" fillId="0" borderId="0" xfId="51"/>
    <xf numFmtId="4" fontId="21" fillId="0" borderId="0" xfId="52" applyNumberFormat="1" applyFont="1" applyAlignment="1">
      <alignment horizontal="left" vertical="center"/>
    </xf>
    <xf numFmtId="0" fontId="24" fillId="0" borderId="0" xfId="52" applyFont="1" applyAlignment="1">
      <alignment horizontal="left"/>
    </xf>
    <xf numFmtId="0" fontId="24" fillId="0" borderId="0" xfId="52" applyFont="1"/>
    <xf numFmtId="164" fontId="25" fillId="0" borderId="10" xfId="53" applyNumberFormat="1" applyFont="1" applyBorder="1" applyAlignment="1">
      <alignment horizontal="left"/>
    </xf>
    <xf numFmtId="0" fontId="25" fillId="0" borderId="11" xfId="53" applyFont="1" applyBorder="1" applyAlignment="1">
      <alignment horizontal="left"/>
    </xf>
    <xf numFmtId="0" fontId="36" fillId="0" borderId="11" xfId="53" applyFont="1" applyBorder="1" applyAlignment="1">
      <alignment horizontal="left"/>
    </xf>
    <xf numFmtId="0" fontId="37" fillId="0" borderId="11" xfId="53" applyFont="1" applyBorder="1" applyAlignment="1">
      <alignment horizontal="left"/>
    </xf>
    <xf numFmtId="0" fontId="38" fillId="0" borderId="11" xfId="53" applyFont="1" applyBorder="1" applyAlignment="1">
      <alignment horizontal="left" wrapText="1" readingOrder="1"/>
    </xf>
    <xf numFmtId="0" fontId="37" fillId="0" borderId="11" xfId="53" applyFont="1" applyBorder="1" applyAlignment="1">
      <alignment horizontal="left" wrapText="1"/>
    </xf>
    <xf numFmtId="0" fontId="39" fillId="0" borderId="11" xfId="53" applyFont="1" applyBorder="1" applyAlignment="1">
      <alignment horizontal="left" wrapText="1"/>
    </xf>
    <xf numFmtId="17" fontId="40" fillId="0" borderId="11" xfId="53" applyNumberFormat="1" applyFont="1" applyBorder="1" applyAlignment="1">
      <alignment horizontal="left"/>
    </xf>
    <xf numFmtId="0" fontId="26" fillId="0" borderId="11" xfId="53" applyFont="1" applyBorder="1" applyAlignment="1">
      <alignment horizontal="left"/>
    </xf>
    <xf numFmtId="49" fontId="27" fillId="0" borderId="12" xfId="5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64" fontId="25" fillId="0" borderId="13" xfId="53" applyNumberFormat="1" applyFont="1" applyBorder="1" applyAlignment="1">
      <alignment horizontal="left"/>
    </xf>
    <xf numFmtId="0" fontId="25" fillId="0" borderId="0" xfId="53" applyFont="1" applyAlignment="1">
      <alignment horizontal="left"/>
    </xf>
    <xf numFmtId="0" fontId="36" fillId="0" borderId="0" xfId="53" applyFont="1" applyAlignment="1">
      <alignment horizontal="left"/>
    </xf>
    <xf numFmtId="0" fontId="36" fillId="0" borderId="14" xfId="53" applyFont="1" applyBorder="1" applyAlignment="1">
      <alignment horizontal="left"/>
    </xf>
    <xf numFmtId="164" fontId="25" fillId="0" borderId="15" xfId="53" applyNumberFormat="1" applyFont="1" applyBorder="1" applyAlignment="1">
      <alignment horizontal="left"/>
    </xf>
    <xf numFmtId="0" fontId="34" fillId="0" borderId="16" xfId="53" applyFont="1" applyBorder="1" applyAlignment="1">
      <alignment horizontal="left"/>
    </xf>
    <xf numFmtId="0" fontId="36" fillId="0" borderId="16" xfId="53" applyFont="1" applyBorder="1" applyAlignment="1">
      <alignment horizontal="left"/>
    </xf>
    <xf numFmtId="0" fontId="36" fillId="0" borderId="17" xfId="53" applyFont="1" applyBorder="1" applyAlignment="1">
      <alignment horizontal="left"/>
    </xf>
    <xf numFmtId="0" fontId="20" fillId="0" borderId="0" xfId="0" applyFont="1"/>
    <xf numFmtId="0" fontId="41" fillId="35" borderId="18" xfId="54" applyFont="1" applyFill="1" applyBorder="1" applyAlignment="1">
      <alignment horizontal="left" wrapText="1"/>
    </xf>
    <xf numFmtId="0" fontId="41" fillId="35" borderId="18" xfId="54" applyFont="1" applyFill="1" applyBorder="1" applyAlignment="1">
      <alignment horizontal="left"/>
    </xf>
    <xf numFmtId="4" fontId="41" fillId="35" borderId="18" xfId="54" applyNumberFormat="1" applyFont="1" applyFill="1" applyBorder="1" applyAlignment="1">
      <alignment horizontal="left" wrapText="1"/>
    </xf>
    <xf numFmtId="0" fontId="41" fillId="35" borderId="18" xfId="0" applyFont="1" applyFill="1" applyBorder="1" applyAlignment="1">
      <alignment horizontal="left" vertical="center" wrapText="1"/>
    </xf>
    <xf numFmtId="0" fontId="42" fillId="0" borderId="0" xfId="0" applyFont="1"/>
    <xf numFmtId="1" fontId="19" fillId="33" borderId="0" xfId="0" applyNumberFormat="1" applyFont="1" applyFill="1" applyAlignment="1">
      <alignment horizontal="left"/>
    </xf>
    <xf numFmtId="1" fontId="35" fillId="0" borderId="0" xfId="51" applyNumberFormat="1" applyFont="1"/>
    <xf numFmtId="1" fontId="35" fillId="0" borderId="0" xfId="0" applyNumberFormat="1" applyFont="1"/>
    <xf numFmtId="1" fontId="0" fillId="0" borderId="0" xfId="0" applyNumberFormat="1"/>
    <xf numFmtId="0" fontId="43" fillId="0" borderId="0" xfId="0" applyFont="1"/>
    <xf numFmtId="0" fontId="39" fillId="0" borderId="11" xfId="53" applyFont="1" applyBorder="1" applyAlignment="1">
      <alignment horizontal="left"/>
    </xf>
    <xf numFmtId="2" fontId="44" fillId="0" borderId="0" xfId="0" applyNumberFormat="1" applyFont="1" applyAlignment="1">
      <alignment horizontal="left"/>
    </xf>
    <xf numFmtId="0" fontId="44" fillId="0" borderId="0" xfId="0" applyFont="1"/>
    <xf numFmtId="1" fontId="50" fillId="36" borderId="0" xfId="56" applyNumberFormat="1" applyFont="1" applyAlignment="1">
      <alignment horizontal="center" vertical="center"/>
    </xf>
    <xf numFmtId="1" fontId="50" fillId="36" borderId="0" xfId="56" applyNumberFormat="1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49" fontId="47" fillId="0" borderId="0" xfId="0" applyNumberFormat="1" applyFont="1" applyAlignment="1">
      <alignment horizontal="left"/>
    </xf>
    <xf numFmtId="0" fontId="47" fillId="0" borderId="0" xfId="0" applyFont="1"/>
    <xf numFmtId="1" fontId="44" fillId="0" borderId="0" xfId="0" applyNumberFormat="1" applyFont="1"/>
    <xf numFmtId="4" fontId="46" fillId="0" borderId="0" xfId="0" applyNumberFormat="1" applyFont="1"/>
    <xf numFmtId="17" fontId="47" fillId="0" borderId="0" xfId="0" quotePrefix="1" applyNumberFormat="1" applyFont="1" applyAlignment="1">
      <alignment horizontal="left"/>
    </xf>
    <xf numFmtId="2" fontId="50" fillId="36" borderId="0" xfId="56" applyNumberFormat="1" applyFont="1" applyAlignment="1">
      <alignment vertical="center"/>
    </xf>
    <xf numFmtId="49" fontId="44" fillId="0" borderId="0" xfId="0" quotePrefix="1" applyNumberFormat="1" applyFont="1"/>
    <xf numFmtId="0" fontId="45" fillId="0" borderId="0" xfId="0" applyFont="1" applyAlignment="1">
      <alignment horizontal="right"/>
    </xf>
    <xf numFmtId="0" fontId="25" fillId="0" borderId="0" xfId="0" applyFont="1" applyAlignment="1">
      <alignment horizontal="left" vertical="center"/>
    </xf>
    <xf numFmtId="0" fontId="44" fillId="0" borderId="0" xfId="0" applyFont="1" applyAlignment="1">
      <alignment horizontal="left"/>
    </xf>
    <xf numFmtId="0" fontId="50" fillId="36" borderId="0" xfId="56" applyFont="1" applyAlignment="1">
      <alignment horizontal="center" vertical="center"/>
    </xf>
    <xf numFmtId="0" fontId="49" fillId="0" borderId="0" xfId="58" applyFont="1"/>
    <xf numFmtId="2" fontId="51" fillId="37" borderId="18" xfId="0" applyNumberFormat="1" applyFont="1" applyFill="1" applyBorder="1" applyAlignment="1">
      <alignment horizontal="center" vertical="center" wrapText="1"/>
    </xf>
    <xf numFmtId="1" fontId="51" fillId="37" borderId="1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horizontal="left" vertical="center"/>
    </xf>
    <xf numFmtId="0" fontId="51" fillId="38" borderId="18" xfId="0" applyFont="1" applyFill="1" applyBorder="1" applyAlignment="1">
      <alignment horizontal="center" vertical="center" wrapText="1"/>
    </xf>
    <xf numFmtId="2" fontId="47" fillId="0" borderId="0" xfId="0" applyNumberFormat="1" applyFont="1" applyAlignment="1">
      <alignment horizontal="right" indent="1"/>
    </xf>
    <xf numFmtId="0" fontId="51" fillId="37" borderId="18" xfId="0" applyFont="1" applyFill="1" applyBorder="1" applyAlignment="1">
      <alignment horizontal="center" vertical="center" wrapText="1"/>
    </xf>
    <xf numFmtId="0" fontId="31" fillId="0" borderId="22" xfId="59" applyFont="1" applyBorder="1"/>
    <xf numFmtId="0" fontId="54" fillId="0" borderId="0" xfId="60" applyFont="1"/>
    <xf numFmtId="0" fontId="1" fillId="0" borderId="0" xfId="61"/>
    <xf numFmtId="4" fontId="46" fillId="0" borderId="0" xfId="61" applyNumberFormat="1" applyFont="1"/>
    <xf numFmtId="0" fontId="44" fillId="0" borderId="0" xfId="61" applyFont="1"/>
    <xf numFmtId="0" fontId="25" fillId="0" borderId="0" xfId="61" applyFont="1" applyAlignment="1">
      <alignment vertical="center"/>
    </xf>
    <xf numFmtId="2" fontId="44" fillId="0" borderId="0" xfId="61" applyNumberFormat="1" applyFont="1" applyAlignment="1">
      <alignment horizontal="left"/>
    </xf>
    <xf numFmtId="0" fontId="44" fillId="0" borderId="0" xfId="61" applyFont="1" applyAlignment="1">
      <alignment horizontal="left"/>
    </xf>
    <xf numFmtId="43" fontId="44" fillId="0" borderId="0" xfId="62" applyFont="1" applyFill="1"/>
    <xf numFmtId="0" fontId="55" fillId="0" borderId="0" xfId="61" applyFont="1"/>
    <xf numFmtId="4" fontId="21" fillId="0" borderId="0" xfId="61" applyNumberFormat="1" applyFont="1" applyAlignment="1">
      <alignment horizontal="left" vertical="center"/>
    </xf>
    <xf numFmtId="0" fontId="24" fillId="0" borderId="0" xfId="60" applyFont="1"/>
    <xf numFmtId="17" fontId="44" fillId="0" borderId="0" xfId="61" quotePrefix="1" applyNumberFormat="1" applyFont="1"/>
    <xf numFmtId="17" fontId="55" fillId="0" borderId="0" xfId="61" quotePrefix="1" applyNumberFormat="1" applyFont="1"/>
    <xf numFmtId="0" fontId="29" fillId="0" borderId="0" xfId="61" applyFont="1"/>
    <xf numFmtId="0" fontId="28" fillId="34" borderId="23" xfId="61" applyFont="1" applyFill="1" applyBorder="1" applyAlignment="1">
      <alignment horizontal="center" wrapText="1"/>
    </xf>
    <xf numFmtId="0" fontId="28" fillId="34" borderId="23" xfId="60" applyFont="1" applyFill="1" applyBorder="1" applyAlignment="1">
      <alignment horizontal="left" wrapText="1"/>
    </xf>
    <xf numFmtId="43" fontId="28" fillId="34" borderId="23" xfId="62" applyFont="1" applyFill="1" applyBorder="1" applyAlignment="1">
      <alignment horizontal="left" wrapText="1"/>
    </xf>
    <xf numFmtId="0" fontId="28" fillId="34" borderId="23" xfId="60" applyFont="1" applyFill="1" applyBorder="1" applyAlignment="1">
      <alignment horizontal="center" wrapText="1"/>
    </xf>
    <xf numFmtId="0" fontId="28" fillId="34" borderId="0" xfId="60" applyFont="1" applyFill="1" applyAlignment="1">
      <alignment horizontal="left" wrapText="1"/>
    </xf>
    <xf numFmtId="43" fontId="0" fillId="0" borderId="0" xfId="0" applyNumberFormat="1"/>
    <xf numFmtId="0" fontId="30" fillId="0" borderId="0" xfId="61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6" fillId="0" borderId="0" xfId="0" applyFont="1" applyAlignment="1">
      <alignment vertical="center"/>
    </xf>
    <xf numFmtId="0" fontId="57" fillId="0" borderId="0" xfId="0" applyFont="1"/>
    <xf numFmtId="0" fontId="58" fillId="0" borderId="0" xfId="0" applyFont="1"/>
    <xf numFmtId="0" fontId="59" fillId="0" borderId="24" xfId="0" applyFont="1" applyBorder="1" applyAlignment="1">
      <alignment vertical="center"/>
    </xf>
    <xf numFmtId="17" fontId="60" fillId="0" borderId="0" xfId="0" quotePrefix="1" applyNumberFormat="1" applyFont="1" applyAlignment="1">
      <alignment horizontal="left"/>
    </xf>
    <xf numFmtId="0" fontId="29" fillId="0" borderId="0" xfId="0" quotePrefix="1" applyFont="1"/>
    <xf numFmtId="0" fontId="28" fillId="34" borderId="23" xfId="0" applyFont="1" applyFill="1" applyBorder="1" applyAlignment="1">
      <alignment horizontal="center" wrapText="1"/>
    </xf>
    <xf numFmtId="0" fontId="28" fillId="34" borderId="23" xfId="0" applyFont="1" applyFill="1" applyBorder="1" applyAlignment="1">
      <alignment wrapText="1"/>
    </xf>
    <xf numFmtId="0" fontId="28" fillId="34" borderId="23" xfId="0" applyFont="1" applyFill="1" applyBorder="1" applyAlignment="1">
      <alignment horizontal="center" vertical="center" wrapText="1"/>
    </xf>
    <xf numFmtId="0" fontId="28" fillId="34" borderId="25" xfId="0" applyFont="1" applyFill="1" applyBorder="1" applyAlignment="1">
      <alignment wrapText="1"/>
    </xf>
    <xf numFmtId="0" fontId="28" fillId="34" borderId="25" xfId="0" applyFont="1" applyFill="1" applyBorder="1" applyAlignment="1">
      <alignment horizontal="center" wrapText="1"/>
    </xf>
    <xf numFmtId="0" fontId="51" fillId="37" borderId="23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left"/>
    </xf>
    <xf numFmtId="0" fontId="73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33" borderId="0" xfId="0" applyFont="1" applyFill="1" applyAlignment="1">
      <alignment wrapText="1"/>
    </xf>
    <xf numFmtId="0" fontId="19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left" wrapText="1"/>
    </xf>
    <xf numFmtId="14" fontId="74" fillId="39" borderId="21" xfId="57" applyNumberFormat="1" applyFont="1" applyFill="1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9" xfId="0" applyBorder="1"/>
    <xf numFmtId="14" fontId="76" fillId="41" borderId="21" xfId="0" applyNumberFormat="1" applyFont="1" applyFill="1" applyBorder="1" applyAlignment="1">
      <alignment horizontal="left" vertical="center"/>
    </xf>
    <xf numFmtId="0" fontId="76" fillId="39" borderId="21" xfId="0" applyFont="1" applyFill="1" applyBorder="1" applyAlignment="1">
      <alignment horizontal="left" vertical="center"/>
    </xf>
    <xf numFmtId="0" fontId="51" fillId="38" borderId="23" xfId="0" applyFont="1" applyFill="1" applyBorder="1" applyAlignment="1">
      <alignment horizontal="center" vertical="center" wrapText="1"/>
    </xf>
    <xf numFmtId="1" fontId="51" fillId="37" borderId="23" xfId="0" applyNumberFormat="1" applyFont="1" applyFill="1" applyBorder="1" applyAlignment="1">
      <alignment horizontal="center" vertical="center" wrapText="1"/>
    </xf>
    <xf numFmtId="2" fontId="51" fillId="37" borderId="23" xfId="0" applyNumberFormat="1" applyFont="1" applyFill="1" applyBorder="1" applyAlignment="1">
      <alignment horizontal="center" vertical="center" wrapText="1"/>
    </xf>
    <xf numFmtId="0" fontId="43" fillId="0" borderId="21" xfId="0" applyFont="1" applyBorder="1"/>
    <xf numFmtId="1" fontId="74" fillId="39" borderId="21" xfId="57" applyNumberFormat="1" applyFont="1" applyFill="1" applyBorder="1" applyAlignment="1">
      <alignment horizontal="left" vertical="center"/>
    </xf>
    <xf numFmtId="0" fontId="74" fillId="39" borderId="21" xfId="57" applyFont="1" applyFill="1" applyBorder="1" applyAlignment="1">
      <alignment horizontal="left" vertical="center"/>
    </xf>
    <xf numFmtId="0" fontId="52" fillId="0" borderId="21" xfId="57" applyFont="1" applyBorder="1" applyAlignment="1">
      <alignment horizontal="left" vertical="center"/>
    </xf>
    <xf numFmtId="0" fontId="74" fillId="0" borderId="21" xfId="57" applyFont="1" applyBorder="1" applyAlignment="1">
      <alignment horizontal="left" vertical="center"/>
    </xf>
    <xf numFmtId="170" fontId="76" fillId="41" borderId="21" xfId="0" applyNumberFormat="1" applyFont="1" applyFill="1" applyBorder="1" applyAlignment="1">
      <alignment horizontal="left" vertical="center"/>
    </xf>
    <xf numFmtId="0" fontId="78" fillId="39" borderId="21" xfId="69" applyNumberFormat="1" applyFont="1" applyFill="1" applyBorder="1" applyAlignment="1">
      <alignment horizontal="left" vertical="center"/>
    </xf>
    <xf numFmtId="0" fontId="79" fillId="39" borderId="21" xfId="69" applyNumberFormat="1" applyFont="1" applyFill="1" applyBorder="1" applyAlignment="1">
      <alignment horizontal="left" vertical="center"/>
    </xf>
    <xf numFmtId="0" fontId="80" fillId="0" borderId="21" xfId="0" applyFont="1" applyBorder="1" applyAlignment="1">
      <alignment horizontal="left"/>
    </xf>
    <xf numFmtId="14" fontId="75" fillId="39" borderId="21" xfId="48" applyNumberFormat="1" applyFont="1" applyFill="1" applyBorder="1" applyAlignment="1">
      <alignment horizontal="left" vertical="center" wrapText="1"/>
    </xf>
    <xf numFmtId="0" fontId="75" fillId="39" borderId="21" xfId="48" applyFont="1" applyFill="1" applyBorder="1" applyAlignment="1">
      <alignment horizontal="left" vertical="center" wrapText="1"/>
    </xf>
    <xf numFmtId="0" fontId="75" fillId="39" borderId="21" xfId="48" quotePrefix="1" applyFont="1" applyFill="1" applyBorder="1" applyAlignment="1">
      <alignment horizontal="left" vertical="center" wrapText="1"/>
    </xf>
    <xf numFmtId="14" fontId="80" fillId="0" borderId="21" xfId="0" applyNumberFormat="1" applyFont="1" applyBorder="1" applyAlignment="1">
      <alignment horizontal="left"/>
    </xf>
    <xf numFmtId="43" fontId="78" fillId="39" borderId="21" xfId="69" applyNumberFormat="1" applyFont="1" applyFill="1" applyBorder="1" applyAlignment="1">
      <alignment horizontal="left" vertical="center"/>
    </xf>
    <xf numFmtId="49" fontId="75" fillId="39" borderId="21" xfId="70" quotePrefix="1" applyNumberFormat="1" applyFont="1" applyFill="1" applyBorder="1" applyAlignment="1">
      <alignment horizontal="left" vertical="center"/>
    </xf>
    <xf numFmtId="0" fontId="76" fillId="39" borderId="21" xfId="0" applyFont="1" applyFill="1" applyBorder="1" applyAlignment="1">
      <alignment horizontal="left" vertical="center" wrapText="1"/>
    </xf>
    <xf numFmtId="0" fontId="76" fillId="41" borderId="21" xfId="0" applyFont="1" applyFill="1" applyBorder="1" applyAlignment="1">
      <alignment horizontal="left" vertical="center"/>
    </xf>
    <xf numFmtId="49" fontId="76" fillId="41" borderId="21" xfId="0" applyNumberFormat="1" applyFont="1" applyFill="1" applyBorder="1" applyAlignment="1">
      <alignment horizontal="left" vertical="center"/>
    </xf>
    <xf numFmtId="0" fontId="81" fillId="42" borderId="21" xfId="69" applyFont="1" applyFill="1" applyBorder="1" applyAlignment="1">
      <alignment horizontal="left" vertical="center"/>
    </xf>
    <xf numFmtId="49" fontId="76" fillId="42" borderId="21" xfId="0" applyNumberFormat="1" applyFont="1" applyFill="1" applyBorder="1" applyAlignment="1">
      <alignment horizontal="left" vertical="center"/>
    </xf>
    <xf numFmtId="14" fontId="76" fillId="0" borderId="21" xfId="61" applyNumberFormat="1" applyFont="1" applyBorder="1" applyAlignment="1">
      <alignment horizontal="left"/>
    </xf>
    <xf numFmtId="0" fontId="76" fillId="0" borderId="21" xfId="61" applyFont="1" applyBorder="1" applyAlignment="1">
      <alignment horizontal="left" vertical="center"/>
    </xf>
    <xf numFmtId="0" fontId="74" fillId="39" borderId="21" xfId="1126" applyFont="1" applyFill="1" applyBorder="1" applyAlignment="1">
      <alignment horizontal="left"/>
    </xf>
    <xf numFmtId="0" fontId="76" fillId="0" borderId="21" xfId="61" applyFont="1" applyBorder="1" applyAlignment="1">
      <alignment horizontal="left"/>
    </xf>
    <xf numFmtId="0" fontId="81" fillId="0" borderId="21" xfId="69" applyFont="1" applyBorder="1" applyAlignment="1">
      <alignment horizontal="left" vertical="center"/>
    </xf>
    <xf numFmtId="49" fontId="76" fillId="0" borderId="21" xfId="61" quotePrefix="1" applyNumberFormat="1" applyFont="1" applyBorder="1" applyAlignment="1">
      <alignment horizontal="left" vertical="center"/>
    </xf>
    <xf numFmtId="49" fontId="79" fillId="39" borderId="21" xfId="69" applyNumberFormat="1" applyFont="1" applyFill="1" applyBorder="1" applyAlignment="1">
      <alignment horizontal="left" vertical="center"/>
    </xf>
    <xf numFmtId="14" fontId="77" fillId="0" borderId="21" xfId="0" applyNumberFormat="1" applyFont="1" applyBorder="1" applyAlignment="1">
      <alignment horizontal="left"/>
    </xf>
    <xf numFmtId="0" fontId="82" fillId="39" borderId="21" xfId="48" quotePrefix="1" applyFont="1" applyFill="1" applyBorder="1" applyAlignment="1">
      <alignment horizontal="left" vertical="center" wrapText="1"/>
    </xf>
    <xf numFmtId="170" fontId="42" fillId="41" borderId="30" xfId="0" applyNumberFormat="1" applyFont="1" applyFill="1" applyBorder="1" applyAlignment="1">
      <alignment horizontal="left" vertical="center"/>
    </xf>
    <xf numFmtId="0" fontId="47" fillId="39" borderId="19" xfId="57" applyFont="1" applyFill="1" applyBorder="1" applyAlignment="1">
      <alignment horizontal="left" vertical="center"/>
    </xf>
    <xf numFmtId="0" fontId="47" fillId="39" borderId="19" xfId="57" applyFont="1" applyFill="1" applyBorder="1" applyAlignment="1">
      <alignment horizontal="center" vertical="center"/>
    </xf>
    <xf numFmtId="14" fontId="47" fillId="39" borderId="19" xfId="57" applyNumberFormat="1" applyFont="1" applyFill="1" applyBorder="1" applyAlignment="1">
      <alignment horizontal="center" vertical="center"/>
    </xf>
    <xf numFmtId="1" fontId="47" fillId="39" borderId="19" xfId="57" applyNumberFormat="1" applyFont="1" applyFill="1" applyBorder="1" applyAlignment="1">
      <alignment horizontal="left" vertical="center"/>
    </xf>
    <xf numFmtId="2" fontId="47" fillId="39" borderId="19" xfId="57" applyNumberFormat="1" applyFont="1" applyFill="1" applyBorder="1" applyAlignment="1">
      <alignment horizontal="center" vertical="center"/>
    </xf>
    <xf numFmtId="168" fontId="47" fillId="39" borderId="19" xfId="57" applyNumberFormat="1" applyFont="1" applyFill="1" applyBorder="1" applyAlignment="1">
      <alignment horizontal="center" vertical="center"/>
    </xf>
    <xf numFmtId="0" fontId="83" fillId="39" borderId="19" xfId="69" applyNumberFormat="1" applyFont="1" applyFill="1" applyBorder="1" applyAlignment="1">
      <alignment horizontal="center" vertical="center"/>
    </xf>
    <xf numFmtId="0" fontId="18" fillId="39" borderId="19" xfId="42" applyNumberFormat="1" applyFill="1" applyBorder="1" applyAlignment="1">
      <alignment horizontal="left" vertical="center"/>
    </xf>
    <xf numFmtId="49" fontId="83" fillId="39" borderId="19" xfId="69" applyNumberFormat="1" applyFont="1" applyFill="1" applyBorder="1" applyAlignment="1">
      <alignment horizontal="center" vertical="center"/>
    </xf>
    <xf numFmtId="0" fontId="84" fillId="39" borderId="19" xfId="57" applyFont="1" applyFill="1" applyBorder="1" applyAlignment="1">
      <alignment horizontal="left" vertical="center" wrapText="1"/>
    </xf>
    <xf numFmtId="2" fontId="0" fillId="0" borderId="0" xfId="0" applyNumberFormat="1"/>
    <xf numFmtId="0" fontId="76" fillId="0" borderId="0" xfId="0" applyFont="1"/>
    <xf numFmtId="14" fontId="25" fillId="39" borderId="19" xfId="48" applyNumberFormat="1" applyFont="1" applyFill="1" applyBorder="1" applyAlignment="1">
      <alignment vertical="center" wrapText="1"/>
    </xf>
    <xf numFmtId="14" fontId="25" fillId="39" borderId="19" xfId="48" applyNumberFormat="1" applyFont="1" applyFill="1" applyBorder="1" applyAlignment="1">
      <alignment horizontal="left" vertical="center" wrapText="1"/>
    </xf>
    <xf numFmtId="0" fontId="25" fillId="39" borderId="19" xfId="48" applyFont="1" applyFill="1" applyBorder="1" applyAlignment="1">
      <alignment horizontal="center" vertical="center" wrapText="1"/>
    </xf>
    <xf numFmtId="0" fontId="42" fillId="39" borderId="19" xfId="0" applyFont="1" applyFill="1" applyBorder="1" applyAlignment="1">
      <alignment horizontal="left" vertical="center" wrapText="1"/>
    </xf>
    <xf numFmtId="0" fontId="25" fillId="39" borderId="19" xfId="48" applyFont="1" applyFill="1" applyBorder="1" applyAlignment="1">
      <alignment horizontal="left" vertical="center" wrapText="1"/>
    </xf>
    <xf numFmtId="0" fontId="25" fillId="39" borderId="19" xfId="48" quotePrefix="1" applyFont="1" applyFill="1" applyBorder="1" applyAlignment="1">
      <alignment horizontal="left" vertical="center" wrapText="1"/>
    </xf>
    <xf numFmtId="1" fontId="25" fillId="39" borderId="19" xfId="49" quotePrefix="1" applyNumberFormat="1" applyFont="1" applyFill="1" applyBorder="1" applyAlignment="1">
      <alignment horizontal="left" vertical="center"/>
    </xf>
    <xf numFmtId="43" fontId="25" fillId="39" borderId="19" xfId="70" applyFont="1" applyFill="1" applyBorder="1" applyAlignment="1">
      <alignment vertical="center"/>
    </xf>
    <xf numFmtId="43" fontId="18" fillId="39" borderId="31" xfId="42" applyNumberFormat="1" applyFill="1" applyBorder="1" applyAlignment="1">
      <alignment horizontal="left" vertical="center"/>
    </xf>
    <xf numFmtId="0" fontId="42" fillId="39" borderId="18" xfId="0" applyFont="1" applyFill="1" applyBorder="1" applyAlignment="1">
      <alignment vertical="center"/>
    </xf>
    <xf numFmtId="49" fontId="25" fillId="39" borderId="19" xfId="70" quotePrefix="1" applyNumberFormat="1" applyFont="1" applyFill="1" applyBorder="1" applyAlignment="1">
      <alignment horizontal="center" vertical="center"/>
    </xf>
    <xf numFmtId="1" fontId="41" fillId="35" borderId="18" xfId="54" applyNumberFormat="1" applyFont="1" applyFill="1" applyBorder="1" applyAlignment="1">
      <alignment horizontal="center" wrapText="1"/>
    </xf>
    <xf numFmtId="0" fontId="74" fillId="0" borderId="0" xfId="57" applyFont="1" applyAlignment="1">
      <alignment horizontal="right"/>
    </xf>
    <xf numFmtId="43" fontId="76" fillId="0" borderId="0" xfId="0" applyNumberFormat="1" applyFont="1"/>
    <xf numFmtId="166" fontId="76" fillId="0" borderId="0" xfId="0" applyNumberFormat="1" applyFont="1"/>
    <xf numFmtId="0" fontId="76" fillId="0" borderId="0" xfId="0" applyFont="1" applyAlignment="1">
      <alignment horizontal="left"/>
    </xf>
    <xf numFmtId="2" fontId="76" fillId="0" borderId="0" xfId="0" applyNumberFormat="1" applyFont="1"/>
    <xf numFmtId="0" fontId="30" fillId="0" borderId="0" xfId="61" applyFont="1" applyAlignment="1">
      <alignment horizontal="right"/>
    </xf>
    <xf numFmtId="14" fontId="25" fillId="39" borderId="19" xfId="48" applyNumberFormat="1" applyFont="1" applyFill="1" applyBorder="1" applyAlignment="1">
      <alignment horizontal="right" vertical="center" wrapText="1"/>
    </xf>
    <xf numFmtId="0" fontId="20" fillId="43" borderId="20" xfId="0" applyFont="1" applyFill="1" applyBorder="1" applyAlignment="1">
      <alignment horizontal="left" vertical="center"/>
    </xf>
    <xf numFmtId="0" fontId="20" fillId="43" borderId="20" xfId="0" applyFont="1" applyFill="1" applyBorder="1" applyAlignment="1">
      <alignment horizontal="center" vertical="center"/>
    </xf>
    <xf numFmtId="0" fontId="76" fillId="0" borderId="21" xfId="0" applyFont="1" applyBorder="1"/>
    <xf numFmtId="0" fontId="75" fillId="39" borderId="21" xfId="48" applyFont="1" applyFill="1" applyBorder="1" applyAlignment="1">
      <alignment horizontal="center" vertical="center" wrapText="1"/>
    </xf>
    <xf numFmtId="43" fontId="91" fillId="39" borderId="21" xfId="69" applyNumberFormat="1" applyFont="1" applyFill="1" applyBorder="1" applyAlignment="1">
      <alignment horizontal="left" vertical="center"/>
    </xf>
    <xf numFmtId="0" fontId="74" fillId="39" borderId="21" xfId="57" applyFont="1" applyFill="1" applyBorder="1" applyAlignment="1">
      <alignment horizontal="center" vertical="center"/>
    </xf>
    <xf numFmtId="0" fontId="91" fillId="39" borderId="21" xfId="69" applyNumberFormat="1" applyFont="1" applyFill="1" applyBorder="1" applyAlignment="1">
      <alignment horizontal="left" vertical="center"/>
    </xf>
    <xf numFmtId="0" fontId="76" fillId="0" borderId="21" xfId="0" applyFont="1" applyBorder="1" applyAlignment="1">
      <alignment horizontal="center"/>
    </xf>
    <xf numFmtId="14" fontId="76" fillId="0" borderId="21" xfId="0" applyNumberFormat="1" applyFont="1" applyBorder="1" applyAlignment="1">
      <alignment horizontal="left"/>
    </xf>
    <xf numFmtId="0" fontId="76" fillId="0" borderId="21" xfId="0" applyFont="1" applyBorder="1" applyAlignment="1">
      <alignment horizontal="left"/>
    </xf>
    <xf numFmtId="0" fontId="85" fillId="0" borderId="21" xfId="69" applyFont="1" applyBorder="1"/>
    <xf numFmtId="0" fontId="91" fillId="0" borderId="21" xfId="69" applyFont="1" applyBorder="1"/>
    <xf numFmtId="14" fontId="74" fillId="39" borderId="19" xfId="57" applyNumberFormat="1" applyFont="1" applyFill="1" applyBorder="1" applyAlignment="1">
      <alignment horizontal="center" vertical="center"/>
    </xf>
    <xf numFmtId="1" fontId="74" fillId="39" borderId="19" xfId="57" applyNumberFormat="1" applyFont="1" applyFill="1" applyBorder="1" applyAlignment="1">
      <alignment horizontal="left" vertical="center"/>
    </xf>
    <xf numFmtId="1" fontId="74" fillId="39" borderId="0" xfId="57" applyNumberFormat="1" applyFont="1" applyFill="1" applyAlignment="1">
      <alignment horizontal="left" vertical="center"/>
    </xf>
    <xf numFmtId="0" fontId="74" fillId="39" borderId="0" xfId="57" applyFont="1" applyFill="1" applyAlignment="1">
      <alignment horizontal="left" vertical="center"/>
    </xf>
    <xf numFmtId="0" fontId="76" fillId="0" borderId="32" xfId="0" applyFont="1" applyBorder="1"/>
    <xf numFmtId="170" fontId="76" fillId="41" borderId="19" xfId="0" applyNumberFormat="1" applyFont="1" applyFill="1" applyBorder="1" applyAlignment="1">
      <alignment horizontal="left" vertical="center"/>
    </xf>
    <xf numFmtId="0" fontId="74" fillId="39" borderId="19" xfId="57" applyFont="1" applyFill="1" applyBorder="1" applyAlignment="1">
      <alignment horizontal="left" vertical="center"/>
    </xf>
    <xf numFmtId="0" fontId="91" fillId="39" borderId="31" xfId="69" applyNumberFormat="1" applyFont="1" applyFill="1" applyBorder="1" applyAlignment="1">
      <alignment horizontal="left" vertical="center"/>
    </xf>
    <xf numFmtId="0" fontId="76" fillId="0" borderId="19" xfId="0" applyFont="1" applyBorder="1"/>
    <xf numFmtId="14" fontId="76" fillId="0" borderId="19" xfId="0" applyNumberFormat="1" applyFont="1" applyBorder="1" applyAlignment="1">
      <alignment horizontal="center"/>
    </xf>
    <xf numFmtId="14" fontId="76" fillId="0" borderId="19" xfId="0" applyNumberFormat="1" applyFont="1" applyBorder="1" applyAlignment="1">
      <alignment horizontal="left"/>
    </xf>
    <xf numFmtId="0" fontId="76" fillId="0" borderId="19" xfId="0" applyFont="1" applyBorder="1" applyAlignment="1">
      <alignment horizontal="left"/>
    </xf>
    <xf numFmtId="0" fontId="91" fillId="0" borderId="31" xfId="69" applyFont="1" applyBorder="1"/>
    <xf numFmtId="0" fontId="76" fillId="0" borderId="25" xfId="0" applyFont="1" applyBorder="1"/>
    <xf numFmtId="0" fontId="79" fillId="39" borderId="19" xfId="69" applyNumberFormat="1" applyFont="1" applyFill="1" applyBorder="1" applyAlignment="1">
      <alignment horizontal="left" vertical="center"/>
    </xf>
    <xf numFmtId="49" fontId="76" fillId="42" borderId="19" xfId="0" applyNumberFormat="1" applyFont="1" applyFill="1" applyBorder="1" applyAlignment="1">
      <alignment horizontal="left" vertical="center"/>
    </xf>
    <xf numFmtId="14" fontId="74" fillId="0" borderId="21" xfId="57" applyNumberFormat="1" applyFont="1" applyBorder="1" applyAlignment="1">
      <alignment horizontal="left" vertical="center"/>
    </xf>
    <xf numFmtId="14" fontId="76" fillId="0" borderId="21" xfId="0" applyNumberFormat="1" applyFont="1" applyBorder="1"/>
    <xf numFmtId="14" fontId="76" fillId="0" borderId="0" xfId="0" applyNumberFormat="1" applyFont="1"/>
    <xf numFmtId="0" fontId="75" fillId="0" borderId="21" xfId="59" applyFont="1" applyBorder="1"/>
    <xf numFmtId="14" fontId="76" fillId="41" borderId="21" xfId="0" applyNumberFormat="1" applyFont="1" applyFill="1" applyBorder="1" applyAlignment="1">
      <alignment horizontal="center" vertical="center"/>
    </xf>
    <xf numFmtId="2" fontId="76" fillId="41" borderId="21" xfId="0" applyNumberFormat="1" applyFont="1" applyFill="1" applyBorder="1" applyAlignment="1">
      <alignment horizontal="center" vertical="center"/>
    </xf>
    <xf numFmtId="0" fontId="85" fillId="42" borderId="21" xfId="42" applyFont="1" applyFill="1" applyBorder="1" applyAlignment="1">
      <alignment horizontal="left" vertical="center"/>
    </xf>
    <xf numFmtId="49" fontId="76" fillId="41" borderId="21" xfId="0" applyNumberFormat="1" applyFont="1" applyFill="1" applyBorder="1" applyAlignment="1">
      <alignment horizontal="center" vertical="center"/>
    </xf>
    <xf numFmtId="2" fontId="76" fillId="0" borderId="21" xfId="0" applyNumberFormat="1" applyFont="1" applyBorder="1" applyAlignment="1">
      <alignment horizontal="center"/>
    </xf>
    <xf numFmtId="0" fontId="85" fillId="0" borderId="21" xfId="42" applyFont="1" applyBorder="1"/>
    <xf numFmtId="0" fontId="86" fillId="0" borderId="21" xfId="42" applyFont="1" applyBorder="1"/>
    <xf numFmtId="0" fontId="18" fillId="0" borderId="21" xfId="42" applyBorder="1"/>
    <xf numFmtId="14" fontId="44" fillId="0" borderId="21" xfId="61" applyNumberFormat="1" applyFont="1" applyBorder="1" applyAlignment="1">
      <alignment horizontal="left"/>
    </xf>
    <xf numFmtId="0" fontId="44" fillId="0" borderId="21" xfId="61" applyFont="1" applyBorder="1" applyAlignment="1">
      <alignment horizontal="left" vertical="center"/>
    </xf>
    <xf numFmtId="0" fontId="44" fillId="0" borderId="21" xfId="61" applyFont="1" applyBorder="1" applyAlignment="1">
      <alignment horizontal="left"/>
    </xf>
    <xf numFmtId="0" fontId="44" fillId="0" borderId="21" xfId="61" applyFont="1" applyBorder="1" applyAlignment="1">
      <alignment horizontal="center"/>
    </xf>
    <xf numFmtId="0" fontId="44" fillId="0" borderId="21" xfId="61" applyFont="1" applyBorder="1"/>
    <xf numFmtId="0" fontId="30" fillId="0" borderId="21" xfId="61" quotePrefix="1" applyFont="1" applyBorder="1" applyAlignment="1">
      <alignment horizontal="left"/>
    </xf>
    <xf numFmtId="14" fontId="44" fillId="0" borderId="21" xfId="61" applyNumberFormat="1" applyFont="1" applyBorder="1" applyAlignment="1">
      <alignment horizontal="left" vertical="center"/>
    </xf>
    <xf numFmtId="0" fontId="87" fillId="39" borderId="21" xfId="1126" applyFont="1" applyFill="1" applyBorder="1" applyAlignment="1">
      <alignment horizontal="left"/>
    </xf>
    <xf numFmtId="43" fontId="44" fillId="0" borderId="21" xfId="72" applyFont="1" applyBorder="1"/>
    <xf numFmtId="43" fontId="44" fillId="0" borderId="21" xfId="72" applyFont="1" applyBorder="1" applyAlignment="1">
      <alignment horizontal="left" vertical="center"/>
    </xf>
    <xf numFmtId="49" fontId="88" fillId="0" borderId="21" xfId="61" quotePrefix="1" applyNumberFormat="1" applyFont="1" applyBorder="1" applyAlignment="1">
      <alignment horizontal="left" vertical="center"/>
    </xf>
    <xf numFmtId="0" fontId="18" fillId="0" borderId="21" xfId="69" applyBorder="1" applyAlignment="1">
      <alignment horizontal="left" vertical="center"/>
    </xf>
    <xf numFmtId="0" fontId="89" fillId="39" borderId="21" xfId="1126" applyFont="1" applyFill="1" applyBorder="1" applyAlignment="1">
      <alignment horizontal="left"/>
    </xf>
    <xf numFmtId="14" fontId="90" fillId="0" borderId="21" xfId="0" applyNumberFormat="1" applyFont="1" applyBorder="1" applyAlignment="1">
      <alignment horizontal="left"/>
    </xf>
    <xf numFmtId="0" fontId="18" fillId="0" borderId="21" xfId="42" applyBorder="1" applyAlignment="1">
      <alignment horizontal="left" vertical="center"/>
    </xf>
    <xf numFmtId="167" fontId="74" fillId="40" borderId="21" xfId="57" applyNumberFormat="1" applyFont="1" applyFill="1" applyBorder="1" applyAlignment="1">
      <alignment horizontal="left"/>
    </xf>
    <xf numFmtId="0" fontId="74" fillId="40" borderId="21" xfId="57" applyFont="1" applyFill="1" applyBorder="1"/>
    <xf numFmtId="0" fontId="74" fillId="0" borderId="21" xfId="57" applyFont="1" applyBorder="1" applyAlignment="1">
      <alignment horizontal="center" vertical="center"/>
    </xf>
    <xf numFmtId="0" fontId="75" fillId="39" borderId="21" xfId="48" applyFont="1" applyFill="1" applyBorder="1" applyAlignment="1">
      <alignment horizontal="left" vertical="center"/>
    </xf>
    <xf numFmtId="1" fontId="74" fillId="40" borderId="21" xfId="57" applyNumberFormat="1" applyFont="1" applyFill="1" applyBorder="1" applyAlignment="1">
      <alignment horizontal="left"/>
    </xf>
    <xf numFmtId="0" fontId="74" fillId="40" borderId="21" xfId="57" applyFont="1" applyFill="1" applyBorder="1" applyAlignment="1">
      <alignment horizontal="left" vertical="center"/>
    </xf>
    <xf numFmtId="0" fontId="74" fillId="40" borderId="21" xfId="57" applyFont="1" applyFill="1" applyBorder="1" applyAlignment="1">
      <alignment horizontal="left"/>
    </xf>
    <xf numFmtId="14" fontId="74" fillId="40" borderId="21" xfId="57" applyNumberFormat="1" applyFont="1" applyFill="1" applyBorder="1" applyAlignment="1">
      <alignment horizontal="left"/>
    </xf>
    <xf numFmtId="1" fontId="74" fillId="40" borderId="21" xfId="57" applyNumberFormat="1" applyFont="1" applyFill="1" applyBorder="1"/>
    <xf numFmtId="49" fontId="80" fillId="39" borderId="21" xfId="0" applyNumberFormat="1" applyFont="1" applyFill="1" applyBorder="1" applyAlignment="1">
      <alignment horizontal="center"/>
    </xf>
    <xf numFmtId="2" fontId="74" fillId="40" borderId="21" xfId="57" applyNumberFormat="1" applyFont="1" applyFill="1" applyBorder="1" applyAlignment="1">
      <alignment horizontal="center"/>
    </xf>
    <xf numFmtId="14" fontId="74" fillId="39" borderId="19" xfId="57" applyNumberFormat="1" applyFont="1" applyFill="1" applyBorder="1" applyAlignment="1">
      <alignment horizontal="left" vertical="center"/>
    </xf>
    <xf numFmtId="0" fontId="18" fillId="39" borderId="31" xfId="42" applyNumberFormat="1" applyFill="1" applyBorder="1" applyAlignment="1">
      <alignment horizontal="left" vertical="center"/>
    </xf>
    <xf numFmtId="0" fontId="18" fillId="39" borderId="21" xfId="42" applyNumberFormat="1" applyFill="1" applyBorder="1" applyAlignment="1">
      <alignment horizontal="left" vertical="center"/>
    </xf>
    <xf numFmtId="49" fontId="89" fillId="39" borderId="21" xfId="1126" applyNumberFormat="1" applyFont="1" applyFill="1" applyBorder="1" applyAlignment="1">
      <alignment horizontal="left"/>
    </xf>
    <xf numFmtId="0" fontId="92" fillId="39" borderId="19" xfId="69" applyNumberFormat="1" applyFont="1" applyFill="1" applyBorder="1" applyAlignment="1">
      <alignment horizontal="left" vertical="center"/>
    </xf>
    <xf numFmtId="0" fontId="75" fillId="39" borderId="32" xfId="48" applyFont="1" applyFill="1" applyBorder="1" applyAlignment="1">
      <alignment horizontal="left" vertical="center" wrapText="1"/>
    </xf>
  </cellXfs>
  <cellStyles count="1127">
    <cellStyle name="20% - Énfasis1" xfId="19" builtinId="30" customBuiltin="1"/>
    <cellStyle name="20% - Énfasis1 2" xfId="158" xr:uid="{615ECAC1-8CD2-4BC2-9196-15E94A238E3C}"/>
    <cellStyle name="20% - Énfasis1 2 2" xfId="222" xr:uid="{CB7810D0-4754-4A67-8A95-5476F6A8B332}"/>
    <cellStyle name="20% - Énfasis1 2 2 2" xfId="349" xr:uid="{F9C1BE73-7FEE-45CA-9374-6C79EBDD31CF}"/>
    <cellStyle name="20% - Énfasis1 2 2 2 2" xfId="603" xr:uid="{10CE11F9-2B2A-4339-97A4-8ED89C7DBF2C}"/>
    <cellStyle name="20% - Énfasis1 2 2 2 2 2" xfId="1095" xr:uid="{79F18A1F-0310-4DE4-AB4B-3607759B0E19}"/>
    <cellStyle name="20% - Énfasis1 2 2 2 3" xfId="849" xr:uid="{D7FB6872-FDFD-4A53-90EE-E2297FC4C9A5}"/>
    <cellStyle name="20% - Énfasis1 2 2 3" xfId="483" xr:uid="{BE5336D9-60FD-4662-A573-7669950117F6}"/>
    <cellStyle name="20% - Énfasis1 2 2 3 2" xfId="972" xr:uid="{A4680AC8-ED22-45C2-976A-3D707F1B496D}"/>
    <cellStyle name="20% - Énfasis1 2 2 4" xfId="726" xr:uid="{3F0440CB-AB28-4C52-87E4-B9BFB1061019}"/>
    <cellStyle name="20% - Énfasis1 2 3" xfId="285" xr:uid="{31C008C2-714E-4826-A849-48EE36938D79}"/>
    <cellStyle name="20% - Énfasis1 2 3 2" xfId="543" xr:uid="{08737CB9-5D05-4FE6-AB0A-D093ED7DD76D}"/>
    <cellStyle name="20% - Énfasis1 2 3 2 2" xfId="1033" xr:uid="{58F2863B-BA45-45E7-B874-F706A3730CAC}"/>
    <cellStyle name="20% - Énfasis1 2 3 3" xfId="787" xr:uid="{1F9483D2-CE9E-424C-B3DE-B367EB2CB052}"/>
    <cellStyle name="20% - Énfasis1 2 4" xfId="423" xr:uid="{048F5155-C165-42AA-A9A7-AE239EAB49DB}"/>
    <cellStyle name="20% - Énfasis1 2 4 2" xfId="910" xr:uid="{A5564F42-AFF5-4142-BB2B-8D355A93D5F5}"/>
    <cellStyle name="20% - Énfasis1 2 5" xfId="664" xr:uid="{6CD5075E-B880-43E8-8A78-F578A8F1F83D}"/>
    <cellStyle name="20% - Énfasis1 3" xfId="189" xr:uid="{E1CB3ED2-9ACF-4F6F-B78C-368696B7DE43}"/>
    <cellStyle name="20% - Énfasis1 3 2" xfId="316" xr:uid="{EB929034-3FD2-44F2-AB0C-8F69B0C7DAEB}"/>
    <cellStyle name="20% - Énfasis1 3 2 2" xfId="574" xr:uid="{ABCF3162-F618-475A-88B2-587EC4B1D2BA}"/>
    <cellStyle name="20% - Énfasis1 3 2 2 2" xfId="1064" xr:uid="{36BA7189-27A6-48E1-81D4-1B5655BB3410}"/>
    <cellStyle name="20% - Énfasis1 3 2 3" xfId="818" xr:uid="{E2C80BF5-316D-4A10-9120-05354E9CF0F4}"/>
    <cellStyle name="20% - Énfasis1 3 3" xfId="454" xr:uid="{25D823E3-F8B6-4BA5-9FD6-1F0D2E16DF29}"/>
    <cellStyle name="20% - Énfasis1 3 3 2" xfId="941" xr:uid="{1BB2D8CD-75BD-44C0-805A-6E221075AF41}"/>
    <cellStyle name="20% - Énfasis1 3 4" xfId="695" xr:uid="{37511157-CBE1-409F-876D-3977377A9671}"/>
    <cellStyle name="20% - Énfasis1 4" xfId="252" xr:uid="{5D153088-AD8F-446A-984F-0BD886C12DA3}"/>
    <cellStyle name="20% - Énfasis1 4 2" xfId="514" xr:uid="{45E2448A-30A0-4E13-B17C-90C8145A06EB}"/>
    <cellStyle name="20% - Énfasis1 4 2 2" xfId="1003" xr:uid="{40F5C557-788A-4A67-B7F0-6382DC7D85FD}"/>
    <cellStyle name="20% - Énfasis1 4 3" xfId="757" xr:uid="{B1B59E45-EA59-4F1C-9708-ACADDC862485}"/>
    <cellStyle name="20% - Énfasis1 5" xfId="393" xr:uid="{BA598CC9-E4E4-405E-825E-5F996D91C2B4}"/>
    <cellStyle name="20% - Énfasis1 5 2" xfId="880" xr:uid="{31CA36CE-782B-4212-B305-E11168E500B5}"/>
    <cellStyle name="20% - Énfasis1 6" xfId="634" xr:uid="{D3F758A6-943A-4294-9DEA-73FBFC0C62E9}"/>
    <cellStyle name="20% - Énfasis2" xfId="23" builtinId="34" customBuiltin="1"/>
    <cellStyle name="20% - Énfasis2 2" xfId="161" xr:uid="{171800F4-FC5F-45E2-8899-064BCD1EA335}"/>
    <cellStyle name="20% - Énfasis2 2 2" xfId="225" xr:uid="{8F2482D0-A407-4059-9E01-A6F2AFE978BF}"/>
    <cellStyle name="20% - Énfasis2 2 2 2" xfId="352" xr:uid="{D322DD51-49DD-4519-BB50-9BEB0C1180BA}"/>
    <cellStyle name="20% - Énfasis2 2 2 2 2" xfId="606" xr:uid="{76A771AF-257F-4463-986D-7E61678C674F}"/>
    <cellStyle name="20% - Énfasis2 2 2 2 2 2" xfId="1098" xr:uid="{1DBAED7B-0C80-4709-B01F-7CB8A7A36F71}"/>
    <cellStyle name="20% - Énfasis2 2 2 2 3" xfId="852" xr:uid="{7754420B-99AC-4F2B-91A9-61AED3E33B8D}"/>
    <cellStyle name="20% - Énfasis2 2 2 3" xfId="486" xr:uid="{409271F9-12F6-4553-ADBD-F7E9AEB54F5B}"/>
    <cellStyle name="20% - Énfasis2 2 2 3 2" xfId="975" xr:uid="{000936F4-7F5B-4295-AC3A-B328DD25EDB7}"/>
    <cellStyle name="20% - Énfasis2 2 2 4" xfId="729" xr:uid="{2F8F3020-5558-457F-B516-BE50B8BD0C4E}"/>
    <cellStyle name="20% - Énfasis2 2 3" xfId="288" xr:uid="{DC9E645E-D170-4C42-BEC0-B3F1B1A17757}"/>
    <cellStyle name="20% - Énfasis2 2 3 2" xfId="546" xr:uid="{6BF5EDB6-B848-4102-9735-A758814C8F69}"/>
    <cellStyle name="20% - Énfasis2 2 3 2 2" xfId="1036" xr:uid="{6209EFAF-B424-44BF-9B41-70C82DB46EB9}"/>
    <cellStyle name="20% - Énfasis2 2 3 3" xfId="790" xr:uid="{8A256773-75B8-4291-9D18-98E5FFB3C36D}"/>
    <cellStyle name="20% - Énfasis2 2 4" xfId="426" xr:uid="{20D23CA7-69E4-4579-8D96-827BD6193A55}"/>
    <cellStyle name="20% - Énfasis2 2 4 2" xfId="913" xr:uid="{90A1299A-A6CC-4836-B216-5E2505F18F88}"/>
    <cellStyle name="20% - Énfasis2 2 5" xfId="667" xr:uid="{71680411-9390-4E63-8355-ECC5C4CD905B}"/>
    <cellStyle name="20% - Énfasis2 3" xfId="192" xr:uid="{7467D82A-6AD7-433E-AE59-0F972A99A0CF}"/>
    <cellStyle name="20% - Énfasis2 3 2" xfId="319" xr:uid="{4A3BB861-64FE-4569-8251-377C20E1EDD7}"/>
    <cellStyle name="20% - Énfasis2 3 2 2" xfId="577" xr:uid="{CB0475A7-0045-4F27-AEE7-E4FF371EDD97}"/>
    <cellStyle name="20% - Énfasis2 3 2 2 2" xfId="1067" xr:uid="{C686ADEB-D60D-4845-9497-CF59EBA9DC65}"/>
    <cellStyle name="20% - Énfasis2 3 2 3" xfId="821" xr:uid="{0E2A5D69-25F0-4501-8A37-6F93D67CD9CA}"/>
    <cellStyle name="20% - Énfasis2 3 3" xfId="457" xr:uid="{D17FDE92-C4B8-420A-B628-04BCB265FA7B}"/>
    <cellStyle name="20% - Énfasis2 3 3 2" xfId="944" xr:uid="{C231F990-2B65-4B0A-A7A5-36DA6B55D806}"/>
    <cellStyle name="20% - Énfasis2 3 4" xfId="698" xr:uid="{56F9CB0A-A208-4BD7-89F3-A7B2A9E28924}"/>
    <cellStyle name="20% - Énfasis2 4" xfId="255" xr:uid="{5A25DD6F-A232-4842-91E4-DDA13E0A1882}"/>
    <cellStyle name="20% - Énfasis2 4 2" xfId="517" xr:uid="{A012C069-846A-4D54-B8F9-01456D33F45C}"/>
    <cellStyle name="20% - Énfasis2 4 2 2" xfId="1006" xr:uid="{5C413453-CE53-42EA-8BCE-FF0D0AD30440}"/>
    <cellStyle name="20% - Énfasis2 4 3" xfId="760" xr:uid="{03D522B8-386F-4FE1-9808-E6B38570F7A2}"/>
    <cellStyle name="20% - Énfasis2 5" xfId="396" xr:uid="{977796F6-CE03-4E08-A0E5-BBA0B7E89318}"/>
    <cellStyle name="20% - Énfasis2 5 2" xfId="883" xr:uid="{AD47B9A5-0A02-466F-A599-0EF40427D124}"/>
    <cellStyle name="20% - Énfasis2 6" xfId="637" xr:uid="{593F8903-D50C-40D4-9B23-E07AE900F389}"/>
    <cellStyle name="20% - Énfasis3" xfId="27" builtinId="38" customBuiltin="1"/>
    <cellStyle name="20% - Énfasis3 2" xfId="164" xr:uid="{EB97EBE6-E7A4-4D15-969A-81CBAA9F9DC0}"/>
    <cellStyle name="20% - Énfasis3 2 2" xfId="228" xr:uid="{1DEF9C4D-2DDB-482B-B27E-FEC6607D58F2}"/>
    <cellStyle name="20% - Énfasis3 2 2 2" xfId="355" xr:uid="{BE0DBC25-F494-4FE6-A3D8-B5B2D0753EBB}"/>
    <cellStyle name="20% - Énfasis3 2 2 2 2" xfId="609" xr:uid="{4A1FB48D-53F4-47B6-B603-7B4499FB3303}"/>
    <cellStyle name="20% - Énfasis3 2 2 2 2 2" xfId="1101" xr:uid="{C21B6464-A4BC-4FC7-AF0B-01B8A7F50A47}"/>
    <cellStyle name="20% - Énfasis3 2 2 2 3" xfId="855" xr:uid="{9BEF2A42-1DD9-4DA3-AD7A-4578907750F5}"/>
    <cellStyle name="20% - Énfasis3 2 2 3" xfId="489" xr:uid="{8C6CE22C-3580-4928-9AAF-1D50584B946D}"/>
    <cellStyle name="20% - Énfasis3 2 2 3 2" xfId="978" xr:uid="{13400F04-A145-4E8D-893E-7D66F78CC8A2}"/>
    <cellStyle name="20% - Énfasis3 2 2 4" xfId="732" xr:uid="{0B6EC4F4-AC5B-4F84-AADB-5E3EA0F7B48B}"/>
    <cellStyle name="20% - Énfasis3 2 3" xfId="291" xr:uid="{6D3D7B61-4823-45D1-8F6F-FE474DAAEDD3}"/>
    <cellStyle name="20% - Énfasis3 2 3 2" xfId="549" xr:uid="{B188D511-7587-4D7D-A7C2-CDE74D3EDB2A}"/>
    <cellStyle name="20% - Énfasis3 2 3 2 2" xfId="1039" xr:uid="{F1171818-9D58-4E13-939D-16103DD29AC6}"/>
    <cellStyle name="20% - Énfasis3 2 3 3" xfId="793" xr:uid="{B5EE1465-850B-498E-B09A-1DD699E47816}"/>
    <cellStyle name="20% - Énfasis3 2 4" xfId="429" xr:uid="{89CE6C9C-9AED-484B-9AFA-6D850AAA49BE}"/>
    <cellStyle name="20% - Énfasis3 2 4 2" xfId="916" xr:uid="{00579A3A-4176-444F-B2B6-A95D019F1765}"/>
    <cellStyle name="20% - Énfasis3 2 5" xfId="670" xr:uid="{90364882-00F0-45AA-A9C2-1F0119D7986F}"/>
    <cellStyle name="20% - Énfasis3 3" xfId="195" xr:uid="{4CD02842-057E-4DDD-9F21-4A00D214068B}"/>
    <cellStyle name="20% - Énfasis3 3 2" xfId="322" xr:uid="{C3C18F95-46F8-45B0-90A1-85A1303F32C0}"/>
    <cellStyle name="20% - Énfasis3 3 2 2" xfId="580" xr:uid="{FAA160E2-6A5B-4EF1-934C-C2564BF0D53F}"/>
    <cellStyle name="20% - Énfasis3 3 2 2 2" xfId="1070" xr:uid="{35108862-3889-4819-9833-69A462AFE355}"/>
    <cellStyle name="20% - Énfasis3 3 2 3" xfId="824" xr:uid="{4D256B7A-4FDA-4FEA-907C-37BA86DF78C5}"/>
    <cellStyle name="20% - Énfasis3 3 3" xfId="460" xr:uid="{41F52C79-37C5-4CA3-A880-E20F88D67AB5}"/>
    <cellStyle name="20% - Énfasis3 3 3 2" xfId="947" xr:uid="{5D953CCC-DE3F-4770-ACE6-EC58B0E3F14C}"/>
    <cellStyle name="20% - Énfasis3 3 4" xfId="701" xr:uid="{3ABF4C2C-8AB3-4D67-ACF0-7BCB81966B6C}"/>
    <cellStyle name="20% - Énfasis3 4" xfId="258" xr:uid="{5006124A-507B-4AB3-BC30-C2B0DA955DE7}"/>
    <cellStyle name="20% - Énfasis3 4 2" xfId="520" xr:uid="{FEC87667-95A5-4A8F-A4C0-793CBAE5BDA4}"/>
    <cellStyle name="20% - Énfasis3 4 2 2" xfId="1009" xr:uid="{8F19BEA7-E4ED-4817-8E7A-CFE5D606575A}"/>
    <cellStyle name="20% - Énfasis3 4 3" xfId="763" xr:uid="{9E85CD17-4EB8-4E0E-9104-AF6F240F3C5A}"/>
    <cellStyle name="20% - Énfasis3 5" xfId="399" xr:uid="{6748422E-24FC-48C9-8AFE-D198DBB2307B}"/>
    <cellStyle name="20% - Énfasis3 5 2" xfId="886" xr:uid="{DBD020F5-8D69-4DDC-8878-AB50BF45C1B9}"/>
    <cellStyle name="20% - Énfasis3 6" xfId="640" xr:uid="{262F8DB0-3CD6-4850-9680-A4EA730951C3}"/>
    <cellStyle name="20% - Énfasis4" xfId="31" builtinId="42" customBuiltin="1"/>
    <cellStyle name="20% - Énfasis4 2" xfId="167" xr:uid="{95A4EDE2-2905-4A78-9AAF-1F3EEBCF202C}"/>
    <cellStyle name="20% - Énfasis4 2 2" xfId="231" xr:uid="{B2D336F0-8777-4511-9858-84FC2C00D727}"/>
    <cellStyle name="20% - Énfasis4 2 2 2" xfId="358" xr:uid="{78332FF1-CC15-45CD-9E81-55561B6E304F}"/>
    <cellStyle name="20% - Énfasis4 2 2 2 2" xfId="612" xr:uid="{7BA4BDDA-9BAB-4430-B0D4-C32CB635EFF1}"/>
    <cellStyle name="20% - Énfasis4 2 2 2 2 2" xfId="1104" xr:uid="{7073337D-74B9-420A-A3F8-E43B5F984BB4}"/>
    <cellStyle name="20% - Énfasis4 2 2 2 3" xfId="858" xr:uid="{24B3CB35-5B13-4119-B416-E8B46420DB10}"/>
    <cellStyle name="20% - Énfasis4 2 2 3" xfId="492" xr:uid="{3D957DB9-8D0A-45CF-8893-9F2C91E35FE8}"/>
    <cellStyle name="20% - Énfasis4 2 2 3 2" xfId="981" xr:uid="{8EAAF5A5-C229-4187-A8D1-B24BD89A25D1}"/>
    <cellStyle name="20% - Énfasis4 2 2 4" xfId="735" xr:uid="{9D6F8850-B22D-4AF1-AA7C-378EA94CC87B}"/>
    <cellStyle name="20% - Énfasis4 2 3" xfId="294" xr:uid="{19F0221F-6B96-43F5-B6EB-9C61DABB4025}"/>
    <cellStyle name="20% - Énfasis4 2 3 2" xfId="552" xr:uid="{25AEDEDD-7DF2-4299-BF47-3C5A2AC1A509}"/>
    <cellStyle name="20% - Énfasis4 2 3 2 2" xfId="1042" xr:uid="{7FAE0044-1E93-4072-ADAF-1018AA2AE207}"/>
    <cellStyle name="20% - Énfasis4 2 3 3" xfId="796" xr:uid="{5A86E8B2-3F0E-4E5E-9BEA-F6FA4DDC7A9B}"/>
    <cellStyle name="20% - Énfasis4 2 4" xfId="432" xr:uid="{BF8CAE1C-1500-4230-A594-A25A11DC8A11}"/>
    <cellStyle name="20% - Énfasis4 2 4 2" xfId="919" xr:uid="{72865019-4866-40C6-97B1-8E1112AC307F}"/>
    <cellStyle name="20% - Énfasis4 2 5" xfId="673" xr:uid="{1F8CDAD9-8891-4940-B3CA-E19B8A5E1F36}"/>
    <cellStyle name="20% - Énfasis4 3" xfId="198" xr:uid="{63BBF9D2-FA49-4D21-8ADB-B6864A46DB9D}"/>
    <cellStyle name="20% - Énfasis4 3 2" xfId="325" xr:uid="{657DCBAA-DBE3-4E9F-B32D-4B1D8903BDDC}"/>
    <cellStyle name="20% - Énfasis4 3 2 2" xfId="583" xr:uid="{FCD0EE04-4F2B-4FD0-8CE0-A165CF2AF836}"/>
    <cellStyle name="20% - Énfasis4 3 2 2 2" xfId="1073" xr:uid="{51E19926-F761-4515-84EB-95FB02694256}"/>
    <cellStyle name="20% - Énfasis4 3 2 3" xfId="827" xr:uid="{9F7A14C9-8381-4A30-9365-95C51F330278}"/>
    <cellStyle name="20% - Énfasis4 3 3" xfId="463" xr:uid="{2E008E9F-3E8B-4E97-A335-20FA93382BF4}"/>
    <cellStyle name="20% - Énfasis4 3 3 2" xfId="950" xr:uid="{3CD0B302-2766-4B17-BF95-E8DF63FBC599}"/>
    <cellStyle name="20% - Énfasis4 3 4" xfId="704" xr:uid="{FD30ADB3-A96D-4579-8EC2-E10241DB4F85}"/>
    <cellStyle name="20% - Énfasis4 4" xfId="261" xr:uid="{5B784B03-EF25-4763-A429-72CEB3ED747A}"/>
    <cellStyle name="20% - Énfasis4 4 2" xfId="523" xr:uid="{153EDE04-D7AA-45D0-B3EC-203A5D2B5212}"/>
    <cellStyle name="20% - Énfasis4 4 2 2" xfId="1012" xr:uid="{F57EC046-155B-484F-882D-DD2E830D03B7}"/>
    <cellStyle name="20% - Énfasis4 4 3" xfId="766" xr:uid="{6870D0DB-670F-40F5-BEBE-3FB3FF5D9D27}"/>
    <cellStyle name="20% - Énfasis4 5" xfId="402" xr:uid="{8B6BC81C-D1E9-4AD5-BFAB-25F43B0BD79D}"/>
    <cellStyle name="20% - Énfasis4 5 2" xfId="889" xr:uid="{6BCCB58D-B7F3-4579-A21B-985D78BF0AE9}"/>
    <cellStyle name="20% - Énfasis4 6" xfId="643" xr:uid="{407D14AB-192F-4E89-85F2-77B1019ED791}"/>
    <cellStyle name="20% - Énfasis5" xfId="35" builtinId="46" customBuiltin="1"/>
    <cellStyle name="20% - Énfasis5 2" xfId="170" xr:uid="{CF86827D-F638-4AB4-B3A5-2560E0A6AAF9}"/>
    <cellStyle name="20% - Énfasis5 2 2" xfId="234" xr:uid="{9043FF65-814C-477F-BDB7-2F25A9E0B3B4}"/>
    <cellStyle name="20% - Énfasis5 2 2 2" xfId="361" xr:uid="{0CB1FA34-6463-408D-9B22-86B6672A7575}"/>
    <cellStyle name="20% - Énfasis5 2 2 2 2" xfId="615" xr:uid="{34FA3861-D955-4910-BE9E-B5E67C3372AC}"/>
    <cellStyle name="20% - Énfasis5 2 2 2 2 2" xfId="1107" xr:uid="{0292F1FC-5FEF-475B-863D-2CD9B7577591}"/>
    <cellStyle name="20% - Énfasis5 2 2 2 3" xfId="861" xr:uid="{F1F1BAD1-1EF1-4E39-B70B-5B3647F6B39C}"/>
    <cellStyle name="20% - Énfasis5 2 2 3" xfId="495" xr:uid="{907FD948-4A2A-468F-92E9-53DC277986CE}"/>
    <cellStyle name="20% - Énfasis5 2 2 3 2" xfId="984" xr:uid="{AD136AFA-CC87-4C1D-A300-EA4D9032A9B6}"/>
    <cellStyle name="20% - Énfasis5 2 2 4" xfId="738" xr:uid="{1B5AFFBA-C787-46A0-B96C-DC911ADAB1F0}"/>
    <cellStyle name="20% - Énfasis5 2 3" xfId="297" xr:uid="{90035FFE-C268-4447-AE84-17B4CA2A8855}"/>
    <cellStyle name="20% - Énfasis5 2 3 2" xfId="555" xr:uid="{F1F121EF-3BF1-47E8-B9CF-91B4C349B1E2}"/>
    <cellStyle name="20% - Énfasis5 2 3 2 2" xfId="1045" xr:uid="{A2BE026F-5B1C-4B3C-A236-2FDED15B367B}"/>
    <cellStyle name="20% - Énfasis5 2 3 3" xfId="799" xr:uid="{4BECF6C0-25F2-4CC2-B2B8-151635B4ADC3}"/>
    <cellStyle name="20% - Énfasis5 2 4" xfId="435" xr:uid="{7665C63E-017B-4368-998A-541013796049}"/>
    <cellStyle name="20% - Énfasis5 2 4 2" xfId="922" xr:uid="{F96B54FF-1D49-4B81-955B-C8F914B24CB3}"/>
    <cellStyle name="20% - Énfasis5 2 5" xfId="676" xr:uid="{DCA7EC96-C773-4D63-A8EA-DEAAB981A273}"/>
    <cellStyle name="20% - Énfasis5 3" xfId="201" xr:uid="{9983AC97-C1CD-49F5-A6D7-96032CD7E402}"/>
    <cellStyle name="20% - Énfasis5 3 2" xfId="328" xr:uid="{B6A8D57F-E531-4505-933B-8A8FC650CE40}"/>
    <cellStyle name="20% - Énfasis5 3 2 2" xfId="586" xr:uid="{CA9EF6D6-8396-4E5D-9080-54285C597ACB}"/>
    <cellStyle name="20% - Énfasis5 3 2 2 2" xfId="1076" xr:uid="{E140DBDC-4A34-4207-829E-50268C3F5128}"/>
    <cellStyle name="20% - Énfasis5 3 2 3" xfId="830" xr:uid="{0A30A04B-B29A-4C8E-A7C9-7CD1B6B6B0D7}"/>
    <cellStyle name="20% - Énfasis5 3 3" xfId="466" xr:uid="{1B9282AA-E012-4744-A75F-7A13AEFC412E}"/>
    <cellStyle name="20% - Énfasis5 3 3 2" xfId="953" xr:uid="{67D62565-0E2B-4006-B8A3-E9916E9510D3}"/>
    <cellStyle name="20% - Énfasis5 3 4" xfId="707" xr:uid="{AA0B0D3F-724E-4B06-9ACA-F1E415210835}"/>
    <cellStyle name="20% - Énfasis5 4" xfId="264" xr:uid="{1E53D8C4-14FD-4370-B121-133C28B821F4}"/>
    <cellStyle name="20% - Énfasis5 4 2" xfId="526" xr:uid="{EA97436B-952E-4FCD-AF12-E17BF545D808}"/>
    <cellStyle name="20% - Énfasis5 4 2 2" xfId="1015" xr:uid="{51A3D75C-00A6-4294-912A-B30E6EF9ADB3}"/>
    <cellStyle name="20% - Énfasis5 4 3" xfId="769" xr:uid="{8E2CBB4C-D8A3-4AE4-931B-8BE8917636B2}"/>
    <cellStyle name="20% - Énfasis5 5" xfId="405" xr:uid="{399FE2CF-C8AD-4CE4-BF14-7E01BA793803}"/>
    <cellStyle name="20% - Énfasis5 5 2" xfId="892" xr:uid="{EA3A85C2-3F2B-4EB5-886B-001B82C37B48}"/>
    <cellStyle name="20% - Énfasis5 6" xfId="646" xr:uid="{3994F3BB-52AB-4F86-94E8-2CB5D666258E}"/>
    <cellStyle name="20% - Énfasis6" xfId="39" builtinId="50" customBuiltin="1"/>
    <cellStyle name="20% - Énfasis6 2" xfId="173" xr:uid="{2E991352-447A-4145-B227-EFB9E2527CEA}"/>
    <cellStyle name="20% - Énfasis6 2 2" xfId="237" xr:uid="{23ED0037-5DC2-4BCC-A024-A85A956E58F3}"/>
    <cellStyle name="20% - Énfasis6 2 2 2" xfId="364" xr:uid="{0EE82707-8A1D-4108-8ACB-9842BF0031CC}"/>
    <cellStyle name="20% - Énfasis6 2 2 2 2" xfId="618" xr:uid="{D557F793-C3E0-44F5-B82F-F75871664E2E}"/>
    <cellStyle name="20% - Énfasis6 2 2 2 2 2" xfId="1110" xr:uid="{0FB65A95-212F-4608-8A8E-A1432B1ABEAE}"/>
    <cellStyle name="20% - Énfasis6 2 2 2 3" xfId="864" xr:uid="{D615C001-A6DC-4112-B83A-3796B6F57CDD}"/>
    <cellStyle name="20% - Énfasis6 2 2 3" xfId="498" xr:uid="{0701510A-7E0E-4DB9-81D0-2D06F837B6F4}"/>
    <cellStyle name="20% - Énfasis6 2 2 3 2" xfId="987" xr:uid="{7BFFE3A2-889D-4D56-A3D3-D17A6B8E9031}"/>
    <cellStyle name="20% - Énfasis6 2 2 4" xfId="741" xr:uid="{DF245B68-8234-4B9F-809A-01C9544A2E10}"/>
    <cellStyle name="20% - Énfasis6 2 3" xfId="300" xr:uid="{B2067B8F-0F55-4D45-A664-A6C6F6AD1D52}"/>
    <cellStyle name="20% - Énfasis6 2 3 2" xfId="558" xr:uid="{CE82B292-F51B-4537-B8C0-F46A36BCBB01}"/>
    <cellStyle name="20% - Énfasis6 2 3 2 2" xfId="1048" xr:uid="{80B90550-7AD7-4CC1-879D-409BE6457F45}"/>
    <cellStyle name="20% - Énfasis6 2 3 3" xfId="802" xr:uid="{70454196-5B9D-4196-8C32-4FD3E4AD7A49}"/>
    <cellStyle name="20% - Énfasis6 2 4" xfId="438" xr:uid="{F40FDD76-EE9E-40CF-88D8-33E3511AE1AB}"/>
    <cellStyle name="20% - Énfasis6 2 4 2" xfId="925" xr:uid="{CBE70435-CC77-4418-AA5F-4EF43BC1371E}"/>
    <cellStyle name="20% - Énfasis6 2 5" xfId="679" xr:uid="{BD983B38-D828-46FE-A06A-3B86396FCECC}"/>
    <cellStyle name="20% - Énfasis6 3" xfId="204" xr:uid="{88AC7C77-AB9A-428E-9F7A-A368868867AF}"/>
    <cellStyle name="20% - Énfasis6 3 2" xfId="331" xr:uid="{41A36D0E-369A-4962-9AC5-AE775C29FC95}"/>
    <cellStyle name="20% - Énfasis6 3 2 2" xfId="589" xr:uid="{8D53D113-AE63-4213-A51C-6C57BB07D907}"/>
    <cellStyle name="20% - Énfasis6 3 2 2 2" xfId="1079" xr:uid="{F1CB2397-FD1E-42E8-9C9A-A6AF98D91E80}"/>
    <cellStyle name="20% - Énfasis6 3 2 3" xfId="833" xr:uid="{38EEF360-EE55-4C15-8262-F23A1F55BAAE}"/>
    <cellStyle name="20% - Énfasis6 3 3" xfId="469" xr:uid="{FFB23E4B-89FD-4E0F-9B8E-71E0EABB89D6}"/>
    <cellStyle name="20% - Énfasis6 3 3 2" xfId="956" xr:uid="{6F2A0767-EAE4-4D37-93A1-3073421E0CB6}"/>
    <cellStyle name="20% - Énfasis6 3 4" xfId="710" xr:uid="{99328BA6-1540-4679-A3D8-0AB16F5A0F88}"/>
    <cellStyle name="20% - Énfasis6 4" xfId="267" xr:uid="{1AFCF78D-859E-45AC-9B14-FE794515D576}"/>
    <cellStyle name="20% - Énfasis6 4 2" xfId="529" xr:uid="{DE0E39A0-FF18-4F90-A6C8-2BEE4F70325A}"/>
    <cellStyle name="20% - Énfasis6 4 2 2" xfId="1018" xr:uid="{F7465BEE-429B-4476-A946-DC4B1C8CD11B}"/>
    <cellStyle name="20% - Énfasis6 4 3" xfId="772" xr:uid="{61262603-8657-4D42-8853-723968B45896}"/>
    <cellStyle name="20% - Énfasis6 5" xfId="408" xr:uid="{60E31125-FC07-4BAA-9E82-C3BDCC820260}"/>
    <cellStyle name="20% - Énfasis6 5 2" xfId="895" xr:uid="{60B09EFA-83E9-4CF2-94A9-352347CCAF49}"/>
    <cellStyle name="20% - Énfasis6 6" xfId="649" xr:uid="{DF12F2B1-349C-481B-B57E-7536FFB60C47}"/>
    <cellStyle name="40% - Énfasis1" xfId="20" builtinId="31" customBuiltin="1"/>
    <cellStyle name="40% - Énfasis1 2" xfId="159" xr:uid="{5076970D-9B35-441D-8B3F-C4A499C051EB}"/>
    <cellStyle name="40% - Énfasis1 2 2" xfId="223" xr:uid="{DFBC4F4F-827E-4C13-9C32-820ABB6DDC9C}"/>
    <cellStyle name="40% - Énfasis1 2 2 2" xfId="350" xr:uid="{72F3004A-778C-49D5-A542-0485713ADC39}"/>
    <cellStyle name="40% - Énfasis1 2 2 2 2" xfId="604" xr:uid="{BD3D5305-6716-426A-88A7-D57288B6EAF1}"/>
    <cellStyle name="40% - Énfasis1 2 2 2 2 2" xfId="1096" xr:uid="{B96D4F7F-293C-420E-8D9E-8CA296FEDD4B}"/>
    <cellStyle name="40% - Énfasis1 2 2 2 3" xfId="850" xr:uid="{6DC94413-5604-47B4-907D-900634B84211}"/>
    <cellStyle name="40% - Énfasis1 2 2 3" xfId="484" xr:uid="{5F03FE20-D82A-4AA0-830E-4B3F1575454E}"/>
    <cellStyle name="40% - Énfasis1 2 2 3 2" xfId="973" xr:uid="{B331478D-60CC-4F79-B9B0-01E3C408A90C}"/>
    <cellStyle name="40% - Énfasis1 2 2 4" xfId="727" xr:uid="{C806FB82-EA81-4DFE-B035-08FAD339E739}"/>
    <cellStyle name="40% - Énfasis1 2 3" xfId="286" xr:uid="{40BBD290-0BAB-48B6-8C1F-606E6E4ADEEA}"/>
    <cellStyle name="40% - Énfasis1 2 3 2" xfId="544" xr:uid="{F8CFDFC9-4C3F-4825-A2CC-873CE4D8A4F7}"/>
    <cellStyle name="40% - Énfasis1 2 3 2 2" xfId="1034" xr:uid="{5B5BF5A2-7A70-467C-851F-66BB1430E32B}"/>
    <cellStyle name="40% - Énfasis1 2 3 3" xfId="788" xr:uid="{AF6AC372-AF9C-4744-8489-312E4E0607CC}"/>
    <cellStyle name="40% - Énfasis1 2 4" xfId="424" xr:uid="{EEE9F418-B777-4B7D-B504-A56DE584C512}"/>
    <cellStyle name="40% - Énfasis1 2 4 2" xfId="911" xr:uid="{297D79C0-3396-40C2-9001-0789F0F2C222}"/>
    <cellStyle name="40% - Énfasis1 2 5" xfId="665" xr:uid="{5AE6021E-A353-4975-A7DA-79590C824091}"/>
    <cellStyle name="40% - Énfasis1 3" xfId="190" xr:uid="{10970158-958B-460E-A42A-704B092F3BA9}"/>
    <cellStyle name="40% - Énfasis1 3 2" xfId="317" xr:uid="{C9BF82A2-FD33-4E3B-A0D9-029E49290937}"/>
    <cellStyle name="40% - Énfasis1 3 2 2" xfId="575" xr:uid="{E9C50167-6D7E-444D-B4FE-624668327169}"/>
    <cellStyle name="40% - Énfasis1 3 2 2 2" xfId="1065" xr:uid="{EBA7B7F7-8DD0-400D-9E81-4CA0CE57E388}"/>
    <cellStyle name="40% - Énfasis1 3 2 3" xfId="819" xr:uid="{0F329236-6E23-431F-B879-3A5149378169}"/>
    <cellStyle name="40% - Énfasis1 3 3" xfId="455" xr:uid="{721CDDB2-D002-4ED8-9952-50A9A9E248BB}"/>
    <cellStyle name="40% - Énfasis1 3 3 2" xfId="942" xr:uid="{148D2040-A5A0-4BD8-B931-FF4AC61C91C0}"/>
    <cellStyle name="40% - Énfasis1 3 4" xfId="696" xr:uid="{D10AFC03-9F10-474B-9170-2BD6CE0E262B}"/>
    <cellStyle name="40% - Énfasis1 4" xfId="253" xr:uid="{C9E78060-6BE2-403C-8399-61CB028BD4FC}"/>
    <cellStyle name="40% - Énfasis1 4 2" xfId="515" xr:uid="{A7F7880A-CB00-4DB4-8DA3-4490E57BAE32}"/>
    <cellStyle name="40% - Énfasis1 4 2 2" xfId="1004" xr:uid="{0C5A0D7D-5D05-43BC-B5D7-302AC563DBB9}"/>
    <cellStyle name="40% - Énfasis1 4 3" xfId="758" xr:uid="{BCFBEE65-7A78-4764-8BB4-5D8279F1D256}"/>
    <cellStyle name="40% - Énfasis1 5" xfId="394" xr:uid="{52EC7241-4763-48BF-A8E1-A9AD3879C413}"/>
    <cellStyle name="40% - Énfasis1 5 2" xfId="881" xr:uid="{5647DE85-52ED-4739-9193-3CF9DEDD2B2E}"/>
    <cellStyle name="40% - Énfasis1 6" xfId="635" xr:uid="{0F35F586-0061-4DBF-A06E-E24746EDBEDD}"/>
    <cellStyle name="40% - Énfasis2" xfId="24" builtinId="35" customBuiltin="1"/>
    <cellStyle name="40% - Énfasis2 2" xfId="162" xr:uid="{C82B5938-D3E6-4109-AD3A-0A1682DCECA0}"/>
    <cellStyle name="40% - Énfasis2 2 2" xfId="226" xr:uid="{A12105B0-7403-48E1-BB27-4A8CE80074AF}"/>
    <cellStyle name="40% - Énfasis2 2 2 2" xfId="353" xr:uid="{60BD7A33-65E0-4B81-9E38-A17169E35C04}"/>
    <cellStyle name="40% - Énfasis2 2 2 2 2" xfId="607" xr:uid="{11C1F32F-F628-4AFF-B0F2-8567A8B2BC93}"/>
    <cellStyle name="40% - Énfasis2 2 2 2 2 2" xfId="1099" xr:uid="{7128081D-7F01-4205-8542-0F6A64BFFF1B}"/>
    <cellStyle name="40% - Énfasis2 2 2 2 3" xfId="853" xr:uid="{F7AB2EDC-7D2B-4713-B4BF-3C116F800326}"/>
    <cellStyle name="40% - Énfasis2 2 2 3" xfId="487" xr:uid="{427D5AE4-425E-4AEF-B3E0-343CD64DDCB8}"/>
    <cellStyle name="40% - Énfasis2 2 2 3 2" xfId="976" xr:uid="{8EC97673-2C9D-4088-A49B-F2B1E3BFB359}"/>
    <cellStyle name="40% - Énfasis2 2 2 4" xfId="730" xr:uid="{EF4100B5-8E10-445C-BB99-9C435610ADA0}"/>
    <cellStyle name="40% - Énfasis2 2 3" xfId="289" xr:uid="{33A7A464-64A3-492B-B096-228A3361208A}"/>
    <cellStyle name="40% - Énfasis2 2 3 2" xfId="547" xr:uid="{4222D00A-8AC7-4E44-8F0F-DBA8E7766C03}"/>
    <cellStyle name="40% - Énfasis2 2 3 2 2" xfId="1037" xr:uid="{7864437C-C072-4259-BC56-31D8DE30C502}"/>
    <cellStyle name="40% - Énfasis2 2 3 3" xfId="791" xr:uid="{05EBFC31-4743-4B14-83FA-B7834F124F6F}"/>
    <cellStyle name="40% - Énfasis2 2 4" xfId="427" xr:uid="{B876537C-7B18-4429-BA5A-5F1DB788D3F1}"/>
    <cellStyle name="40% - Énfasis2 2 4 2" xfId="914" xr:uid="{1DCFEC06-4558-4199-BDDF-DD21F54F91CE}"/>
    <cellStyle name="40% - Énfasis2 2 5" xfId="668" xr:uid="{86A5AC72-527E-4132-BA04-4F9DB2A0F54F}"/>
    <cellStyle name="40% - Énfasis2 3" xfId="193" xr:uid="{EBD95E7B-65D9-459A-95A4-0EC35A98E10A}"/>
    <cellStyle name="40% - Énfasis2 3 2" xfId="320" xr:uid="{4D104DAA-B820-4E52-B0A8-2F57363B582B}"/>
    <cellStyle name="40% - Énfasis2 3 2 2" xfId="578" xr:uid="{27377DB8-EE56-4679-BEAC-25574156AE67}"/>
    <cellStyle name="40% - Énfasis2 3 2 2 2" xfId="1068" xr:uid="{F0783128-D2B1-4832-B9B2-26D4E4F268CC}"/>
    <cellStyle name="40% - Énfasis2 3 2 3" xfId="822" xr:uid="{68DE6429-2EB1-4AFB-8126-EF34E89BDEFA}"/>
    <cellStyle name="40% - Énfasis2 3 3" xfId="458" xr:uid="{0D19E80C-7039-40CA-9C06-05E03B6A2A81}"/>
    <cellStyle name="40% - Énfasis2 3 3 2" xfId="945" xr:uid="{773615DE-D3DA-44E6-BBE5-6C9A7DD038F6}"/>
    <cellStyle name="40% - Énfasis2 3 4" xfId="699" xr:uid="{91179A1C-8F9C-4445-8926-53E1B2038B94}"/>
    <cellStyle name="40% - Énfasis2 4" xfId="256" xr:uid="{2C191FDC-04EB-4D67-981D-0D4EE16E571C}"/>
    <cellStyle name="40% - Énfasis2 4 2" xfId="518" xr:uid="{2CE3FBE6-99E5-46CB-9A40-6B51908755B4}"/>
    <cellStyle name="40% - Énfasis2 4 2 2" xfId="1007" xr:uid="{3A35DE7A-E0C1-4A36-B948-5ED7851BDB3F}"/>
    <cellStyle name="40% - Énfasis2 4 3" xfId="761" xr:uid="{CEE5FDB3-0227-4A69-B11F-974D96591E06}"/>
    <cellStyle name="40% - Énfasis2 5" xfId="397" xr:uid="{8C65BCD0-71C6-4F9B-955E-7D3C76F122C1}"/>
    <cellStyle name="40% - Énfasis2 5 2" xfId="884" xr:uid="{8C63DC33-27D7-401C-9979-D2F16DE04F0D}"/>
    <cellStyle name="40% - Énfasis2 6" xfId="638" xr:uid="{EB6C004F-9D9D-4C73-8B5A-2BBBD8D01BA2}"/>
    <cellStyle name="40% - Énfasis3" xfId="28" builtinId="39" customBuiltin="1"/>
    <cellStyle name="40% - Énfasis3 2" xfId="165" xr:uid="{DA9E046F-E270-4439-AFE1-077ADE4222B9}"/>
    <cellStyle name="40% - Énfasis3 2 2" xfId="229" xr:uid="{28AAA75E-F82B-4258-B3BC-C2D224ECC977}"/>
    <cellStyle name="40% - Énfasis3 2 2 2" xfId="356" xr:uid="{16850D2C-9156-47EC-B08A-6ABCB28D4E57}"/>
    <cellStyle name="40% - Énfasis3 2 2 2 2" xfId="610" xr:uid="{A6ED3B6A-95A9-4B9E-A1D1-C0B49D008180}"/>
    <cellStyle name="40% - Énfasis3 2 2 2 2 2" xfId="1102" xr:uid="{AFCA1508-059E-41C5-B1B2-83FBB954899A}"/>
    <cellStyle name="40% - Énfasis3 2 2 2 3" xfId="856" xr:uid="{A73F216E-C006-4E58-8E89-EEB73026ACC4}"/>
    <cellStyle name="40% - Énfasis3 2 2 3" xfId="490" xr:uid="{0BC12BC7-88B0-48BC-9B41-EAE23B96B138}"/>
    <cellStyle name="40% - Énfasis3 2 2 3 2" xfId="979" xr:uid="{6010F536-58C2-41A5-BF85-2704160A429F}"/>
    <cellStyle name="40% - Énfasis3 2 2 4" xfId="733" xr:uid="{6F2AA724-0576-4A38-B6BC-B2077AEFD7D0}"/>
    <cellStyle name="40% - Énfasis3 2 3" xfId="292" xr:uid="{4351B7E0-BF30-43C4-8121-BCD08E82CF82}"/>
    <cellStyle name="40% - Énfasis3 2 3 2" xfId="550" xr:uid="{004C7761-77E9-477D-950F-F506FC3C26F3}"/>
    <cellStyle name="40% - Énfasis3 2 3 2 2" xfId="1040" xr:uid="{0BBBE205-80DF-4CBC-AE20-9C4B98F273F0}"/>
    <cellStyle name="40% - Énfasis3 2 3 3" xfId="794" xr:uid="{6C6DC221-81B3-4C0A-A998-82F4B7D13443}"/>
    <cellStyle name="40% - Énfasis3 2 4" xfId="430" xr:uid="{3393C780-426D-4332-BCAC-D2E1DC454898}"/>
    <cellStyle name="40% - Énfasis3 2 4 2" xfId="917" xr:uid="{D3C942F3-4EC1-43D9-A6EC-55839CBD42A0}"/>
    <cellStyle name="40% - Énfasis3 2 5" xfId="671" xr:uid="{94D09CD4-A882-45E8-AC6B-A93C92FCA805}"/>
    <cellStyle name="40% - Énfasis3 3" xfId="196" xr:uid="{033967A8-1419-4214-BD67-13063ACDCD3A}"/>
    <cellStyle name="40% - Énfasis3 3 2" xfId="323" xr:uid="{CB81067C-B525-47BE-B01D-9F006DB63386}"/>
    <cellStyle name="40% - Énfasis3 3 2 2" xfId="581" xr:uid="{C6DBCD07-95F1-42DA-AB7D-9372F8AF2556}"/>
    <cellStyle name="40% - Énfasis3 3 2 2 2" xfId="1071" xr:uid="{AC9595B7-9C05-4325-AD3F-9677CDB4F6AD}"/>
    <cellStyle name="40% - Énfasis3 3 2 3" xfId="825" xr:uid="{541EC6C7-DA0D-4653-9217-0EB1E45839E3}"/>
    <cellStyle name="40% - Énfasis3 3 3" xfId="461" xr:uid="{F2B9605C-7AFF-4B28-878C-5789D26839B0}"/>
    <cellStyle name="40% - Énfasis3 3 3 2" xfId="948" xr:uid="{A753A21C-696E-4C6D-BAE9-2D4C6C69E25C}"/>
    <cellStyle name="40% - Énfasis3 3 4" xfId="702" xr:uid="{56109FA8-DE41-4CD6-B0B8-B0572F32A3CE}"/>
    <cellStyle name="40% - Énfasis3 4" xfId="259" xr:uid="{0DD6ACC7-9E5A-4AFB-AC37-F201C2E1BDD1}"/>
    <cellStyle name="40% - Énfasis3 4 2" xfId="521" xr:uid="{2DA96237-BE27-4AE4-B030-CADB3F0AAED7}"/>
    <cellStyle name="40% - Énfasis3 4 2 2" xfId="1010" xr:uid="{0A93B6E5-6444-4103-9794-783DF81E3368}"/>
    <cellStyle name="40% - Énfasis3 4 3" xfId="764" xr:uid="{BD0BFEF4-6833-4C38-B88F-7424CF9F14F0}"/>
    <cellStyle name="40% - Énfasis3 5" xfId="400" xr:uid="{A936DAFC-2EBC-46D3-B0AA-0D79587E68AC}"/>
    <cellStyle name="40% - Énfasis3 5 2" xfId="887" xr:uid="{BEE301A8-6163-42AE-8F99-2B59CE9F3EF9}"/>
    <cellStyle name="40% - Énfasis3 6" xfId="641" xr:uid="{9921F5B7-4C56-4025-B0D9-7F7956A8A603}"/>
    <cellStyle name="40% - Énfasis4" xfId="32" builtinId="43" customBuiltin="1"/>
    <cellStyle name="40% - Énfasis4 2" xfId="168" xr:uid="{567B13C6-800A-4D19-8623-EA655FD68CCC}"/>
    <cellStyle name="40% - Énfasis4 2 2" xfId="232" xr:uid="{CFBE9C6A-538D-48EB-93B8-4D348D2D0EA9}"/>
    <cellStyle name="40% - Énfasis4 2 2 2" xfId="359" xr:uid="{7E1F5A68-1364-4BBB-9423-D19B649274AD}"/>
    <cellStyle name="40% - Énfasis4 2 2 2 2" xfId="613" xr:uid="{3873FD26-6D84-4CA1-85F4-E7063C06F59B}"/>
    <cellStyle name="40% - Énfasis4 2 2 2 2 2" xfId="1105" xr:uid="{DBEB154A-C87B-4038-9B9E-00C7FCB23607}"/>
    <cellStyle name="40% - Énfasis4 2 2 2 3" xfId="859" xr:uid="{C7D137E3-8462-4C35-8031-87D88285B529}"/>
    <cellStyle name="40% - Énfasis4 2 2 3" xfId="493" xr:uid="{95405DF8-F316-46D9-88D5-A8C93606F906}"/>
    <cellStyle name="40% - Énfasis4 2 2 3 2" xfId="982" xr:uid="{29246907-F057-47AF-90E9-9CEFCC16EA30}"/>
    <cellStyle name="40% - Énfasis4 2 2 4" xfId="736" xr:uid="{EA3EB2E7-BC30-40D9-A65D-5C0638C229BA}"/>
    <cellStyle name="40% - Énfasis4 2 3" xfId="295" xr:uid="{6F82290F-3513-4369-8A25-52481FFAB2D5}"/>
    <cellStyle name="40% - Énfasis4 2 3 2" xfId="553" xr:uid="{7EC920AD-20C5-4705-9CFF-87D38BD219E1}"/>
    <cellStyle name="40% - Énfasis4 2 3 2 2" xfId="1043" xr:uid="{C4622C64-1B91-48F6-95A7-4710A7625142}"/>
    <cellStyle name="40% - Énfasis4 2 3 3" xfId="797" xr:uid="{5FC711F4-9712-4DF1-BD65-620254A10321}"/>
    <cellStyle name="40% - Énfasis4 2 4" xfId="433" xr:uid="{40EC4553-52C9-47B6-91FF-8C21962525A8}"/>
    <cellStyle name="40% - Énfasis4 2 4 2" xfId="920" xr:uid="{816BC6B5-6295-4930-AD46-BF5A86BC4029}"/>
    <cellStyle name="40% - Énfasis4 2 5" xfId="674" xr:uid="{54E648D9-9639-49A4-8633-F688ECAE1F6A}"/>
    <cellStyle name="40% - Énfasis4 3" xfId="199" xr:uid="{A469A2AE-10E1-4F39-B569-732FC3B992F0}"/>
    <cellStyle name="40% - Énfasis4 3 2" xfId="326" xr:uid="{45A3AEA2-042F-450F-9F67-804B5984BC4C}"/>
    <cellStyle name="40% - Énfasis4 3 2 2" xfId="584" xr:uid="{D9E5FBCB-31D7-4A26-BBC8-EAA7CF253037}"/>
    <cellStyle name="40% - Énfasis4 3 2 2 2" xfId="1074" xr:uid="{E13329D8-3A30-4963-9D83-CECA86D75718}"/>
    <cellStyle name="40% - Énfasis4 3 2 3" xfId="828" xr:uid="{A43ADB80-F898-4120-A498-3D9930DD2802}"/>
    <cellStyle name="40% - Énfasis4 3 3" xfId="464" xr:uid="{C8C73F11-1F9C-4480-9E58-BBB764FD8734}"/>
    <cellStyle name="40% - Énfasis4 3 3 2" xfId="951" xr:uid="{1FD649AA-9EAE-4C1B-A5FF-E579C46BE455}"/>
    <cellStyle name="40% - Énfasis4 3 4" xfId="705" xr:uid="{CBD1F502-7969-4765-A36D-1A33AAC35625}"/>
    <cellStyle name="40% - Énfasis4 4" xfId="262" xr:uid="{3C1982E6-AAB6-43AE-A36D-8DBAD8B278FF}"/>
    <cellStyle name="40% - Énfasis4 4 2" xfId="524" xr:uid="{DCFB870A-0D8B-48D0-B8D1-8B9B6975CFE8}"/>
    <cellStyle name="40% - Énfasis4 4 2 2" xfId="1013" xr:uid="{C73D8BCA-BC4F-40B5-A793-3CEDBC6CABA4}"/>
    <cellStyle name="40% - Énfasis4 4 3" xfId="767" xr:uid="{727CEEC0-32D3-4B78-85EA-EB964C0330B7}"/>
    <cellStyle name="40% - Énfasis4 5" xfId="403" xr:uid="{28AFF13F-9AA3-4CBB-8F91-972C0F1A75E1}"/>
    <cellStyle name="40% - Énfasis4 5 2" xfId="890" xr:uid="{C0214B83-BFA0-46D0-91DC-90451C962061}"/>
    <cellStyle name="40% - Énfasis4 6" xfId="644" xr:uid="{01094CA8-BB3C-43D2-9AE6-66D05C34937E}"/>
    <cellStyle name="40% - Énfasis5" xfId="36" builtinId="47" customBuiltin="1"/>
    <cellStyle name="40% - Énfasis5 2" xfId="171" xr:uid="{CF35EDAC-A2EB-4E4C-B2CA-8A884ABB8177}"/>
    <cellStyle name="40% - Énfasis5 2 2" xfId="235" xr:uid="{770F1291-7E8F-4BDE-B8CF-ED3400CE5481}"/>
    <cellStyle name="40% - Énfasis5 2 2 2" xfId="362" xr:uid="{380EBE8C-0EC2-4CEA-B610-E6929BFC7D23}"/>
    <cellStyle name="40% - Énfasis5 2 2 2 2" xfId="616" xr:uid="{F57675FF-C69F-46F2-A2CD-45CB6ED3FBE8}"/>
    <cellStyle name="40% - Énfasis5 2 2 2 2 2" xfId="1108" xr:uid="{5D1646C6-6536-45A1-9A9E-4A47899EDA29}"/>
    <cellStyle name="40% - Énfasis5 2 2 2 3" xfId="862" xr:uid="{CD80E5FE-8996-4375-B254-FCAB6107574B}"/>
    <cellStyle name="40% - Énfasis5 2 2 3" xfId="496" xr:uid="{5A0A176F-B58E-4A2E-86CA-F7C12F426B80}"/>
    <cellStyle name="40% - Énfasis5 2 2 3 2" xfId="985" xr:uid="{700A8D62-57AA-4506-8DC8-C326E513A13C}"/>
    <cellStyle name="40% - Énfasis5 2 2 4" xfId="739" xr:uid="{2DFF3A7C-C98A-4841-B45B-18F53721F753}"/>
    <cellStyle name="40% - Énfasis5 2 3" xfId="298" xr:uid="{BC22B11C-8DAD-495D-B75E-F20E5F297AB7}"/>
    <cellStyle name="40% - Énfasis5 2 3 2" xfId="556" xr:uid="{8137CEB1-64C4-4476-ADB0-DF4DCAC3B98E}"/>
    <cellStyle name="40% - Énfasis5 2 3 2 2" xfId="1046" xr:uid="{6862004C-8158-47A7-AD8F-888E44ED6756}"/>
    <cellStyle name="40% - Énfasis5 2 3 3" xfId="800" xr:uid="{266CE2FF-AC89-4E62-A6B4-61DAA834D31D}"/>
    <cellStyle name="40% - Énfasis5 2 4" xfId="436" xr:uid="{51407C34-7D4D-4487-88F2-63BBBDB4B0A1}"/>
    <cellStyle name="40% - Énfasis5 2 4 2" xfId="923" xr:uid="{BC243EBA-98A8-4628-84AA-7B2E35011DD5}"/>
    <cellStyle name="40% - Énfasis5 2 5" xfId="677" xr:uid="{B22DD1EA-FFC6-4D25-B0E0-A2F670DB90CE}"/>
    <cellStyle name="40% - Énfasis5 3" xfId="202" xr:uid="{EBA60F35-52EA-4C6A-895D-8895331DD55A}"/>
    <cellStyle name="40% - Énfasis5 3 2" xfId="329" xr:uid="{C46A2FBC-99F7-4B9E-8798-0B6FB6218047}"/>
    <cellStyle name="40% - Énfasis5 3 2 2" xfId="587" xr:uid="{06FC0263-6799-496D-9984-C43D90F11748}"/>
    <cellStyle name="40% - Énfasis5 3 2 2 2" xfId="1077" xr:uid="{9BC31B08-2DA0-4022-B794-FBA2FE54882A}"/>
    <cellStyle name="40% - Énfasis5 3 2 3" xfId="831" xr:uid="{5F485CA6-AD0E-4B3B-95D2-68B51FE62C71}"/>
    <cellStyle name="40% - Énfasis5 3 3" xfId="467" xr:uid="{6FB809B5-6183-4942-BDA1-BDD60B802A93}"/>
    <cellStyle name="40% - Énfasis5 3 3 2" xfId="954" xr:uid="{27A86F96-E90A-46A9-84FB-F45433F78E8F}"/>
    <cellStyle name="40% - Énfasis5 3 4" xfId="708" xr:uid="{672C0F38-7B16-40CA-8FF9-401F53A9267B}"/>
    <cellStyle name="40% - Énfasis5 4" xfId="265" xr:uid="{2E948C04-46FD-4133-A237-ACDA28BFC362}"/>
    <cellStyle name="40% - Énfasis5 4 2" xfId="527" xr:uid="{F053BDF9-4C1A-452B-8783-2F0822614352}"/>
    <cellStyle name="40% - Énfasis5 4 2 2" xfId="1016" xr:uid="{6DAF1AFF-53FA-40F1-8368-2BDAE3E20A6B}"/>
    <cellStyle name="40% - Énfasis5 4 3" xfId="770" xr:uid="{FC82A35A-7481-4C85-A33B-7CD7A2A046D1}"/>
    <cellStyle name="40% - Énfasis5 5" xfId="406" xr:uid="{99FA9A17-A307-4C58-BA18-9A726EE44191}"/>
    <cellStyle name="40% - Énfasis5 5 2" xfId="893" xr:uid="{C4D4E754-1FCB-4F25-B376-6EAA3B505176}"/>
    <cellStyle name="40% - Énfasis5 6" xfId="647" xr:uid="{1ED6A6A5-D293-43D1-BE1B-1C6ECD2011BD}"/>
    <cellStyle name="40% - Énfasis6" xfId="40" builtinId="51" customBuiltin="1"/>
    <cellStyle name="40% - Énfasis6 2" xfId="174" xr:uid="{425529DC-7E20-40C3-B69B-404123BEAB65}"/>
    <cellStyle name="40% - Énfasis6 2 2" xfId="238" xr:uid="{BF4AD87C-64AE-4D6A-ACBA-248BB337D1B5}"/>
    <cellStyle name="40% - Énfasis6 2 2 2" xfId="365" xr:uid="{FEFD1FDC-6EE9-49A4-BD91-2F58E6FE1157}"/>
    <cellStyle name="40% - Énfasis6 2 2 2 2" xfId="619" xr:uid="{0426727D-CA36-488A-815D-2215F3D07EDE}"/>
    <cellStyle name="40% - Énfasis6 2 2 2 2 2" xfId="1111" xr:uid="{622E52EA-53D5-46C0-B893-028F54FF039B}"/>
    <cellStyle name="40% - Énfasis6 2 2 2 3" xfId="865" xr:uid="{25F73DEB-27FC-4EB8-A1C3-5548A482BF4C}"/>
    <cellStyle name="40% - Énfasis6 2 2 3" xfId="499" xr:uid="{51CD0DB2-34DD-4229-95CA-4A5B0D944381}"/>
    <cellStyle name="40% - Énfasis6 2 2 3 2" xfId="988" xr:uid="{0815FB76-5077-4C9C-A5B5-85F255C61939}"/>
    <cellStyle name="40% - Énfasis6 2 2 4" xfId="742" xr:uid="{75AA4BAD-2B63-429B-8C18-BCFDD6CCE9FE}"/>
    <cellStyle name="40% - Énfasis6 2 3" xfId="301" xr:uid="{9CFF5D93-CCA2-4C03-A621-8EF2CCDC8279}"/>
    <cellStyle name="40% - Énfasis6 2 3 2" xfId="559" xr:uid="{2FFF1BE6-A5E0-4749-B963-5689F4571260}"/>
    <cellStyle name="40% - Énfasis6 2 3 2 2" xfId="1049" xr:uid="{3A47CDB4-3BC6-4458-BDD3-726B716C817A}"/>
    <cellStyle name="40% - Énfasis6 2 3 3" xfId="803" xr:uid="{53902EF7-11FA-4EDF-B168-EA7A015F30E1}"/>
    <cellStyle name="40% - Énfasis6 2 4" xfId="439" xr:uid="{DBC77E8C-1CBF-4704-A680-520EDF8BF14D}"/>
    <cellStyle name="40% - Énfasis6 2 4 2" xfId="926" xr:uid="{46448882-6DC5-4BF2-8806-3A83D4F2ECDA}"/>
    <cellStyle name="40% - Énfasis6 2 5" xfId="680" xr:uid="{F2011394-313A-4F86-8454-3ABF637C99AD}"/>
    <cellStyle name="40% - Énfasis6 3" xfId="205" xr:uid="{D49AA1C9-4187-4E9E-87E9-08BEB1D9CC15}"/>
    <cellStyle name="40% - Énfasis6 3 2" xfId="332" xr:uid="{6FA34E92-C491-402E-8369-EEC6432E320E}"/>
    <cellStyle name="40% - Énfasis6 3 2 2" xfId="590" xr:uid="{BAEEE490-9649-4696-BDC5-0D06A3D686F4}"/>
    <cellStyle name="40% - Énfasis6 3 2 2 2" xfId="1080" xr:uid="{BACDD560-0209-4B7F-BB1D-3D7A14FB5263}"/>
    <cellStyle name="40% - Énfasis6 3 2 3" xfId="834" xr:uid="{4AF4C2B4-A59F-4A15-91A3-C0251EF01DED}"/>
    <cellStyle name="40% - Énfasis6 3 3" xfId="470" xr:uid="{07201270-ECE4-4736-9910-6164BF761A17}"/>
    <cellStyle name="40% - Énfasis6 3 3 2" xfId="957" xr:uid="{4570F3A4-8880-4D58-86D8-D77EFDCF8C0F}"/>
    <cellStyle name="40% - Énfasis6 3 4" xfId="711" xr:uid="{1F5BE500-BFC1-4837-A2C0-238A64A9EC06}"/>
    <cellStyle name="40% - Énfasis6 4" xfId="268" xr:uid="{CE7D444A-D11F-4AF8-A0B6-01D69C8CC6AB}"/>
    <cellStyle name="40% - Énfasis6 4 2" xfId="530" xr:uid="{121CCF17-884F-42EA-AE50-28E694DE0F81}"/>
    <cellStyle name="40% - Énfasis6 4 2 2" xfId="1019" xr:uid="{3B09D7BA-3DBF-4B5D-9C84-14979C8D8E68}"/>
    <cellStyle name="40% - Énfasis6 4 3" xfId="773" xr:uid="{20B3576A-E469-4143-A95B-1CD2114703D9}"/>
    <cellStyle name="40% - Énfasis6 5" xfId="409" xr:uid="{AEACA68C-A68F-4E25-99A2-E0B77B9E44F9}"/>
    <cellStyle name="40% - Énfasis6 5 2" xfId="896" xr:uid="{ADF9B5CA-947D-44D8-83B0-073A3D8D8D70}"/>
    <cellStyle name="40% - Énfasis6 6" xfId="650" xr:uid="{EE249135-D043-4ACF-ADA1-83E78E05F5B0}"/>
    <cellStyle name="60% - Énfasis1" xfId="21" builtinId="32" customBuiltin="1"/>
    <cellStyle name="60% - Énfasis1 2" xfId="160" xr:uid="{29B69C02-F1E6-4CD8-9892-CEDAC6BAF218}"/>
    <cellStyle name="60% - Énfasis1 2 2" xfId="224" xr:uid="{8DFDFED9-00B9-4BC2-BDB3-6284419F8415}"/>
    <cellStyle name="60% - Énfasis1 2 2 2" xfId="351" xr:uid="{63398F99-788C-45CA-B061-A2CB736418FA}"/>
    <cellStyle name="60% - Énfasis1 2 2 2 2" xfId="605" xr:uid="{355A1688-AA97-4BC1-B0F8-29A0F64F85F0}"/>
    <cellStyle name="60% - Énfasis1 2 2 2 2 2" xfId="1097" xr:uid="{1B44E53C-3CFE-4080-9E83-E513991B0305}"/>
    <cellStyle name="60% - Énfasis1 2 2 2 3" xfId="851" xr:uid="{B2F46A20-9E3B-43EE-ABE4-DC8E7CD78D28}"/>
    <cellStyle name="60% - Énfasis1 2 2 3" xfId="485" xr:uid="{8E0F42AD-2F46-419B-96B8-AE46C6C4E17C}"/>
    <cellStyle name="60% - Énfasis1 2 2 3 2" xfId="974" xr:uid="{AD2211D6-E235-49D3-BAD9-08C5257A4F2D}"/>
    <cellStyle name="60% - Énfasis1 2 2 4" xfId="728" xr:uid="{703B0485-04DE-4A6F-A7F5-9D71D670D6DA}"/>
    <cellStyle name="60% - Énfasis1 2 3" xfId="287" xr:uid="{74FB1BBD-7001-4258-96F2-663D8282E0A9}"/>
    <cellStyle name="60% - Énfasis1 2 3 2" xfId="545" xr:uid="{56C95E33-3720-404B-9900-A94CA955961B}"/>
    <cellStyle name="60% - Énfasis1 2 3 2 2" xfId="1035" xr:uid="{20196831-7521-404B-98B2-65D8A945017B}"/>
    <cellStyle name="60% - Énfasis1 2 3 3" xfId="789" xr:uid="{D29D0867-C925-4ED6-85B8-03D647954BC9}"/>
    <cellStyle name="60% - Énfasis1 2 4" xfId="425" xr:uid="{A5971B50-CFE1-4AC4-8768-DA8E7173FC8C}"/>
    <cellStyle name="60% - Énfasis1 2 4 2" xfId="912" xr:uid="{93E6B6CC-EC4C-4733-81D8-C9F08B48FB53}"/>
    <cellStyle name="60% - Énfasis1 2 5" xfId="666" xr:uid="{25DFBD18-6EE7-4C09-996C-03A3AA90E8FF}"/>
    <cellStyle name="60% - Énfasis1 3" xfId="191" xr:uid="{AC9C1005-E9BB-465C-89D5-A420681F7F58}"/>
    <cellStyle name="60% - Énfasis1 3 2" xfId="318" xr:uid="{58AFF481-0B49-452F-A0BD-B75BCA12D76E}"/>
    <cellStyle name="60% - Énfasis1 3 2 2" xfId="576" xr:uid="{A7BCE9BA-93E9-49B8-BF88-83C02E8470AD}"/>
    <cellStyle name="60% - Énfasis1 3 2 2 2" xfId="1066" xr:uid="{6A0B56CB-EB38-40CE-9D03-569FEF9C13AE}"/>
    <cellStyle name="60% - Énfasis1 3 2 3" xfId="820" xr:uid="{C5A0746B-607C-440C-83BB-0233D67728C7}"/>
    <cellStyle name="60% - Énfasis1 3 3" xfId="456" xr:uid="{EE5F2197-4013-4673-970E-67921461620C}"/>
    <cellStyle name="60% - Énfasis1 3 3 2" xfId="943" xr:uid="{4CC309DC-9057-4129-AD95-231BD0E81799}"/>
    <cellStyle name="60% - Énfasis1 3 4" xfId="697" xr:uid="{D97904A2-A43F-4FD9-B65B-06FAA9F25CAC}"/>
    <cellStyle name="60% - Énfasis1 4" xfId="254" xr:uid="{69CA2C79-8631-4A20-ACEE-0E7EDFF58FF8}"/>
    <cellStyle name="60% - Énfasis1 4 2" xfId="516" xr:uid="{86AC6D39-2B2C-43D1-96C7-97A3D08810E9}"/>
    <cellStyle name="60% - Énfasis1 4 2 2" xfId="1005" xr:uid="{585A5F37-EE27-45B1-B527-A0E64093D7F5}"/>
    <cellStyle name="60% - Énfasis1 4 3" xfId="759" xr:uid="{4C329AE3-D849-426C-BD03-8FD7892D593F}"/>
    <cellStyle name="60% - Énfasis1 5" xfId="395" xr:uid="{8C14388C-A705-4625-8D63-770B7EF7D48F}"/>
    <cellStyle name="60% - Énfasis1 5 2" xfId="882" xr:uid="{C4E44D10-E19C-40E6-BA32-1ADFC5B4E593}"/>
    <cellStyle name="60% - Énfasis1 6" xfId="636" xr:uid="{80959BA0-01BE-4593-AB62-F67BAD5643EE}"/>
    <cellStyle name="60% - Énfasis2" xfId="25" builtinId="36" customBuiltin="1"/>
    <cellStyle name="60% - Énfasis2 2" xfId="163" xr:uid="{880DDAEF-9CFE-49D2-862B-259F27DFCEDD}"/>
    <cellStyle name="60% - Énfasis2 2 2" xfId="227" xr:uid="{3DDBACD7-A6AA-4BBD-84A1-A22F62C19937}"/>
    <cellStyle name="60% - Énfasis2 2 2 2" xfId="354" xr:uid="{A273917D-FFEC-4C96-804C-36D00BB9E629}"/>
    <cellStyle name="60% - Énfasis2 2 2 2 2" xfId="608" xr:uid="{AB12EBB0-A84D-4FBB-A55D-6C59D5116514}"/>
    <cellStyle name="60% - Énfasis2 2 2 2 2 2" xfId="1100" xr:uid="{D7C98C4C-ECC0-4BE5-85A5-D6D6A6FD31B7}"/>
    <cellStyle name="60% - Énfasis2 2 2 2 3" xfId="854" xr:uid="{F1217F18-D5C3-4FA3-9E05-29A60E6358A1}"/>
    <cellStyle name="60% - Énfasis2 2 2 3" xfId="488" xr:uid="{DCA6739B-4D7F-404A-ADA4-67556D9ADF8A}"/>
    <cellStyle name="60% - Énfasis2 2 2 3 2" xfId="977" xr:uid="{32A77934-6BE2-4B8F-B519-234D098330AD}"/>
    <cellStyle name="60% - Énfasis2 2 2 4" xfId="731" xr:uid="{CBCE5778-3DB3-42B0-BB74-14E9B7554591}"/>
    <cellStyle name="60% - Énfasis2 2 3" xfId="290" xr:uid="{A2804233-39A9-4EAD-BCF8-490D4A804776}"/>
    <cellStyle name="60% - Énfasis2 2 3 2" xfId="548" xr:uid="{1CC6C707-CB8F-4C6F-A08D-F9038E2DA274}"/>
    <cellStyle name="60% - Énfasis2 2 3 2 2" xfId="1038" xr:uid="{889E773D-0864-4318-B3A6-1344D0990CE1}"/>
    <cellStyle name="60% - Énfasis2 2 3 3" xfId="792" xr:uid="{B1BD3624-4D72-46F8-B21E-36D2DC72B59A}"/>
    <cellStyle name="60% - Énfasis2 2 4" xfId="428" xr:uid="{B4F940B6-13E7-4E11-907E-E162CD4E6825}"/>
    <cellStyle name="60% - Énfasis2 2 4 2" xfId="915" xr:uid="{9B021512-8F06-4ACD-8DF6-393155C21378}"/>
    <cellStyle name="60% - Énfasis2 2 5" xfId="669" xr:uid="{F00C7D53-909E-4C33-A223-D4D70138F4B4}"/>
    <cellStyle name="60% - Énfasis2 3" xfId="194" xr:uid="{8233D308-E7F5-410C-98FA-4EFA640503C7}"/>
    <cellStyle name="60% - Énfasis2 3 2" xfId="321" xr:uid="{2F8EB7EF-5BC7-4BE9-8A7D-B7CE3C7A9229}"/>
    <cellStyle name="60% - Énfasis2 3 2 2" xfId="579" xr:uid="{388E0C07-DF25-4000-A1DE-8AAF2B1B611C}"/>
    <cellStyle name="60% - Énfasis2 3 2 2 2" xfId="1069" xr:uid="{2926172C-29EE-4329-879F-E5AD02F63CDC}"/>
    <cellStyle name="60% - Énfasis2 3 2 3" xfId="823" xr:uid="{831BA8E4-78BF-4C29-82BB-001FB64F9081}"/>
    <cellStyle name="60% - Énfasis2 3 3" xfId="459" xr:uid="{ED1152F6-FFE8-48F9-A79B-60707AA44D7B}"/>
    <cellStyle name="60% - Énfasis2 3 3 2" xfId="946" xr:uid="{29F8DD96-9160-43F9-A867-15F32EBEB2E6}"/>
    <cellStyle name="60% - Énfasis2 3 4" xfId="700" xr:uid="{E3C9009A-72DD-4613-BAC9-0F8A8E98065C}"/>
    <cellStyle name="60% - Énfasis2 4" xfId="257" xr:uid="{E2A0FFDA-825A-444F-8706-B23C23A8DAEB}"/>
    <cellStyle name="60% - Énfasis2 4 2" xfId="519" xr:uid="{EC168C03-BCF1-498E-8742-55B69F23D2D7}"/>
    <cellStyle name="60% - Énfasis2 4 2 2" xfId="1008" xr:uid="{A638AD45-283A-4D4E-81E9-FA2653A804AD}"/>
    <cellStyle name="60% - Énfasis2 4 3" xfId="762" xr:uid="{246F1F02-FA0F-4559-860D-D65DA7C6F900}"/>
    <cellStyle name="60% - Énfasis2 5" xfId="398" xr:uid="{DD003C85-340C-4B6C-AD86-C955E57930AA}"/>
    <cellStyle name="60% - Énfasis2 5 2" xfId="885" xr:uid="{7A504392-37AC-4687-8C30-F9E469443CF1}"/>
    <cellStyle name="60% - Énfasis2 6" xfId="639" xr:uid="{14CEBFCA-0D7B-4630-A87C-F1312410141D}"/>
    <cellStyle name="60% - Énfasis3" xfId="29" builtinId="40" customBuiltin="1"/>
    <cellStyle name="60% - Énfasis3 2" xfId="166" xr:uid="{777DA2F6-8D59-468F-8F4F-BF8B863304D6}"/>
    <cellStyle name="60% - Énfasis3 2 2" xfId="230" xr:uid="{4AFF2087-0110-47B2-AA34-7C703083EE8B}"/>
    <cellStyle name="60% - Énfasis3 2 2 2" xfId="357" xr:uid="{B2B6D296-8FAF-4BB9-81C5-0E2C1232C115}"/>
    <cellStyle name="60% - Énfasis3 2 2 2 2" xfId="611" xr:uid="{B8E2AB46-F5E9-4049-957A-2095B4A564DB}"/>
    <cellStyle name="60% - Énfasis3 2 2 2 2 2" xfId="1103" xr:uid="{53DA59FA-63C3-43B8-A0D1-8EA4303BFFE1}"/>
    <cellStyle name="60% - Énfasis3 2 2 2 3" xfId="857" xr:uid="{9018FEEE-4EB3-4146-A559-AB932D11DFCD}"/>
    <cellStyle name="60% - Énfasis3 2 2 3" xfId="491" xr:uid="{24F44298-2C01-49E9-9FAE-23283E72F69B}"/>
    <cellStyle name="60% - Énfasis3 2 2 3 2" xfId="980" xr:uid="{A94A4F34-C818-4BD4-8933-64B43F8BC83A}"/>
    <cellStyle name="60% - Énfasis3 2 2 4" xfId="734" xr:uid="{F8EC8337-A61E-421E-9D69-C16B85B55052}"/>
    <cellStyle name="60% - Énfasis3 2 3" xfId="293" xr:uid="{8365AB8E-2605-4C71-8863-FC7E1449F150}"/>
    <cellStyle name="60% - Énfasis3 2 3 2" xfId="551" xr:uid="{CF0FEED7-CE51-44F6-9F87-ED0954EC93DC}"/>
    <cellStyle name="60% - Énfasis3 2 3 2 2" xfId="1041" xr:uid="{4ED48FB2-5829-4D0E-8A93-A9DFA9D1CDDA}"/>
    <cellStyle name="60% - Énfasis3 2 3 3" xfId="795" xr:uid="{C588EFD7-1772-415B-8DAD-AA602020A613}"/>
    <cellStyle name="60% - Énfasis3 2 4" xfId="431" xr:uid="{F4A7CE2F-5990-46E0-A31B-304B02A2E2ED}"/>
    <cellStyle name="60% - Énfasis3 2 4 2" xfId="918" xr:uid="{CCE0B160-01F1-4A55-955E-B6F2B76D7848}"/>
    <cellStyle name="60% - Énfasis3 2 5" xfId="672" xr:uid="{7E4EC3A7-6BF2-4872-8E89-299E839D4EE0}"/>
    <cellStyle name="60% - Énfasis3 3" xfId="197" xr:uid="{CA94F072-20B5-45BD-90EB-3623C29A8AFE}"/>
    <cellStyle name="60% - Énfasis3 3 2" xfId="324" xr:uid="{56A862FC-3109-4A59-98B8-43906B09519F}"/>
    <cellStyle name="60% - Énfasis3 3 2 2" xfId="582" xr:uid="{EF3BA72B-B127-4E60-AE38-4177FF12A077}"/>
    <cellStyle name="60% - Énfasis3 3 2 2 2" xfId="1072" xr:uid="{F1CA417E-3287-44F2-9C87-F73A6F5B5F1C}"/>
    <cellStyle name="60% - Énfasis3 3 2 3" xfId="826" xr:uid="{B7602E7F-E2AF-416E-B4D4-A7A2597E31DB}"/>
    <cellStyle name="60% - Énfasis3 3 3" xfId="462" xr:uid="{87C25763-1C7B-42B2-98ED-2DC34CE21E23}"/>
    <cellStyle name="60% - Énfasis3 3 3 2" xfId="949" xr:uid="{899169BF-CF39-4D33-A9A7-13CD92F7D045}"/>
    <cellStyle name="60% - Énfasis3 3 4" xfId="703" xr:uid="{C2BA4453-F454-457B-A31F-A1437F5AC35D}"/>
    <cellStyle name="60% - Énfasis3 4" xfId="260" xr:uid="{E9CADC58-580B-464F-80F4-9E36AD073B6A}"/>
    <cellStyle name="60% - Énfasis3 4 2" xfId="522" xr:uid="{700BEDA5-6CD5-4C53-883F-4E0DE054EC82}"/>
    <cellStyle name="60% - Énfasis3 4 2 2" xfId="1011" xr:uid="{CEF9F45B-2396-43DE-9D7B-A0AB158CF955}"/>
    <cellStyle name="60% - Énfasis3 4 3" xfId="765" xr:uid="{1CAC4ADA-9851-4F45-864D-9AD0D052EF47}"/>
    <cellStyle name="60% - Énfasis3 5" xfId="401" xr:uid="{EFD66C44-6F3E-4D53-A990-088901B6532A}"/>
    <cellStyle name="60% - Énfasis3 5 2" xfId="888" xr:uid="{7ABA096B-8228-4945-BA1E-5C456B0952C0}"/>
    <cellStyle name="60% - Énfasis3 6" xfId="642" xr:uid="{CA2712FC-81A5-46A0-BD8E-04BECA0C59E7}"/>
    <cellStyle name="60% - Énfasis4" xfId="33" builtinId="44" customBuiltin="1"/>
    <cellStyle name="60% - Énfasis4 2" xfId="169" xr:uid="{2E3B5C5D-3505-455C-B574-7DB51C99D7E9}"/>
    <cellStyle name="60% - Énfasis4 2 2" xfId="233" xr:uid="{18474F67-F7F1-429E-870C-A07476DC645B}"/>
    <cellStyle name="60% - Énfasis4 2 2 2" xfId="360" xr:uid="{BE6F19B2-4782-44D0-8790-AD26182172D7}"/>
    <cellStyle name="60% - Énfasis4 2 2 2 2" xfId="614" xr:uid="{C7339E81-D1D2-4AC8-9862-88A886741466}"/>
    <cellStyle name="60% - Énfasis4 2 2 2 2 2" xfId="1106" xr:uid="{12C495EF-F4B1-486A-9371-B9A0D9EA4FA6}"/>
    <cellStyle name="60% - Énfasis4 2 2 2 3" xfId="860" xr:uid="{64D5812F-6F37-40B0-97B2-60DBBE5AFF6C}"/>
    <cellStyle name="60% - Énfasis4 2 2 3" xfId="494" xr:uid="{C6101976-2078-4234-853D-1181D448EEE6}"/>
    <cellStyle name="60% - Énfasis4 2 2 3 2" xfId="983" xr:uid="{29D973D6-89D1-4AB9-9DBA-DEA8F4DA836D}"/>
    <cellStyle name="60% - Énfasis4 2 2 4" xfId="737" xr:uid="{E0EB49FB-E50B-4942-BD23-911BAA1C9E52}"/>
    <cellStyle name="60% - Énfasis4 2 3" xfId="296" xr:uid="{535C690B-90D3-4AF7-A5EB-0285B3F72894}"/>
    <cellStyle name="60% - Énfasis4 2 3 2" xfId="554" xr:uid="{70339CEA-EC21-4EC9-8522-3D965E714318}"/>
    <cellStyle name="60% - Énfasis4 2 3 2 2" xfId="1044" xr:uid="{B5D92BB5-9CD1-416F-A9AF-7641FFA0A4B8}"/>
    <cellStyle name="60% - Énfasis4 2 3 3" xfId="798" xr:uid="{8B985D42-14AE-4A83-BE1E-598C3C02D537}"/>
    <cellStyle name="60% - Énfasis4 2 4" xfId="434" xr:uid="{C755A8BF-0A40-4654-A47D-C34ADC726F53}"/>
    <cellStyle name="60% - Énfasis4 2 4 2" xfId="921" xr:uid="{2A834EC0-7766-41A7-BC27-1344961134B1}"/>
    <cellStyle name="60% - Énfasis4 2 5" xfId="675" xr:uid="{304D479D-6879-491D-9635-BAE37C2FFF92}"/>
    <cellStyle name="60% - Énfasis4 3" xfId="200" xr:uid="{0D18D8B6-F501-4A55-9657-587EFA663D2C}"/>
    <cellStyle name="60% - Énfasis4 3 2" xfId="327" xr:uid="{72D12E42-277E-433C-B339-847FFAB22497}"/>
    <cellStyle name="60% - Énfasis4 3 2 2" xfId="585" xr:uid="{DB0BEE67-145F-4DE7-AC91-4A34BAC8C31D}"/>
    <cellStyle name="60% - Énfasis4 3 2 2 2" xfId="1075" xr:uid="{1DE21FEF-7E36-47DD-9764-DCC1D46E4FDC}"/>
    <cellStyle name="60% - Énfasis4 3 2 3" xfId="829" xr:uid="{181439E0-44A5-4965-A051-DA2DDC5D5D97}"/>
    <cellStyle name="60% - Énfasis4 3 3" xfId="465" xr:uid="{BC24C66F-9DD1-4B30-AE98-A56F2284C339}"/>
    <cellStyle name="60% - Énfasis4 3 3 2" xfId="952" xr:uid="{5F037390-DE13-4242-8B05-017EF8512767}"/>
    <cellStyle name="60% - Énfasis4 3 4" xfId="706" xr:uid="{4140B242-5F22-4EFA-97C4-2767AF5FF799}"/>
    <cellStyle name="60% - Énfasis4 4" xfId="263" xr:uid="{0D69831F-4C48-4976-8B5E-C52261822286}"/>
    <cellStyle name="60% - Énfasis4 4 2" xfId="525" xr:uid="{1B6CBA9B-6D63-423C-BA31-3819E475856D}"/>
    <cellStyle name="60% - Énfasis4 4 2 2" xfId="1014" xr:uid="{0570018D-538F-4CED-90C6-9B7BC3C24428}"/>
    <cellStyle name="60% - Énfasis4 4 3" xfId="768" xr:uid="{72EAF1BC-92C5-4F3F-9168-E0016172ABBC}"/>
    <cellStyle name="60% - Énfasis4 5" xfId="404" xr:uid="{479E7664-75BC-4574-ACC0-4EFD3D9EACB3}"/>
    <cellStyle name="60% - Énfasis4 5 2" xfId="891" xr:uid="{CAB9FC31-5E0B-41C0-ADAC-865E08F9DF7A}"/>
    <cellStyle name="60% - Énfasis4 6" xfId="645" xr:uid="{B33B2134-5A18-43A5-A8E9-A1DB0DE419AA}"/>
    <cellStyle name="60% - Énfasis5" xfId="37" builtinId="48" customBuiltin="1"/>
    <cellStyle name="60% - Énfasis5 2" xfId="172" xr:uid="{BA5258AC-B638-4C12-BB46-264F058351BD}"/>
    <cellStyle name="60% - Énfasis5 2 2" xfId="236" xr:uid="{73A09758-7B3B-4E44-AF18-8CAFDC1031E7}"/>
    <cellStyle name="60% - Énfasis5 2 2 2" xfId="363" xr:uid="{D7887DBE-C464-4DE0-8B76-769DB753D08B}"/>
    <cellStyle name="60% - Énfasis5 2 2 2 2" xfId="617" xr:uid="{904F8768-C55A-4881-8540-A822819143EC}"/>
    <cellStyle name="60% - Énfasis5 2 2 2 2 2" xfId="1109" xr:uid="{2814BBE3-514C-4433-AE10-E04E863FC371}"/>
    <cellStyle name="60% - Énfasis5 2 2 2 3" xfId="863" xr:uid="{F1BC7E5A-0C79-4A4D-A127-95E9C6BAB095}"/>
    <cellStyle name="60% - Énfasis5 2 2 3" xfId="497" xr:uid="{4AFB020F-C5AC-45F8-A43A-1C25BC56A2D0}"/>
    <cellStyle name="60% - Énfasis5 2 2 3 2" xfId="986" xr:uid="{347CE4BD-3879-40E2-8E30-B2A5972BB529}"/>
    <cellStyle name="60% - Énfasis5 2 2 4" xfId="740" xr:uid="{0639EF0A-8C46-43A3-9926-BEC484210C3E}"/>
    <cellStyle name="60% - Énfasis5 2 3" xfId="299" xr:uid="{1FED1EBA-A362-4BD6-8D6F-A99133CC20D0}"/>
    <cellStyle name="60% - Énfasis5 2 3 2" xfId="557" xr:uid="{D8400F39-E6FD-4E47-A803-5DC294138DFF}"/>
    <cellStyle name="60% - Énfasis5 2 3 2 2" xfId="1047" xr:uid="{0FA35116-8F2E-4765-ABF2-EE4B9A7F2044}"/>
    <cellStyle name="60% - Énfasis5 2 3 3" xfId="801" xr:uid="{AC142D6B-1F30-4105-9778-AFDA07F59441}"/>
    <cellStyle name="60% - Énfasis5 2 4" xfId="437" xr:uid="{4A219657-7739-4870-ADCD-100410EF47E5}"/>
    <cellStyle name="60% - Énfasis5 2 4 2" xfId="924" xr:uid="{F893F76B-6D70-4589-9715-B537B31A4462}"/>
    <cellStyle name="60% - Énfasis5 2 5" xfId="678" xr:uid="{50CF0D00-C26F-4F2F-A2A0-9B01B9A69BA0}"/>
    <cellStyle name="60% - Énfasis5 3" xfId="203" xr:uid="{D35727AA-5FE7-4EA1-939C-F7830A1B6C91}"/>
    <cellStyle name="60% - Énfasis5 3 2" xfId="330" xr:uid="{EAD654A1-99EB-4823-B4B5-53B2F18F9F19}"/>
    <cellStyle name="60% - Énfasis5 3 2 2" xfId="588" xr:uid="{A576EA77-5C46-4C00-B203-192AD4D95148}"/>
    <cellStyle name="60% - Énfasis5 3 2 2 2" xfId="1078" xr:uid="{DDB20D81-07EC-46E8-919F-7A5BB3BA20C8}"/>
    <cellStyle name="60% - Énfasis5 3 2 3" xfId="832" xr:uid="{B360A804-9391-4721-BBDF-7459E3344026}"/>
    <cellStyle name="60% - Énfasis5 3 3" xfId="468" xr:uid="{955804D2-3D94-42DA-9EEF-DDD873EDD884}"/>
    <cellStyle name="60% - Énfasis5 3 3 2" xfId="955" xr:uid="{D7F14BCE-28BD-456A-BDA6-BB2D5DA240D2}"/>
    <cellStyle name="60% - Énfasis5 3 4" xfId="709" xr:uid="{F85904CC-5F4C-47F5-8426-237E5B44FA64}"/>
    <cellStyle name="60% - Énfasis5 4" xfId="266" xr:uid="{9459B068-1C30-42EC-A7FE-B84159603330}"/>
    <cellStyle name="60% - Énfasis5 4 2" xfId="528" xr:uid="{A44BD898-F0DF-423F-A11C-BC9BB4A0AA3E}"/>
    <cellStyle name="60% - Énfasis5 4 2 2" xfId="1017" xr:uid="{BDF2ADCB-AEE1-4F2B-86D1-7298B1E8BF6C}"/>
    <cellStyle name="60% - Énfasis5 4 3" xfId="771" xr:uid="{186200C6-8FD6-4314-814F-5DB22CFF867F}"/>
    <cellStyle name="60% - Énfasis5 5" xfId="407" xr:uid="{471BCDC8-99F1-44D7-93EC-25D616E36A25}"/>
    <cellStyle name="60% - Énfasis5 5 2" xfId="894" xr:uid="{6A081AFD-EE18-4ADA-9ED2-C92FBDF876FE}"/>
    <cellStyle name="60% - Énfasis5 6" xfId="648" xr:uid="{FA3B1618-2081-4AA4-9F79-F5D4910A4238}"/>
    <cellStyle name="60% - Énfasis6" xfId="41" builtinId="52" customBuiltin="1"/>
    <cellStyle name="60% - Énfasis6 2" xfId="175" xr:uid="{ACCD2AC5-97CC-4928-A0F3-E212DF33C367}"/>
    <cellStyle name="60% - Énfasis6 2 2" xfId="239" xr:uid="{B2DBC4B1-9C23-4BDA-A3B8-6E9F35407DCF}"/>
    <cellStyle name="60% - Énfasis6 2 2 2" xfId="366" xr:uid="{508C7F3B-D9F7-4C46-96A2-909C3B688EFD}"/>
    <cellStyle name="60% - Énfasis6 2 2 2 2" xfId="620" xr:uid="{69702034-4C09-4CC0-8044-43B76608E046}"/>
    <cellStyle name="60% - Énfasis6 2 2 2 2 2" xfId="1112" xr:uid="{F3693798-32F3-436D-A17D-9FD350F3DFF7}"/>
    <cellStyle name="60% - Énfasis6 2 2 2 3" xfId="866" xr:uid="{FD6D204B-F369-4C38-B1CD-FDC39A61FB3D}"/>
    <cellStyle name="60% - Énfasis6 2 2 3" xfId="500" xr:uid="{6A552A3C-0204-4BB2-B041-B8D7BEDD9FCF}"/>
    <cellStyle name="60% - Énfasis6 2 2 3 2" xfId="989" xr:uid="{FFE38F37-83B8-43AB-B4DA-B8A6C3ECE132}"/>
    <cellStyle name="60% - Énfasis6 2 2 4" xfId="743" xr:uid="{B491DBF4-8F30-484A-BFC5-626FB2D5279B}"/>
    <cellStyle name="60% - Énfasis6 2 3" xfId="302" xr:uid="{EDDD9C49-78D0-4215-9923-AC9EBF6165FC}"/>
    <cellStyle name="60% - Énfasis6 2 3 2" xfId="560" xr:uid="{644663E2-6DE1-4FC2-99E2-CD0AD7235740}"/>
    <cellStyle name="60% - Énfasis6 2 3 2 2" xfId="1050" xr:uid="{491E290A-3D7A-44D5-AB04-C0A379EFB901}"/>
    <cellStyle name="60% - Énfasis6 2 3 3" xfId="804" xr:uid="{700657CA-18BB-4EA8-BAD1-587E60286598}"/>
    <cellStyle name="60% - Énfasis6 2 4" xfId="440" xr:uid="{74CF5B01-5EEB-4E00-BDB2-6E8F225C80B5}"/>
    <cellStyle name="60% - Énfasis6 2 4 2" xfId="927" xr:uid="{4D62B5C0-1ED9-4711-908A-C745A586D7CB}"/>
    <cellStyle name="60% - Énfasis6 2 5" xfId="681" xr:uid="{F8D6290D-9B49-49A3-91D7-9F74FD41AE16}"/>
    <cellStyle name="60% - Énfasis6 3" xfId="206" xr:uid="{C8E55E1C-4986-4B5B-9E74-E873FF6BC475}"/>
    <cellStyle name="60% - Énfasis6 3 2" xfId="333" xr:uid="{8E884BAE-980D-45D4-89D6-F74009442081}"/>
    <cellStyle name="60% - Énfasis6 3 2 2" xfId="591" xr:uid="{75BCE1D6-1348-4302-AA58-309B1E672269}"/>
    <cellStyle name="60% - Énfasis6 3 2 2 2" xfId="1081" xr:uid="{88B74C90-7426-4F16-8393-9A0206981123}"/>
    <cellStyle name="60% - Énfasis6 3 2 3" xfId="835" xr:uid="{871AB437-C6EF-4E9C-AD34-6D5C54146EA4}"/>
    <cellStyle name="60% - Énfasis6 3 3" xfId="471" xr:uid="{42BB626D-59F7-4C8F-807E-5CAFEFEB7FDA}"/>
    <cellStyle name="60% - Énfasis6 3 3 2" xfId="958" xr:uid="{B91B87BA-F5C6-4016-B037-20FAD998DF42}"/>
    <cellStyle name="60% - Énfasis6 3 4" xfId="712" xr:uid="{24EEED7D-0012-4CA0-A861-922EC463E364}"/>
    <cellStyle name="60% - Énfasis6 4" xfId="269" xr:uid="{F2DC5BD2-640F-4F3E-95BF-7703F179DD21}"/>
    <cellStyle name="60% - Énfasis6 4 2" xfId="531" xr:uid="{806FEC78-25B8-41A6-84DF-7129C89F664F}"/>
    <cellStyle name="60% - Énfasis6 4 2 2" xfId="1020" xr:uid="{AC022A0D-0C32-4CFC-AD0E-81B668132E89}"/>
    <cellStyle name="60% - Énfasis6 4 3" xfId="774" xr:uid="{DB3AF1DA-8114-4DD5-9AA3-6561CAEF27F8}"/>
    <cellStyle name="60% - Énfasis6 5" xfId="410" xr:uid="{95D0DA11-C269-4DF4-A1F8-9A723785DC6D}"/>
    <cellStyle name="60% - Énfasis6 5 2" xfId="897" xr:uid="{692162F2-639C-4C69-BE98-E6A4EEB81FFC}"/>
    <cellStyle name="60% - Énfasis6 6" xfId="651" xr:uid="{9F4A76D1-F344-49C5-8482-3B770CB72559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Hipervínculo 2" xfId="55" xr:uid="{273D4FA1-2D7E-4293-AB97-FA00864ACFBE}"/>
    <cellStyle name="Hipervínculo 2 2" xfId="77" xr:uid="{EC5311B5-AB3A-457C-9F85-E71A34E6C57B}"/>
    <cellStyle name="Hipervínculo 2 5" xfId="71" xr:uid="{8B942026-2CA3-4EB1-9A02-0E4EC53FE2E7}"/>
    <cellStyle name="Hipervínculo 3" xfId="81" xr:uid="{37F6779E-7DC3-4A7E-AC0F-F1E1B529DF8D}"/>
    <cellStyle name="Hipervínculo 4" xfId="152" xr:uid="{044F9C1A-6D6B-4128-B893-707E2E712082}"/>
    <cellStyle name="Hipervínculo 4 2" xfId="387" xr:uid="{91D7F869-871A-40C3-8060-2A7653FD795C}"/>
    <cellStyle name="Hipervínculo 5" xfId="386" xr:uid="{07F2199F-4717-4779-9B11-E5FD99D0236A}"/>
    <cellStyle name="Hipervínculo 6" xfId="69" xr:uid="{DC9E9432-1EF4-4846-9E7C-1B6B2D84BE7F}"/>
    <cellStyle name="Incorrecto" xfId="7" builtinId="27" customBuiltin="1"/>
    <cellStyle name="Millares 10 15 9" xfId="70" xr:uid="{02794DBA-2DC8-4BF7-A6C6-F98D27405055}"/>
    <cellStyle name="Millares 10 15 9 9 2" xfId="50" xr:uid="{EEACAC12-8106-4CF0-AB0A-E298AEF4AD7D}"/>
    <cellStyle name="Millares 10 19 37" xfId="72" xr:uid="{87983960-8E29-432F-8E4B-FC4F1BC1F3BA}"/>
    <cellStyle name="Millares 10 19 37 12" xfId="63" xr:uid="{1819574D-9734-4B54-960A-F56410E1CF47}"/>
    <cellStyle name="Millares 10 19 37 2 5" xfId="62" xr:uid="{6334475D-64D3-4E3D-8E9F-118C207938CB}"/>
    <cellStyle name="Millares 2" xfId="105" xr:uid="{128212BD-94AE-4ABC-8C80-844F5D32475D}"/>
    <cellStyle name="Millares 2 10" xfId="213" xr:uid="{502F1B64-D094-4458-95BD-7B16CB41FEB8}"/>
    <cellStyle name="Millares 2 10 2" xfId="340" xr:uid="{1CC4386A-C053-40E5-9885-579C5296CC28}"/>
    <cellStyle name="Millares 2 10 2 2" xfId="596" xr:uid="{D277AA65-9880-450E-951B-4D1538B072FE}"/>
    <cellStyle name="Millares 2 10 2 2 2" xfId="1087" xr:uid="{E4F1CAA5-3727-49DC-A9B2-E8D44476A062}"/>
    <cellStyle name="Millares 2 10 2 3" xfId="841" xr:uid="{162B8BA1-06C2-445F-AE12-5A7B7C0F1B5D}"/>
    <cellStyle name="Millares 2 10 3" xfId="476" xr:uid="{3F88BAF5-5B58-46B0-90AB-7D065BC1FD2C}"/>
    <cellStyle name="Millares 2 10 3 2" xfId="964" xr:uid="{CAB67417-1DA1-46EA-BE9F-6A662CD8C28F}"/>
    <cellStyle name="Millares 2 10 4" xfId="718" xr:uid="{C720837A-AF08-4EB6-B35C-CC28FF7A2BA0}"/>
    <cellStyle name="Millares 2 11" xfId="276" xr:uid="{CBB3D970-9AD8-4D43-8BE8-815605196D48}"/>
    <cellStyle name="Millares 2 11 2" xfId="536" xr:uid="{2A85D226-AE26-464A-AD08-56CEB0348E44}"/>
    <cellStyle name="Millares 2 11 2 2" xfId="1025" xr:uid="{FEC67723-0B9D-40A8-BF98-AE8F40C8AC7D}"/>
    <cellStyle name="Millares 2 11 3" xfId="779" xr:uid="{BA3A2C4D-8F33-40D7-9EDF-960CEAFD0FA4}"/>
    <cellStyle name="Millares 2 12" xfId="415" xr:uid="{6B7970EF-8A39-4CB9-B737-0DF80DD33867}"/>
    <cellStyle name="Millares 2 12 2" xfId="902" xr:uid="{6FCD9F7A-DAA8-41A4-BA85-E6F857A6B923}"/>
    <cellStyle name="Millares 2 13" xfId="656" xr:uid="{E7FBC776-0D31-45D1-BF55-776EF2EF590F}"/>
    <cellStyle name="Millares 2 2" xfId="76" xr:uid="{A3709899-D800-4464-B574-05E91DF39794}"/>
    <cellStyle name="Millares 2 2 2" xfId="84" xr:uid="{C25DFA55-5F64-4AF7-BE4A-9C2EB951C258}"/>
    <cellStyle name="Millares 2 2 2 2" xfId="89" xr:uid="{897EE3C8-1BDB-4550-AE7D-023A23B11B70}"/>
    <cellStyle name="Millares 2 2 2 2 2" xfId="135" xr:uid="{DE83B261-BC98-4C4C-B485-7FE307F2AF88}"/>
    <cellStyle name="Millares 2 2 2 3" xfId="146" xr:uid="{841C5A2A-F0B8-48A4-923B-3CF54C9DF4B3}"/>
    <cellStyle name="Millares 2 2 2 4" xfId="129" xr:uid="{9E951C5A-0BF8-417A-BACC-0C792B34C025}"/>
    <cellStyle name="Millares 2 2 3" xfId="86" xr:uid="{579D09C0-6CB9-48D3-B375-80DC41511790}"/>
    <cellStyle name="Millares 2 2 3 2" xfId="125" xr:uid="{24AE4D4C-0AB9-4FE1-8B49-0EDC3C5F7CD0}"/>
    <cellStyle name="Millares 2 2 4" xfId="131" xr:uid="{A8E9EAAA-346B-4072-A72C-E383EE2DAC88}"/>
    <cellStyle name="Millares 2 2 5" xfId="142" xr:uid="{70500AB8-6D95-4C98-A5FD-175A4930CD00}"/>
    <cellStyle name="Millares 2 2 6" xfId="120" xr:uid="{93D93467-BFE5-44B8-9426-27199C7B188D}"/>
    <cellStyle name="Millares 2 3" xfId="127" xr:uid="{00D1F311-5FE0-4A02-AE14-0BAFC013FF9A}"/>
    <cellStyle name="Millares 2 3 2" xfId="133" xr:uid="{EAAD6A22-A111-4F90-8583-B5F62377A691}"/>
    <cellStyle name="Millares 2 3 3" xfId="144" xr:uid="{7CF334E6-F595-4017-BB43-4CD1F6C67BC5}"/>
    <cellStyle name="Millares 2 4" xfId="123" xr:uid="{4C3E7CDC-2A9E-4576-9EC7-9644F3BF53F9}"/>
    <cellStyle name="Millares 2 5" xfId="114" xr:uid="{101F64EA-E64D-4278-B3BD-0064F51CD9A6}"/>
    <cellStyle name="Millares 2 6" xfId="138" xr:uid="{5567B151-EB4C-43FD-807D-FB87B309ED82}"/>
    <cellStyle name="Millares 2 7" xfId="136" xr:uid="{68720B4C-371E-4ED0-BA2B-15B513A3CC23}"/>
    <cellStyle name="Millares 2 7 2" xfId="184" xr:uid="{7DB380B0-D4A0-470F-A3C0-BC66DCC6FCDC}"/>
    <cellStyle name="Millares 2 7 2 2" xfId="247" xr:uid="{43D3298D-138B-481A-BFE2-1B702565A0C3}"/>
    <cellStyle name="Millares 2 7 2 2 2" xfId="375" xr:uid="{EC5904EA-B363-4F6D-84A3-E78BC834676F}"/>
    <cellStyle name="Millares 2 7 2 2 2 2" xfId="631" xr:uid="{F1FC59C7-BF87-4FA7-86E1-4DA4A93EDF9E}"/>
    <cellStyle name="Millares 2 7 2 2 2 2 2" xfId="1123" xr:uid="{A04A188E-9416-47F2-BE97-BAA42A3C351E}"/>
    <cellStyle name="Millares 2 7 2 2 2 3" xfId="877" xr:uid="{581A302F-A0F0-4F80-AB80-998328933EE6}"/>
    <cellStyle name="Millares 2 7 2 2 3" xfId="511" xr:uid="{678A53E3-A02C-422E-A0D2-E0DCF91ACD34}"/>
    <cellStyle name="Millares 2 7 2 2 3 2" xfId="1000" xr:uid="{9D224CC9-6A19-467F-983E-1E0CE98D06EC}"/>
    <cellStyle name="Millares 2 7 2 2 4" xfId="754" xr:uid="{0926E5A7-3230-4464-AC91-011E26D826F8}"/>
    <cellStyle name="Millares 2 7 2 3" xfId="311" xr:uid="{3EEE9891-6AA1-4B06-9939-008EEEA8F550}"/>
    <cellStyle name="Millares 2 7 2 3 2" xfId="571" xr:uid="{1912D9A8-6F66-40A2-9D32-4C7E351CB147}"/>
    <cellStyle name="Millares 2 7 2 3 2 2" xfId="1061" xr:uid="{5D8ED393-355B-44D6-B8FA-7DB8419F5EC0}"/>
    <cellStyle name="Millares 2 7 2 3 3" xfId="815" xr:uid="{2C23B8BF-8B4C-485B-B101-AD4008E64765}"/>
    <cellStyle name="Millares 2 7 2 4" xfId="451" xr:uid="{21F97D4D-D8A9-4C44-A229-EA894D0B49BF}"/>
    <cellStyle name="Millares 2 7 2 4 2" xfId="938" xr:uid="{4C8262F9-0B46-4545-B07A-8A50366E5129}"/>
    <cellStyle name="Millares 2 7 2 5" xfId="692" xr:uid="{90A43F3F-97B0-47F8-A8A9-B4AAD89DBFAD}"/>
    <cellStyle name="Millares 2 7 3" xfId="218" xr:uid="{AEDA33E3-27F9-41A9-9E6E-C9B70CBDFE95}"/>
    <cellStyle name="Millares 2 7 3 2" xfId="345" xr:uid="{72D0B428-1E73-4417-A60D-8266BF484C51}"/>
    <cellStyle name="Millares 2 7 3 2 2" xfId="600" xr:uid="{AF4B79FE-10BC-44D3-A20A-2CF3B5AB4392}"/>
    <cellStyle name="Millares 2 7 3 2 2 2" xfId="1092" xr:uid="{1A24331D-6911-4864-AD4B-6879992EDA18}"/>
    <cellStyle name="Millares 2 7 3 2 3" xfId="846" xr:uid="{6892046F-5F56-4239-A8C4-ED34D51370E8}"/>
    <cellStyle name="Millares 2 7 3 3" xfId="480" xr:uid="{48BE7D3A-89EA-4150-A0E6-EC06A67F8556}"/>
    <cellStyle name="Millares 2 7 3 3 2" xfId="969" xr:uid="{FF8BDD34-B136-44E2-9BFF-2850396B6993}"/>
    <cellStyle name="Millares 2 7 3 4" xfId="723" xr:uid="{45DDED38-A2F9-4E14-B1EB-5C6B13E6728B}"/>
    <cellStyle name="Millares 2 7 4" xfId="281" xr:uid="{4B82C87A-1E6B-4E82-A702-E89923780FED}"/>
    <cellStyle name="Millares 2 7 4 2" xfId="540" xr:uid="{456C4D99-E286-4F49-90D5-B10BB974ADF6}"/>
    <cellStyle name="Millares 2 7 4 2 2" xfId="1030" xr:uid="{32F61B95-BF5F-4225-97C5-99A2D7AFAE2F}"/>
    <cellStyle name="Millares 2 7 4 3" xfId="784" xr:uid="{76442B9B-1827-4DFA-9CDF-6AED4334EBA2}"/>
    <cellStyle name="Millares 2 7 5" xfId="420" xr:uid="{791B35AB-3654-4057-8823-9BB3E5B42B42}"/>
    <cellStyle name="Millares 2 7 5 2" xfId="907" xr:uid="{9A01B690-59AF-43AB-AB3E-6396EB905C71}"/>
    <cellStyle name="Millares 2 7 6" xfId="661" xr:uid="{94D7FF39-9C6C-4AAA-A6F6-AA2EDD2D6A84}"/>
    <cellStyle name="Millares 2 8" xfId="140" xr:uid="{E62293A7-F84F-478F-888D-F52224A4F3E3}"/>
    <cellStyle name="Millares 2 9" xfId="179" xr:uid="{771E4E08-260A-4A4A-9DDD-1252892E2C00}"/>
    <cellStyle name="Millares 2 9 2" xfId="243" xr:uid="{22404B51-473F-45B0-B392-C78812C0D4A5}"/>
    <cellStyle name="Millares 2 9 2 2" xfId="370" xr:uid="{9721B34A-255F-4CB0-93EF-1ED6E6DC0725}"/>
    <cellStyle name="Millares 2 9 2 2 2" xfId="626" xr:uid="{9D087B06-6200-4E61-9C40-CAE74A7A0D4F}"/>
    <cellStyle name="Millares 2 9 2 2 2 2" xfId="1118" xr:uid="{BEA226D0-C971-40FB-949D-02ECB57C6625}"/>
    <cellStyle name="Millares 2 9 2 2 3" xfId="872" xr:uid="{F3139A25-7167-474E-95B7-A7C5BEDDD1B8}"/>
    <cellStyle name="Millares 2 9 2 3" xfId="506" xr:uid="{983BC3E4-A523-431F-BC2F-0B40B1122D7A}"/>
    <cellStyle name="Millares 2 9 2 3 2" xfId="995" xr:uid="{08D38B37-0C2F-4E6D-9FA5-3B402ABD7973}"/>
    <cellStyle name="Millares 2 9 2 4" xfId="749" xr:uid="{8CB5C9DC-6F7D-4C23-B703-66E9D5FB76AE}"/>
    <cellStyle name="Millares 2 9 3" xfId="306" xr:uid="{7A3C5F4D-2862-4DE0-98F9-8FC8B0C6707F}"/>
    <cellStyle name="Millares 2 9 3 2" xfId="566" xr:uid="{A54906A3-8E77-423C-9E4B-D42774B23723}"/>
    <cellStyle name="Millares 2 9 3 2 2" xfId="1056" xr:uid="{99448D85-20AE-44A7-B6A9-E513E7CC91F0}"/>
    <cellStyle name="Millares 2 9 3 3" xfId="810" xr:uid="{1DD5ACC9-5BF0-403B-A827-AB65C7B9918F}"/>
    <cellStyle name="Millares 2 9 4" xfId="446" xr:uid="{C0DA2B5E-18B5-438B-9697-0ECFAE58C24A}"/>
    <cellStyle name="Millares 2 9 4 2" xfId="933" xr:uid="{DBA67DC1-ADF2-4C6B-B06C-1E7F0ABBF750}"/>
    <cellStyle name="Millares 2 9 5" xfId="687" xr:uid="{B26E7BA9-76F6-4ACD-9ABC-043329A39670}"/>
    <cellStyle name="Millares 3" xfId="106" xr:uid="{C9FFCE58-1480-4DDB-9B07-0B7141FCE4F0}"/>
    <cellStyle name="Millares 3 10" xfId="416" xr:uid="{9839BF61-FB0D-4364-A437-B0CECF62B07A}"/>
    <cellStyle name="Millares 3 10 2" xfId="903" xr:uid="{2F57A506-550F-470B-99B1-225C5D0E0900}"/>
    <cellStyle name="Millares 3 11" xfId="657" xr:uid="{80D34B67-AF15-481D-BC63-9773922B9521}"/>
    <cellStyle name="Millares 3 2" xfId="119" xr:uid="{8B854BEC-9356-4EF6-9FB7-43D7251F3E69}"/>
    <cellStyle name="Millares 3 2 2" xfId="128" xr:uid="{3D6FD361-BD97-4F7B-990E-3DCE1B88B1B1}"/>
    <cellStyle name="Millares 3 2 2 2" xfId="134" xr:uid="{B03D5740-5776-456A-923E-E7CB451D8227}"/>
    <cellStyle name="Millares 3 2 2 3" xfId="145" xr:uid="{A79AF733-A818-4A4F-8533-31FD0F3D76E7}"/>
    <cellStyle name="Millares 3 2 3" xfId="124" xr:uid="{77F3CC75-F0BE-4E8F-8C0C-BD02A89E201D}"/>
    <cellStyle name="Millares 3 2 4" xfId="130" xr:uid="{C48E29E2-389C-4C58-A49A-8D23495D71B7}"/>
    <cellStyle name="Millares 3 2 5" xfId="141" xr:uid="{69328CA3-2264-48D9-BBDA-505AFCEA4B43}"/>
    <cellStyle name="Millares 3 3" xfId="126" xr:uid="{EEF13962-9A58-4415-8FB3-E16F4483E4B0}"/>
    <cellStyle name="Millares 3 3 2" xfId="132" xr:uid="{48FB080A-C433-4359-9056-FA165989C073}"/>
    <cellStyle name="Millares 3 3 3" xfId="143" xr:uid="{B4EF7CBC-A883-4F7F-86F3-BE51B0A055DF}"/>
    <cellStyle name="Millares 3 4" xfId="122" xr:uid="{1FC6C6BA-0425-4FEB-981A-02C021DF2320}"/>
    <cellStyle name="Millares 3 5" xfId="113" xr:uid="{22B0C267-A6FA-4D9A-98D2-011E25B3804B}"/>
    <cellStyle name="Millares 3 6" xfId="139" xr:uid="{E49BDFC9-D60D-46F8-A517-7A875A6C6291}"/>
    <cellStyle name="Millares 3 7" xfId="180" xr:uid="{F86EC1D4-2CE9-4B32-8105-6BFA1074CA9F}"/>
    <cellStyle name="Millares 3 7 2" xfId="244" xr:uid="{115C8B18-9C39-4337-A997-429331D1A3D3}"/>
    <cellStyle name="Millares 3 7 2 2" xfId="371" xr:uid="{0F02E890-AF35-4DC5-8DF8-745B9C09EA72}"/>
    <cellStyle name="Millares 3 7 2 2 2" xfId="627" xr:uid="{78A02BD4-50C9-42DC-AEAA-4E5A50B5B6CF}"/>
    <cellStyle name="Millares 3 7 2 2 2 2" xfId="1119" xr:uid="{35BE116E-2635-4A60-8891-CAF25C40C278}"/>
    <cellStyle name="Millares 3 7 2 2 3" xfId="873" xr:uid="{EE1A908D-C1CF-48AB-BA30-3CBBEBF21FC3}"/>
    <cellStyle name="Millares 3 7 2 3" xfId="507" xr:uid="{F1F7F34D-6176-4469-B2BC-74487E8C54B5}"/>
    <cellStyle name="Millares 3 7 2 3 2" xfId="996" xr:uid="{18B1B0F0-D77F-4B04-9535-7553A2980830}"/>
    <cellStyle name="Millares 3 7 2 4" xfId="750" xr:uid="{0E195158-92AA-42B0-BC4C-558CD3445269}"/>
    <cellStyle name="Millares 3 7 3" xfId="307" xr:uid="{48E3ACC4-7256-430E-A3F7-95B81F74AE36}"/>
    <cellStyle name="Millares 3 7 3 2" xfId="567" xr:uid="{2CE43722-011C-49C9-876B-745ED87C7616}"/>
    <cellStyle name="Millares 3 7 3 2 2" xfId="1057" xr:uid="{2CAF5D08-2C7B-4BAC-ABF3-5277C676C6C5}"/>
    <cellStyle name="Millares 3 7 3 3" xfId="811" xr:uid="{630F8365-238F-46CA-800F-C9492B07D993}"/>
    <cellStyle name="Millares 3 7 4" xfId="447" xr:uid="{8EE52CA5-1185-4B1B-A844-2051EE9F3E3E}"/>
    <cellStyle name="Millares 3 7 4 2" xfId="934" xr:uid="{259D8683-192D-4138-98E8-2FEFC6C66046}"/>
    <cellStyle name="Millares 3 7 5" xfId="688" xr:uid="{B8A1F5E3-8FEB-4C2F-9CB2-A161BF9284D5}"/>
    <cellStyle name="Millares 3 8" xfId="214" xr:uid="{2F9C2B5E-EAEA-4A35-A271-74253623C346}"/>
    <cellStyle name="Millares 3 8 2" xfId="341" xr:uid="{C5DF0B52-C99E-4361-80E0-9C35FB5E4FC5}"/>
    <cellStyle name="Millares 3 8 2 2" xfId="597" xr:uid="{247DCB84-FE23-4BB3-A458-70B59F40FEE6}"/>
    <cellStyle name="Millares 3 8 2 2 2" xfId="1088" xr:uid="{844AB0F1-1359-4912-88B9-B89DC07D23CC}"/>
    <cellStyle name="Millares 3 8 2 3" xfId="842" xr:uid="{3C501ADF-2553-4E5D-9D8A-D9871D6F0908}"/>
    <cellStyle name="Millares 3 8 3" xfId="477" xr:uid="{4E9051DE-AAF3-4D66-B668-6AA66769160A}"/>
    <cellStyle name="Millares 3 8 3 2" xfId="965" xr:uid="{BDB519A0-6B59-4444-90AB-8A29B84978E4}"/>
    <cellStyle name="Millares 3 8 4" xfId="719" xr:uid="{C5C92018-137E-4C92-9625-7FEB6A3BEA74}"/>
    <cellStyle name="Millares 3 9" xfId="277" xr:uid="{8E049866-64D4-4908-B95A-18383782DDEA}"/>
    <cellStyle name="Millares 3 9 2" xfId="537" xr:uid="{4F0B95E3-51EA-465A-933C-20FBD18F61C8}"/>
    <cellStyle name="Millares 3 9 2 2" xfId="1026" xr:uid="{8A6FDEE3-21C7-4DDF-B6BA-FC50607A9596}"/>
    <cellStyle name="Millares 3 9 3" xfId="780" xr:uid="{B50B8394-7D93-4597-B55A-05A419C66151}"/>
    <cellStyle name="Millares 39" xfId="78" xr:uid="{1A250681-0B50-41A1-971C-526576321923}"/>
    <cellStyle name="Millares 39 2" xfId="49" xr:uid="{5BC4C29A-D2CD-490F-8521-828D6D51F661}"/>
    <cellStyle name="Millares 4" xfId="137" xr:uid="{D89183AA-2181-43FE-BAF2-451E0702DCB1}"/>
    <cellStyle name="Millares 4 2" xfId="185" xr:uid="{925034BF-873F-442B-8DF6-EDB2D7212314}"/>
    <cellStyle name="Millares 4 2 2" xfId="248" xr:uid="{F991F634-DFD5-44C7-BD4B-D40ABFE371FC}"/>
    <cellStyle name="Millares 4 2 2 2" xfId="376" xr:uid="{12107DF4-67BA-4626-9A2A-67C488CD0259}"/>
    <cellStyle name="Millares 4 2 2 2 2" xfId="632" xr:uid="{0CCC3E19-2942-45BF-9F06-56FCB73AFA77}"/>
    <cellStyle name="Millares 4 2 2 2 2 2" xfId="1124" xr:uid="{34E80144-D731-4EB2-BCF3-E95751079DE1}"/>
    <cellStyle name="Millares 4 2 2 2 3" xfId="878" xr:uid="{51C5192B-A292-4D6D-BED5-4F600D9FC5C8}"/>
    <cellStyle name="Millares 4 2 2 3" xfId="512" xr:uid="{7976E255-2FBB-4D42-AB48-E9D639BC7A0E}"/>
    <cellStyle name="Millares 4 2 2 3 2" xfId="1001" xr:uid="{FFC71AEA-864A-4134-AA78-0BBACD900571}"/>
    <cellStyle name="Millares 4 2 2 4" xfId="755" xr:uid="{B6AC80D5-991C-48A2-B347-98BC5CFC11AF}"/>
    <cellStyle name="Millares 4 2 3" xfId="312" xr:uid="{96C9213B-FA7C-4B2A-9DA4-0D7768AADD12}"/>
    <cellStyle name="Millares 4 2 3 2" xfId="572" xr:uid="{9E2058C3-1134-4B71-B7E6-9099EAB1B10B}"/>
    <cellStyle name="Millares 4 2 3 2 2" xfId="1062" xr:uid="{28A0AD34-FCDE-474B-B968-E041735F413F}"/>
    <cellStyle name="Millares 4 2 3 3" xfId="816" xr:uid="{8CC4DE31-DFC9-4D89-BB56-D0901D656CC1}"/>
    <cellStyle name="Millares 4 2 4" xfId="452" xr:uid="{89628267-AEF8-47BF-98A8-98380E4BFD07}"/>
    <cellStyle name="Millares 4 2 4 2" xfId="939" xr:uid="{E294785F-3E1A-43FE-A383-8B8DA718F649}"/>
    <cellStyle name="Millares 4 2 5" xfId="693" xr:uid="{26BC9B58-3026-455E-BF0C-7F49FCC9646C}"/>
    <cellStyle name="Millares 4 3" xfId="219" xr:uid="{EADFE6D7-F8D2-4535-9320-6244C4A1074A}"/>
    <cellStyle name="Millares 4 3 2" xfId="346" xr:uid="{942FC872-6C4E-4C75-8A30-70025292C2E6}"/>
    <cellStyle name="Millares 4 3 2 2" xfId="601" xr:uid="{AFEC8129-7161-49D4-8901-4C1BAAFE41A9}"/>
    <cellStyle name="Millares 4 3 2 2 2" xfId="1093" xr:uid="{A1B32323-0923-48AD-9882-7B8BC7BCC877}"/>
    <cellStyle name="Millares 4 3 2 3" xfId="847" xr:uid="{7D5B6C9B-5AFB-44C4-AA09-0311395D1CD1}"/>
    <cellStyle name="Millares 4 3 3" xfId="481" xr:uid="{4B520174-9B7A-47F9-BAC9-E8BD7D6C9647}"/>
    <cellStyle name="Millares 4 3 3 2" xfId="970" xr:uid="{4BCDC855-1E76-45ED-A9E8-AF3EAF10A717}"/>
    <cellStyle name="Millares 4 3 4" xfId="724" xr:uid="{64F19CF5-E2B1-4C05-8CC6-B2C1027936D9}"/>
    <cellStyle name="Millares 4 4" xfId="282" xr:uid="{39A5DA02-D4FC-4F6F-ACE8-D28BD38C877D}"/>
    <cellStyle name="Millares 4 4 2" xfId="541" xr:uid="{9E685DF9-8772-4F99-8ECA-764621CFF78A}"/>
    <cellStyle name="Millares 4 4 2 2" xfId="1031" xr:uid="{398E6B5E-1B68-460B-8173-070CC3BEB0D4}"/>
    <cellStyle name="Millares 4 4 3" xfId="785" xr:uid="{A98CC815-5A07-4C47-8968-D3B1E2E4A428}"/>
    <cellStyle name="Millares 4 5" xfId="421" xr:uid="{E88A586B-3EDF-4AD0-8503-FC1E985AABAB}"/>
    <cellStyle name="Millares 4 5 2" xfId="908" xr:uid="{1D40F975-3BD7-467A-965F-5BB08CDD3A3E}"/>
    <cellStyle name="Millares 4 6" xfId="662" xr:uid="{FFD7D08D-0B52-43F9-903B-AC1ACACAB574}"/>
    <cellStyle name="Millares 5" xfId="381" xr:uid="{EB127C76-0017-4ACE-B0F1-430AFBD68CE3}"/>
    <cellStyle name="Millares 5 2" xfId="383" xr:uid="{7FFF53EC-8C59-47D6-8A41-B0C3E6181F08}"/>
    <cellStyle name="Millares 5 3" xfId="385" xr:uid="{B5E5AE47-0C63-4A1B-9F55-8EC30D372F86}"/>
    <cellStyle name="Millares 6" xfId="382" xr:uid="{5352F085-89F9-4C09-814B-6A74FBADF7A3}"/>
    <cellStyle name="Millares 6 2" xfId="384" xr:uid="{0D6F690D-6C5D-4238-BAF1-9520646A4F63}"/>
    <cellStyle name="Moneda 2" xfId="79" xr:uid="{D7907F59-7EB3-4013-8938-A04AE3ECD759}"/>
    <cellStyle name="Moneda 2 2" xfId="85" xr:uid="{FD7480F4-453F-4A3B-9A17-5D20239A9773}"/>
    <cellStyle name="Moneda 2 2 2" xfId="90" xr:uid="{581452BC-5868-4966-A2CE-D5767CD943B7}"/>
    <cellStyle name="Moneda 2 3" xfId="87" xr:uid="{B8059E89-0485-452A-A688-AA62FA47D79B}"/>
    <cellStyle name="Moneda 2 4" xfId="115" xr:uid="{0399180A-CE9A-4DB2-9D71-1E1C71D3083C}"/>
    <cellStyle name="Moneda 3" xfId="83" xr:uid="{508A4732-FA1B-4019-8AE6-D5A6D3C69243}"/>
    <cellStyle name="Moneda 3 2" xfId="88" xr:uid="{BDB1ECD5-DF72-4FF9-B752-573995AE0570}"/>
    <cellStyle name="Moneda 4" xfId="91" xr:uid="{CC9D786C-AF95-4B35-A7A5-2C474554C79B}"/>
    <cellStyle name="Neutral" xfId="8" builtinId="28" customBuiltin="1"/>
    <cellStyle name="Normal" xfId="0" builtinId="0"/>
    <cellStyle name="Normal 10" xfId="93" xr:uid="{83136CA3-B31B-4364-843D-15C6F4CBC6CB}"/>
    <cellStyle name="Normal 10 2" xfId="60" xr:uid="{96ECC363-1F2B-44C2-8811-012968807CE5}"/>
    <cellStyle name="Normal 104" xfId="45" xr:uid="{D4D7E178-E1D7-47A5-9377-FB96D0F52C57}"/>
    <cellStyle name="Normal 104 5" xfId="1126" xr:uid="{E7A05C01-EA71-5640-8C8F-33D050E2468C}"/>
    <cellStyle name="Normal 104 8" xfId="53" xr:uid="{7E450BE3-3391-49B3-8EBC-F4B442F48BDA}"/>
    <cellStyle name="Normal 11" xfId="380" xr:uid="{CA68F34E-E19D-435F-8F77-CB080B4047DB}"/>
    <cellStyle name="Normal 13" xfId="94" xr:uid="{06A05D30-064E-4CF0-A6CF-931B2087AEDC}"/>
    <cellStyle name="Normal 14" xfId="96" xr:uid="{814E3BCC-E63F-400F-8D3F-5E097E87C6B1}"/>
    <cellStyle name="Normal 15" xfId="95" xr:uid="{7AC2F686-342A-4BEE-84AF-69E4D6AB0A37}"/>
    <cellStyle name="Normal 18" xfId="43" xr:uid="{CAAA0A2F-8C41-4189-BB0D-2020FFE86E00}"/>
    <cellStyle name="Normal 18 2" xfId="51" xr:uid="{7592089E-C472-4108-BCE6-CDA5DDF2510D}"/>
    <cellStyle name="Normal 18 2 2" xfId="74" xr:uid="{BFF72E5D-E4E5-4463-ABD8-2B5D1E070666}"/>
    <cellStyle name="Normal 2" xfId="64" xr:uid="{39B53A27-DD06-4E2D-91E3-3DDA1093E24F}"/>
    <cellStyle name="Normal 2 10" xfId="154" xr:uid="{A2388941-918E-4E71-B865-03453957C16A}"/>
    <cellStyle name="Normal 2 10 2" xfId="208" xr:uid="{0E107E4B-B44E-4166-BAFE-AF80A3B5B308}"/>
    <cellStyle name="Normal 2 10 2 2" xfId="335" xr:uid="{2F42467F-365B-468E-AD46-25FD518C2FE3}"/>
    <cellStyle name="Normal 2 10 2 2 2" xfId="621" xr:uid="{3549541A-74E2-4FD1-B24E-36BE3E8ECB8E}"/>
    <cellStyle name="Normal 2 10 2 2 2 2" xfId="1113" xr:uid="{8990582C-323E-4492-AAC4-40D4181198BE}"/>
    <cellStyle name="Normal 2 10 2 2 3" xfId="867" xr:uid="{60E8C4BC-6896-47F1-9F9E-2054A2B7D27F}"/>
    <cellStyle name="Normal 2 10 2 3" xfId="501" xr:uid="{FCE16DD9-16AE-4720-9C26-228F9EE2F16E}"/>
    <cellStyle name="Normal 2 10 2 3 2" xfId="990" xr:uid="{99E94CB2-CDF8-4BDA-BE86-25EAF52D6835}"/>
    <cellStyle name="Normal 2 10 2 4" xfId="744" xr:uid="{520599F7-8216-4F5E-86A0-B47E49335435}"/>
    <cellStyle name="Normal 2 10 3" xfId="271" xr:uid="{EF0B088A-1152-4146-B55B-8E83C5591065}"/>
    <cellStyle name="Normal 2 10 3 2" xfId="561" xr:uid="{EF7FD720-16EA-4745-BBFD-8AB42EB4F158}"/>
    <cellStyle name="Normal 2 10 3 2 2" xfId="1051" xr:uid="{264A3220-B32C-418B-857B-EAC7BE25AEAA}"/>
    <cellStyle name="Normal 2 10 3 3" xfId="805" xr:uid="{79B01E9A-EC6C-4367-987C-22848361DDE5}"/>
    <cellStyle name="Normal 2 10 4" xfId="441" xr:uid="{851C5A9A-80C6-4466-BE27-74F756C2AC28}"/>
    <cellStyle name="Normal 2 10 4 2" xfId="928" xr:uid="{E6C2D5FE-7AAF-4D76-BFDB-716D535C956F}"/>
    <cellStyle name="Normal 2 10 5" xfId="682" xr:uid="{8E59A17D-ECA2-4E1B-92BB-5EE91C19C772}"/>
    <cellStyle name="Normal 2 11" xfId="157" xr:uid="{F1D067E6-67AA-482B-A97A-7E36981CEDAA}"/>
    <cellStyle name="Normal 2 11 2" xfId="221" xr:uid="{1AAA4423-1E23-440C-9B97-D00F7BD7E193}"/>
    <cellStyle name="Normal 2 11 2 2" xfId="348" xr:uid="{83D63E81-21C4-420A-BA2D-24F64ABE900D}"/>
    <cellStyle name="Normal 2 11 2 2 2" xfId="1082" xr:uid="{47A9CDA4-929F-49E2-A1E4-69664927AC33}"/>
    <cellStyle name="Normal 2 11 2 3" xfId="836" xr:uid="{A96DF170-1447-41E2-BC45-0FBB3958DC4A}"/>
    <cellStyle name="Normal 2 11 3" xfId="284" xr:uid="{EB28414D-DFC9-430A-9B8A-DB90D3EEF04A}"/>
    <cellStyle name="Normal 2 11 3 2" xfId="959" xr:uid="{28F83F1A-04C9-42DF-8EBA-D117CBC9DE26}"/>
    <cellStyle name="Normal 2 11 4" xfId="713" xr:uid="{14691E84-9D4D-4E1A-BE32-F2AE063D9F4C}"/>
    <cellStyle name="Normal 2 12" xfId="153" xr:uid="{2FF42C36-03D9-441C-A7DC-B119C991B379}"/>
    <cellStyle name="Normal 2 12 2" xfId="207" xr:uid="{19626811-14A3-4AC3-ACA0-CF14D443AF97}"/>
    <cellStyle name="Normal 2 12 2 2" xfId="334" xr:uid="{37EF4CC2-22B1-4E51-9179-8DBDB9A1A2CE}"/>
    <cellStyle name="Normal 2 12 3" xfId="270" xr:uid="{96B28FC1-87EB-4383-8FDD-880FB6E71A21}"/>
    <cellStyle name="Normal 2 13" xfId="187" xr:uid="{3ACBAF22-DB85-4322-9B08-3AA8894890AB}"/>
    <cellStyle name="Normal 2 13 2" xfId="314" xr:uid="{957E3DA4-11C9-41F1-89C1-925515F4C2E0}"/>
    <cellStyle name="Normal 2 14" xfId="250" xr:uid="{A58C52E6-A067-43FD-9277-393CE71B60C8}"/>
    <cellStyle name="Normal 2 2" xfId="107" xr:uid="{13639EFD-7D5D-4059-A126-C2A880B8201F}"/>
    <cellStyle name="Normal 2 2 2" xfId="75" xr:uid="{045839D0-9D41-4C57-8CA6-0304CAF3D5AD}"/>
    <cellStyle name="Normal 2 2 2 2" xfId="73" xr:uid="{19DEBAFE-44E7-427B-B3DC-3E929B529D02}"/>
    <cellStyle name="Normal 2 2 2 2 2" xfId="121" xr:uid="{5C432B8F-3546-41A8-A0F8-BE24C0A24C4F}"/>
    <cellStyle name="Normal 2 2 3" xfId="181" xr:uid="{7825104B-69F8-440A-8A11-EF0EB2B6A9BD}"/>
    <cellStyle name="Normal 2 2 3 2" xfId="245" xr:uid="{6AB66117-382D-43C4-996D-7FC0958ECCFF}"/>
    <cellStyle name="Normal 2 2 3 2 2" xfId="372" xr:uid="{29A07081-AC87-4EE7-9EEB-2F9B1B04D1E9}"/>
    <cellStyle name="Normal 2 2 3 2 2 2" xfId="628" xr:uid="{90CD78B9-4ACF-45A5-B663-602B659E4802}"/>
    <cellStyle name="Normal 2 2 3 2 2 2 2" xfId="1120" xr:uid="{0F3657B2-9755-4E90-9AD8-57E26C362558}"/>
    <cellStyle name="Normal 2 2 3 2 2 3" xfId="874" xr:uid="{6785A305-6C4B-43B1-8699-88F429F4534C}"/>
    <cellStyle name="Normal 2 2 3 2 3" xfId="508" xr:uid="{1C65C0B8-9D8E-4D51-95AB-859E00CBDDEA}"/>
    <cellStyle name="Normal 2 2 3 2 3 2" xfId="997" xr:uid="{CDC07368-6496-43AF-9772-6410E66168E8}"/>
    <cellStyle name="Normal 2 2 3 2 4" xfId="751" xr:uid="{543879EA-7DE6-41F8-BD3E-328B6E8342DF}"/>
    <cellStyle name="Normal 2 2 3 3" xfId="308" xr:uid="{248D25C3-BD90-4463-96B9-2843D48AA214}"/>
    <cellStyle name="Normal 2 2 3 3 2" xfId="568" xr:uid="{36025749-D13E-4C97-8568-814C13F08151}"/>
    <cellStyle name="Normal 2 2 3 3 2 2" xfId="1058" xr:uid="{ADEDD1C5-4CFC-4C75-B31D-A8E3A9D6E1D1}"/>
    <cellStyle name="Normal 2 2 3 3 3" xfId="812" xr:uid="{690EFCFB-D81B-4504-9F4E-41745C2E149A}"/>
    <cellStyle name="Normal 2 2 3 4" xfId="448" xr:uid="{AB69F079-FA18-423B-9FAD-61E73FCD39EF}"/>
    <cellStyle name="Normal 2 2 3 4 2" xfId="935" xr:uid="{20BF7A6D-F234-41D0-B5BB-FC52422FCB9C}"/>
    <cellStyle name="Normal 2 2 3 5" xfId="689" xr:uid="{09C4A08E-022F-45B1-BD28-9C633C053C69}"/>
    <cellStyle name="Normal 2 2 4" xfId="155" xr:uid="{7495BA8F-B799-4ECD-83D0-CB27F5841291}"/>
    <cellStyle name="Normal 2 2 4 2" xfId="215" xr:uid="{CBED0975-8986-4B99-8947-572A47BCD836}"/>
    <cellStyle name="Normal 2 2 4 2 2" xfId="342" xr:uid="{D08BF816-0D53-422B-8B48-1ED8A6FFC65C}"/>
    <cellStyle name="Normal 2 2 4 2 2 2" xfId="1089" xr:uid="{696C9139-EA9B-4186-A128-CF4C47681CA5}"/>
    <cellStyle name="Normal 2 2 4 2 3" xfId="843" xr:uid="{81D0A651-1705-4B75-AD80-C56B5AA3D29C}"/>
    <cellStyle name="Normal 2 2 4 3" xfId="278" xr:uid="{0E877141-E90E-4612-84BC-0973FDC560E9}"/>
    <cellStyle name="Normal 2 2 4 3 2" xfId="966" xr:uid="{C7046F31-DF7A-4673-9A76-FD17DDC638AA}"/>
    <cellStyle name="Normal 2 2 4 4" xfId="720" xr:uid="{494A48FA-BF11-4773-B5FC-3B026E789C20}"/>
    <cellStyle name="Normal 2 2 5" xfId="151" xr:uid="{5C333569-E1CA-4701-86B2-9CB6D3661C2A}"/>
    <cellStyle name="Normal 2 2 5 2" xfId="538" xr:uid="{82C88AD3-6939-40F8-9B7C-25AC02B6EFA8}"/>
    <cellStyle name="Normal 2 2 5 2 2" xfId="1027" xr:uid="{E4AB78A3-ED69-4B0D-8D96-C037BA932A30}"/>
    <cellStyle name="Normal 2 2 5 3" xfId="781" xr:uid="{81CD979C-11C7-4D6E-8A41-D7EF7D6BC7E7}"/>
    <cellStyle name="Normal 2 2 5 4" xfId="389" xr:uid="{F4A02915-C43E-4151-B96B-58151FCF101A}"/>
    <cellStyle name="Normal 2 2 6" xfId="417" xr:uid="{9776EFAF-D0AF-44A5-A0D1-8F059DDF8A5C}"/>
    <cellStyle name="Normal 2 2 6 2" xfId="904" xr:uid="{D0F25014-F1F7-4548-A473-EC1DA51467A6}"/>
    <cellStyle name="Normal 2 2 7" xfId="658" xr:uid="{8FDA9DB6-3DA6-44AA-ADA8-7465F976B79D}"/>
    <cellStyle name="Normal 2 3" xfId="108" xr:uid="{28AE2886-6C67-4EBA-AFDD-997F25D7B84B}"/>
    <cellStyle name="Normal 2 3 10 7" xfId="80" xr:uid="{DC585B65-FD33-4CCC-99D5-43E8731D2582}"/>
    <cellStyle name="Normal 2 3 2" xfId="111" xr:uid="{CA6F3D43-5D40-4436-9A0F-E33192D0C4E4}"/>
    <cellStyle name="Normal 2 3 2 2" xfId="183" xr:uid="{8CCEF10D-AFC7-48E1-9DB8-BA4A58F4EB34}"/>
    <cellStyle name="Normal 2 3 2 2 2" xfId="246" xr:uid="{0CFD4335-DA6A-4279-88C8-90AAD0B998D7}"/>
    <cellStyle name="Normal 2 3 2 2 2 2" xfId="374" xr:uid="{4CE6F3F5-3DB3-4877-B994-951D983A7543}"/>
    <cellStyle name="Normal 2 3 2 2 2 2 2" xfId="630" xr:uid="{4A9D6512-43AA-4AE8-AA89-6E2CC396863A}"/>
    <cellStyle name="Normal 2 3 2 2 2 2 2 2" xfId="1122" xr:uid="{E0DA0E10-12AA-4B05-AB4C-4E1028126BC8}"/>
    <cellStyle name="Normal 2 3 2 2 2 2 3" xfId="876" xr:uid="{A916EB5A-D35F-4C2B-8757-7F9EB9A1C7B3}"/>
    <cellStyle name="Normal 2 3 2 2 2 3" xfId="510" xr:uid="{97E6261E-A8F9-4642-BAFF-A9948EFB1CBD}"/>
    <cellStyle name="Normal 2 3 2 2 2 3 2" xfId="999" xr:uid="{F1AE4A97-079F-44D4-88DE-F2260BE4063A}"/>
    <cellStyle name="Normal 2 3 2 2 2 4" xfId="753" xr:uid="{1250B826-383D-460F-B184-78342231172E}"/>
    <cellStyle name="Normal 2 3 2 2 3" xfId="310" xr:uid="{3EE920F2-418E-4BEB-801D-28E36F4325C8}"/>
    <cellStyle name="Normal 2 3 2 2 3 2" xfId="570" xr:uid="{F050A88B-E755-4AB9-A5D6-93646C38EDE1}"/>
    <cellStyle name="Normal 2 3 2 2 3 2 2" xfId="1060" xr:uid="{E20230AC-8C4A-46E0-B506-6BB0BCC2B42D}"/>
    <cellStyle name="Normal 2 3 2 2 3 3" xfId="814" xr:uid="{3882CB00-09F7-4794-896E-995A8203CC5A}"/>
    <cellStyle name="Normal 2 3 2 2 4" xfId="450" xr:uid="{F68EC3D4-C8B1-4262-AE4C-F94F00B03B2D}"/>
    <cellStyle name="Normal 2 3 2 2 4 2" xfId="937" xr:uid="{7B220C8C-5015-433F-8B6B-3A77E2B7E976}"/>
    <cellStyle name="Normal 2 3 2 2 5" xfId="691" xr:uid="{131BE51B-B5B1-44A4-8189-30CBD3C30023}"/>
    <cellStyle name="Normal 2 3 2 3" xfId="217" xr:uid="{CA21AFCD-630E-4A40-A185-3D3E1E259FE3}"/>
    <cellStyle name="Normal 2 3 2 3 2" xfId="344" xr:uid="{A4D6F95C-136B-4523-8EF8-FAC3EC4BAF7D}"/>
    <cellStyle name="Normal 2 3 2 3 2 2" xfId="599" xr:uid="{13274AB2-D91D-41FC-8FEE-4F914DB59F32}"/>
    <cellStyle name="Normal 2 3 2 3 2 2 2" xfId="1091" xr:uid="{9F415B26-1BAF-4E88-910A-3DF7D03DD22F}"/>
    <cellStyle name="Normal 2 3 2 3 2 3" xfId="845" xr:uid="{EC3DF8F7-7C6E-43DC-B7AF-8E1C55DACFFA}"/>
    <cellStyle name="Normal 2 3 2 3 3" xfId="479" xr:uid="{728F938D-26DA-4FC1-AE79-B247CEF1E58E}"/>
    <cellStyle name="Normal 2 3 2 3 3 2" xfId="968" xr:uid="{BA820EF4-D78B-410E-9747-D8C0ED186817}"/>
    <cellStyle name="Normal 2 3 2 3 4" xfId="722" xr:uid="{E6E4CE77-1021-43F0-A2D1-1D4C2BD12F7E}"/>
    <cellStyle name="Normal 2 3 2 4" xfId="280" xr:uid="{7C628997-2FC4-4ABA-AD97-8CBC2D852515}"/>
    <cellStyle name="Normal 2 3 2 4 2" xfId="539" xr:uid="{2353C3BC-9E0A-4F92-8C6E-C60F3DCB8D6D}"/>
    <cellStyle name="Normal 2 3 2 4 2 2" xfId="1029" xr:uid="{6AE44F54-EC2F-471B-AA65-089E4F3BA6B1}"/>
    <cellStyle name="Normal 2 3 2 4 3" xfId="783" xr:uid="{913C5F5B-3368-43C9-BE28-2A53E6FAB8E1}"/>
    <cellStyle name="Normal 2 3 2 5" xfId="419" xr:uid="{476B8DB7-8F9E-48F7-8ECB-E3EFE7A1BECF}"/>
    <cellStyle name="Normal 2 3 2 5 2" xfId="906" xr:uid="{6C27E421-901A-46DE-B2DA-8B6344884419}"/>
    <cellStyle name="Normal 2 3 2 6" xfId="660" xr:uid="{81B632BE-14F0-4492-9E5D-E5262DDCC872}"/>
    <cellStyle name="Normal 2 4" xfId="112" xr:uid="{58C20ABB-9BD4-4E54-9218-2B14080D5589}"/>
    <cellStyle name="Normal 2 5" xfId="110" xr:uid="{E75F66A2-2047-4A94-B74F-B6474D481559}"/>
    <cellStyle name="Normal 2 6" xfId="103" xr:uid="{EA7B3132-E5F9-4CDA-8A23-64C8F5BCE7CD}"/>
    <cellStyle name="Normal 2 7" xfId="102" xr:uid="{05176EA3-ED50-446A-86E3-AEE512C8630B}"/>
    <cellStyle name="Normal 2 7 2" xfId="178" xr:uid="{A93AFBF4-512E-4C36-82F9-E85AAC512846}"/>
    <cellStyle name="Normal 2 7 2 2" xfId="242" xr:uid="{272ECFC0-4B98-47C1-A506-46B3580542FE}"/>
    <cellStyle name="Normal 2 7 2 2 2" xfId="369" xr:uid="{E0BA0D62-8536-401E-972B-06F56FFE0760}"/>
    <cellStyle name="Normal 2 7 2 2 2 2" xfId="625" xr:uid="{14B55700-04E4-458E-BA05-A1C1E63C5A5D}"/>
    <cellStyle name="Normal 2 7 2 2 2 2 2" xfId="1117" xr:uid="{B8478734-A329-48E4-89CD-A1F37A7E38AB}"/>
    <cellStyle name="Normal 2 7 2 2 2 3" xfId="871" xr:uid="{14703795-F9ED-450D-91F6-A34B13363B29}"/>
    <cellStyle name="Normal 2 7 2 2 3" xfId="505" xr:uid="{874E57A6-4981-4402-8DC7-8DA60A3EABCA}"/>
    <cellStyle name="Normal 2 7 2 2 3 2" xfId="994" xr:uid="{C9749052-11AB-41F7-A635-DA9B9E4B137C}"/>
    <cellStyle name="Normal 2 7 2 2 4" xfId="748" xr:uid="{3B79F032-7D37-429F-A867-768420AC4026}"/>
    <cellStyle name="Normal 2 7 2 3" xfId="305" xr:uid="{C42CBD33-C4EB-4404-A4BA-87C035D15BA6}"/>
    <cellStyle name="Normal 2 7 2 3 2" xfId="565" xr:uid="{09BCD77A-7E2C-48A2-A2D3-42CEF610DA8B}"/>
    <cellStyle name="Normal 2 7 2 3 2 2" xfId="1055" xr:uid="{76E1229F-7A05-4F96-B55D-2760465104B9}"/>
    <cellStyle name="Normal 2 7 2 3 3" xfId="809" xr:uid="{0D7ECDF6-90C4-4367-B21D-6D8BCAAB5371}"/>
    <cellStyle name="Normal 2 7 2 4" xfId="445" xr:uid="{010468A5-336F-4209-83FC-763B6CE061F9}"/>
    <cellStyle name="Normal 2 7 2 4 2" xfId="932" xr:uid="{7884BC79-977C-4469-8E73-746E8BE59BC8}"/>
    <cellStyle name="Normal 2 7 2 5" xfId="686" xr:uid="{C52DCF0E-BD8F-4535-873C-B4880DC61DFD}"/>
    <cellStyle name="Normal 2 7 3" xfId="212" xr:uid="{41DF2FAF-0E64-47A5-B300-95D9C8976A5E}"/>
    <cellStyle name="Normal 2 7 3 2" xfId="339" xr:uid="{229023AF-8A55-445D-B04F-EEE7DC8C8934}"/>
    <cellStyle name="Normal 2 7 3 2 2" xfId="595" xr:uid="{CA263B08-B77B-45BC-9DDB-0BBF02CF0EF7}"/>
    <cellStyle name="Normal 2 7 3 2 2 2" xfId="1086" xr:uid="{9F546CF9-EE82-4F08-9E79-C2DB45A69D7A}"/>
    <cellStyle name="Normal 2 7 3 2 3" xfId="840" xr:uid="{410F7254-03D1-44AB-A874-7F99244C4240}"/>
    <cellStyle name="Normal 2 7 3 3" xfId="475" xr:uid="{7EE8C601-712D-486D-87C3-594D0C1842FB}"/>
    <cellStyle name="Normal 2 7 3 3 2" xfId="963" xr:uid="{B3249776-E402-4065-BDED-7494677493D8}"/>
    <cellStyle name="Normal 2 7 3 4" xfId="717" xr:uid="{6203F528-1B9B-4CB9-A74B-CA7B695E9D62}"/>
    <cellStyle name="Normal 2 7 4" xfId="275" xr:uid="{20829561-28AE-4356-BC75-04ED2E527BD5}"/>
    <cellStyle name="Normal 2 7 4 2" xfId="535" xr:uid="{22918B01-6491-4731-ABDB-C6C8DB04D976}"/>
    <cellStyle name="Normal 2 7 4 2 2" xfId="1024" xr:uid="{B956C5A5-211D-4630-8EFF-571CF3DD5A9C}"/>
    <cellStyle name="Normal 2 7 4 3" xfId="778" xr:uid="{7BB89DB9-0CA0-479F-B982-C80F0409D742}"/>
    <cellStyle name="Normal 2 7 5" xfId="414" xr:uid="{CBF194F8-48B1-4303-9506-FD5286B444A9}"/>
    <cellStyle name="Normal 2 7 5 2" xfId="901" xr:uid="{767C6BDB-F02B-453F-96BD-56185B1DAB76}"/>
    <cellStyle name="Normal 2 7 6" xfId="655" xr:uid="{40B2EA17-CA69-4990-B782-D44794F39E3A}"/>
    <cellStyle name="Normal 2 8" xfId="147" xr:uid="{2387B0D2-8F07-4616-BF23-6927BE01DEE6}"/>
    <cellStyle name="Normal 2 8 2" xfId="186" xr:uid="{F200AAAF-55AB-4960-91C5-86CFA645EA9D}"/>
    <cellStyle name="Normal 2 8 2 2" xfId="249" xr:uid="{105151DF-11A9-4DA1-B265-AF1D5F72CB92}"/>
    <cellStyle name="Normal 2 8 2 2 2" xfId="377" xr:uid="{F5E41322-9E96-436E-A706-4BB46F703E07}"/>
    <cellStyle name="Normal 2 8 2 2 2 2" xfId="633" xr:uid="{228FD321-AE33-4A5E-8AB7-A62F2676E3E3}"/>
    <cellStyle name="Normal 2 8 2 2 2 2 2" xfId="1125" xr:uid="{893264D7-277A-4397-8614-22B05F1208B0}"/>
    <cellStyle name="Normal 2 8 2 2 2 3" xfId="879" xr:uid="{74098322-6E55-4A1E-A670-38CAA098685F}"/>
    <cellStyle name="Normal 2 8 2 2 3" xfId="513" xr:uid="{00DD5832-E4A6-4422-AF31-61F20EDA4613}"/>
    <cellStyle name="Normal 2 8 2 2 3 2" xfId="1002" xr:uid="{F8B6A7E7-0573-4F06-9490-E394BA648CCB}"/>
    <cellStyle name="Normal 2 8 2 2 4" xfId="756" xr:uid="{714940FB-45EC-414B-83EA-0A5693BAC316}"/>
    <cellStyle name="Normal 2 8 2 3" xfId="313" xr:uid="{DFAC74AD-D892-4C76-B672-A86301F752B1}"/>
    <cellStyle name="Normal 2 8 2 3 2" xfId="573" xr:uid="{66927EFA-7BC9-4C53-889C-5CC7CDD1E837}"/>
    <cellStyle name="Normal 2 8 2 3 2 2" xfId="1063" xr:uid="{F8087472-600E-4AF9-AB15-3DA13C3DDBB8}"/>
    <cellStyle name="Normal 2 8 2 3 3" xfId="817" xr:uid="{715AB230-6D6D-49DB-A730-7D3DFB0B1C6D}"/>
    <cellStyle name="Normal 2 8 2 4" xfId="453" xr:uid="{C5B17849-12FF-4F11-8F94-159E3440CFB4}"/>
    <cellStyle name="Normal 2 8 2 4 2" xfId="940" xr:uid="{44D33FE8-E956-42DB-B04E-1D1A3AB664F8}"/>
    <cellStyle name="Normal 2 8 2 5" xfId="694" xr:uid="{6EA7330F-8E89-4D86-98A7-E880E91140BE}"/>
    <cellStyle name="Normal 2 8 3" xfId="220" xr:uid="{F827A0CC-2349-4EF1-87EE-348748C68F5E}"/>
    <cellStyle name="Normal 2 8 3 2" xfId="347" xr:uid="{62122B38-7917-45DA-86F3-D9EB97A91A75}"/>
    <cellStyle name="Normal 2 8 3 2 2" xfId="602" xr:uid="{01C50C9B-D705-43A3-A5B9-C59FE9A11E16}"/>
    <cellStyle name="Normal 2 8 3 2 2 2" xfId="1094" xr:uid="{A933C5DA-70A9-457F-976D-D16C886603F8}"/>
    <cellStyle name="Normal 2 8 3 2 3" xfId="848" xr:uid="{FE824A1C-0BEA-4F75-A489-F47BBB493AFC}"/>
    <cellStyle name="Normal 2 8 3 3" xfId="482" xr:uid="{2642521C-40DB-4B45-AB9E-06DF9ED6ABCC}"/>
    <cellStyle name="Normal 2 8 3 3 2" xfId="971" xr:uid="{50011CD5-4F39-4881-8C2A-D21487D4092C}"/>
    <cellStyle name="Normal 2 8 3 4" xfId="725" xr:uid="{69863E04-1C3D-4D8A-BEE2-3EB7F92D282B}"/>
    <cellStyle name="Normal 2 8 4" xfId="283" xr:uid="{699D2BB1-0A93-4CD6-92AA-FFE0F736897A}"/>
    <cellStyle name="Normal 2 8 4 2" xfId="542" xr:uid="{297DD2F3-7CA7-456D-A1A1-687700349FB9}"/>
    <cellStyle name="Normal 2 8 4 2 2" xfId="1032" xr:uid="{B82C022F-D429-46D3-92B9-D1A73477E2FC}"/>
    <cellStyle name="Normal 2 8 4 3" xfId="786" xr:uid="{0F722488-05CA-4D2C-93E2-D69B16D46275}"/>
    <cellStyle name="Normal 2 8 5" xfId="422" xr:uid="{40436358-D3D2-4059-9F13-D7B343351B8D}"/>
    <cellStyle name="Normal 2 8 5 2" xfId="909" xr:uid="{4110050B-C72F-4893-A894-E154876C0F7C}"/>
    <cellStyle name="Normal 2 8 6" xfId="663" xr:uid="{0C5AD31D-6D18-47DF-A740-7106E0DC9B43}"/>
    <cellStyle name="Normal 2 9" xfId="99" xr:uid="{3DD54879-14A6-46EE-94FC-B06C0B5D2579}"/>
    <cellStyle name="Normal 2 9 2" xfId="209" xr:uid="{6C3736BC-2003-4DD3-9923-AFFA312AFA02}"/>
    <cellStyle name="Normal 2 9 2 2" xfId="336" xr:uid="{1FE6DCBC-C356-4931-8044-652C733FB692}"/>
    <cellStyle name="Normal 2 9 2 2 2" xfId="392" xr:uid="{A8AD7DDF-1DD1-41F2-A3AB-85E5506B1686}"/>
    <cellStyle name="Normal 2 9 2 2 2 2" xfId="622" xr:uid="{1EF655D2-5D94-45AA-8136-92AE64878683}"/>
    <cellStyle name="Normal 2 9 2 2 2 2 2" xfId="1114" xr:uid="{36E18E9E-FB64-4A4D-9EA5-CF5DADEDE79A}"/>
    <cellStyle name="Normal 2 9 2 2 2 3" xfId="868" xr:uid="{E9DC8371-F13A-4028-AD90-9C5583FA22F1}"/>
    <cellStyle name="Normal 2 9 2 2 3" xfId="502" xr:uid="{853BD87B-8AC5-466B-9EC9-4E185D752B12}"/>
    <cellStyle name="Normal 2 9 2 2 3 2" xfId="991" xr:uid="{71B25BD4-1C1E-46E9-A5C5-423CDD20886C}"/>
    <cellStyle name="Normal 2 9 2 2 4" xfId="745" xr:uid="{50365FB8-DE66-4E48-ACAB-8DCDF0BD036F}"/>
    <cellStyle name="Normal 2 9 2 3" xfId="390" xr:uid="{1AE979A7-1642-4632-8FEB-6B5936494C25}"/>
    <cellStyle name="Normal 2 9 2 3 2" xfId="562" xr:uid="{A2047A2A-9838-4AB0-96DA-F363312C5C5A}"/>
    <cellStyle name="Normal 2 9 2 3 2 2" xfId="1052" xr:uid="{652F385F-DAF3-4270-A7B4-43926C468B63}"/>
    <cellStyle name="Normal 2 9 2 3 3" xfId="806" xr:uid="{8E2FFE2D-6B7F-4345-9009-CA4975C348ED}"/>
    <cellStyle name="Normal 2 9 2 4" xfId="442" xr:uid="{18CCD957-9121-4625-B21C-110765F4DB94}"/>
    <cellStyle name="Normal 2 9 2 4 2" xfId="929" xr:uid="{76D33CBC-1E40-47D3-880D-C740DFF5C71E}"/>
    <cellStyle name="Normal 2 9 2 5" xfId="683" xr:uid="{62343836-C092-4FFC-B734-130DB7638F6F}"/>
    <cellStyle name="Normal 2 9 3" xfId="272" xr:uid="{9A063767-088D-4AEF-87CB-7520AC91E708}"/>
    <cellStyle name="Normal 2 9 3 2" xfId="391" xr:uid="{0305EDD6-B205-4C49-9696-D7CA2DC56EF7}"/>
    <cellStyle name="Normal 2 9 3 2 2" xfId="592" xr:uid="{1DABA492-9D77-47B7-B055-A99452DFE963}"/>
    <cellStyle name="Normal 2 9 3 2 2 2" xfId="1083" xr:uid="{36FC5AE8-BAE8-4E5F-88CF-1B29B51FDE7C}"/>
    <cellStyle name="Normal 2 9 3 2 3" xfId="837" xr:uid="{75FEFD5A-8673-44A1-864A-4E8744DE93C4}"/>
    <cellStyle name="Normal 2 9 3 3" xfId="472" xr:uid="{83530029-6B9B-49D7-91C8-F079C24B954C}"/>
    <cellStyle name="Normal 2 9 3 3 2" xfId="960" xr:uid="{3F42BAED-EE15-46D8-A9BC-61BA3AABBDF8}"/>
    <cellStyle name="Normal 2 9 3 4" xfId="714" xr:uid="{7F989E6B-3146-4413-9C26-F7757344C672}"/>
    <cellStyle name="Normal 2 9 4" xfId="388" xr:uid="{41A6B349-4053-41BB-873E-47D39AB9A944}"/>
    <cellStyle name="Normal 2 9 4 2" xfId="532" xr:uid="{D94B00D2-012C-4CAD-9A8A-E588E06D0406}"/>
    <cellStyle name="Normal 2 9 4 2 2" xfId="1021" xr:uid="{39DABEFC-A5E4-45CB-9F61-BEBC18AC446F}"/>
    <cellStyle name="Normal 2 9 4 3" xfId="775" xr:uid="{15E48C58-732E-4164-A6BE-275DAF8E8A76}"/>
    <cellStyle name="Normal 2 9 5" xfId="411" xr:uid="{A8AF91E9-00E7-49A2-81DF-F2E6D6E742D5}"/>
    <cellStyle name="Normal 2 9 5 2" xfId="898" xr:uid="{D6292AEC-1F14-455E-8B1F-38613C6DA040}"/>
    <cellStyle name="Normal 2 9 6" xfId="652" xr:uid="{26D5F58B-DEE4-4054-A868-10C53A936555}"/>
    <cellStyle name="Normal 27" xfId="57" xr:uid="{067057DD-5EE0-422F-848C-01D108B5C73C}"/>
    <cellStyle name="Normal 3" xfId="82" xr:uid="{C1D697FA-E966-4E8E-811D-E6465A61A136}"/>
    <cellStyle name="Normal 3 2" xfId="104" xr:uid="{EAB07810-A59E-4B43-ADC2-BF58BBABFCDF}"/>
    <cellStyle name="Normal 30" xfId="65" xr:uid="{9EB14688-76C0-49EC-862C-0FFDD2E749A8}"/>
    <cellStyle name="Normal 34 5 8" xfId="47" xr:uid="{65BFADC6-9E0C-4B00-A3AB-797FD897D88E}"/>
    <cellStyle name="Normal 34 5 8 2" xfId="182" xr:uid="{5F259A4A-E7B8-41C6-A531-F0B6E06A1BEE}"/>
    <cellStyle name="Normal 34 5 8 2 2" xfId="48" xr:uid="{74F68637-D9DC-4CAB-AA6E-F66AD0E914A5}"/>
    <cellStyle name="Normal 34 5 8 2 2 2" xfId="373" xr:uid="{0A7C9F68-CA37-4717-A39A-F9417FD9EAD9}"/>
    <cellStyle name="Normal 34 5 8 2 2 2 2" xfId="629" xr:uid="{2399EF2B-BBC4-4C2D-BE3D-D8E98EC1FBED}"/>
    <cellStyle name="Normal 34 5 8 2 2 2 2 2" xfId="1121" xr:uid="{2E0FEBDE-6C4C-4E27-A789-F872BCC6AF1B}"/>
    <cellStyle name="Normal 34 5 8 2 2 2 3" xfId="875" xr:uid="{523B7765-4DE9-46E2-9FBA-272D80B4119E}"/>
    <cellStyle name="Normal 34 5 8 2 2 3" xfId="509" xr:uid="{6CAB4B3D-2F77-4861-970B-3E577FFAB709}"/>
    <cellStyle name="Normal 34 5 8 2 2 3 2" xfId="998" xr:uid="{4238A3D4-4DFC-4400-8AA7-878D05200966}"/>
    <cellStyle name="Normal 34 5 8 2 2 4" xfId="752" xr:uid="{6EB6A225-EB0D-451B-9689-E5EED381B249}"/>
    <cellStyle name="Normal 34 5 8 2 3" xfId="309" xr:uid="{97DDCB02-A3E8-49CB-8DC2-8CD47A378D9C}"/>
    <cellStyle name="Normal 34 5 8 2 3 2" xfId="569" xr:uid="{0A91A1ED-389F-45D7-BF23-6FCDA2B2856A}"/>
    <cellStyle name="Normal 34 5 8 2 3 2 2" xfId="1059" xr:uid="{2F831A28-44FA-4D53-9A57-9FC806B06186}"/>
    <cellStyle name="Normal 34 5 8 2 3 3" xfId="813" xr:uid="{1B42912A-D2CC-4725-B882-C1121877B8CF}"/>
    <cellStyle name="Normal 34 5 8 2 4" xfId="449" xr:uid="{4FF73640-AC00-47F2-9FEA-337D5836A2A3}"/>
    <cellStyle name="Normal 34 5 8 2 4 2" xfId="936" xr:uid="{5A769082-5EB1-4372-A8DD-C753237D328A}"/>
    <cellStyle name="Normal 34 5 8 2 5" xfId="690" xr:uid="{220CD989-767C-4EA5-9244-8A8D87C12F97}"/>
    <cellStyle name="Normal 34 5 8 3" xfId="216" xr:uid="{297F3286-342E-4AB5-AAEF-0EF2DE84D1AF}"/>
    <cellStyle name="Normal 34 5 8 3 2" xfId="343" xr:uid="{3B09FF1E-11CF-4F74-919D-6628755E1780}"/>
    <cellStyle name="Normal 34 5 8 3 2 2" xfId="598" xr:uid="{7B5B0AAE-B448-4CA2-8805-3017227BF0D6}"/>
    <cellStyle name="Normal 34 5 8 3 2 2 2" xfId="1090" xr:uid="{EDF7A7A6-D3DD-4476-9CEC-08B4DEC88E94}"/>
    <cellStyle name="Normal 34 5 8 3 2 3" xfId="844" xr:uid="{8A4F047A-8C91-4617-A95D-963EB2AFBE01}"/>
    <cellStyle name="Normal 34 5 8 3 3" xfId="478" xr:uid="{92369EF7-4DCD-4F6B-9DAF-5CCA644C8C76}"/>
    <cellStyle name="Normal 34 5 8 3 3 2" xfId="967" xr:uid="{8600F049-FC7E-4365-A87F-89534CD60590}"/>
    <cellStyle name="Normal 34 5 8 3 4" xfId="721" xr:uid="{78CEC39B-6C68-41E7-AB71-B4D83E99698E}"/>
    <cellStyle name="Normal 34 5 8 4" xfId="279" xr:uid="{0884B136-5B0F-4C24-AB02-A8C1C0C260AD}"/>
    <cellStyle name="Normal 34 5 8 4 2" xfId="61" xr:uid="{C646B53F-E7F0-4936-A299-49F49B763154}"/>
    <cellStyle name="Normal 34 5 8 4 2 2" xfId="1028" xr:uid="{7E82BA73-FC50-4E99-AD6D-BE91138F349C}"/>
    <cellStyle name="Normal 34 5 8 4 2 5" xfId="54" xr:uid="{531D7195-D66B-4031-B14E-20949E41E030}"/>
    <cellStyle name="Normal 34 5 8 4 3" xfId="782" xr:uid="{F0F7B387-693F-4118-9BE6-9AC5F7901E77}"/>
    <cellStyle name="Normal 34 5 8 5" xfId="58" xr:uid="{2C2F34A1-0489-4E7D-AAD7-F42C34D2DC92}"/>
    <cellStyle name="Normal 34 5 8 5 2" xfId="905" xr:uid="{01BE9DE8-D4C0-4914-B989-1B9CB00FF020}"/>
    <cellStyle name="Normal 34 5 8 5 2 2" xfId="59" xr:uid="{E84E5ED5-9CCB-4D12-AC35-2F022D281BEF}"/>
    <cellStyle name="Normal 34 5 8 5 3" xfId="418" xr:uid="{5CF9941F-018E-4A2D-9F7B-CD241A8ED0E6}"/>
    <cellStyle name="Normal 34 5 8 6" xfId="659" xr:uid="{6B63D2CB-A110-4E93-A789-0CE771810A72}"/>
    <cellStyle name="Normal 38 16" xfId="66" xr:uid="{A1800FAA-9643-40D1-9E98-BE1A3CE42055}"/>
    <cellStyle name="Normal 38 16 2" xfId="67" xr:uid="{2AD72033-83FB-48D3-AD49-EA3C90272B0E}"/>
    <cellStyle name="Normal 38 4 4" xfId="46" xr:uid="{66EB55C8-9028-4D04-AAA8-8E6698C621BE}"/>
    <cellStyle name="Normal 38 4 7" xfId="44" xr:uid="{710E33A0-6823-4442-BFDB-2AC936FFF103}"/>
    <cellStyle name="Normal 38 4 7 7" xfId="52" xr:uid="{EC5164CC-5AE1-4A45-8186-964B7E4478D7}"/>
    <cellStyle name="Normal 4" xfId="109" xr:uid="{949A1329-DA70-42C7-ACF3-B9F65601B9BE}"/>
    <cellStyle name="Normal 4 2" xfId="68" xr:uid="{8917DE72-9D22-4B44-8D4F-307674CC7E33}"/>
    <cellStyle name="Normal 4 2 2" xfId="56" xr:uid="{B6B2910E-1D3D-4DE0-B7A5-8957E90DAA9A}"/>
    <cellStyle name="Normal 4 2 2 2" xfId="156" xr:uid="{E79D7589-61FC-41B1-B84B-848A364E1625}"/>
    <cellStyle name="Normal 4 3" xfId="188" xr:uid="{478C42A3-B8AB-44EB-AC5B-94FA8640AD10}"/>
    <cellStyle name="Normal 4 3 2" xfId="315" xr:uid="{54D667A6-7737-4F8B-B40C-B93A0E276BA0}"/>
    <cellStyle name="Normal 4 4" xfId="251" xr:uid="{6951CA63-4681-452F-8C78-A7FEF52C20B8}"/>
    <cellStyle name="Normal 4 5" xfId="150" xr:uid="{2E10B87E-08D9-443E-B52A-861A9DC7BB7A}"/>
    <cellStyle name="Normal 5" xfId="100" xr:uid="{A74C03D1-8285-4588-95F5-D7203AFD2E89}"/>
    <cellStyle name="Normal 5 2" xfId="176" xr:uid="{9F974E55-FD31-4A99-8E51-298C89E0DC57}"/>
    <cellStyle name="Normal 5 2 2" xfId="240" xr:uid="{35C1D156-B567-4A6B-AEAE-C839D6F0A65F}"/>
    <cellStyle name="Normal 5 2 2 2" xfId="367" xr:uid="{F221660C-EF6A-44EB-AF53-277631024775}"/>
    <cellStyle name="Normal 5 2 2 2 2" xfId="623" xr:uid="{DF1DBD71-308A-4983-B737-6C9CABB74570}"/>
    <cellStyle name="Normal 5 2 2 2 2 2" xfId="1115" xr:uid="{8A3537C2-1187-44FE-9124-E6FB3FF6E4A5}"/>
    <cellStyle name="Normal 5 2 2 2 3" xfId="869" xr:uid="{8BF8952A-EB80-410E-9CC2-DF38FB1A3FD4}"/>
    <cellStyle name="Normal 5 2 2 3" xfId="503" xr:uid="{2824F068-48B6-47EE-B064-909A9BD634CD}"/>
    <cellStyle name="Normal 5 2 2 3 2" xfId="992" xr:uid="{16409883-28EA-4C80-BE67-B77EDC0A3ABA}"/>
    <cellStyle name="Normal 5 2 2 4" xfId="746" xr:uid="{9AA4B29D-4A73-4490-ADCD-6F8DA5D22011}"/>
    <cellStyle name="Normal 5 2 3" xfId="303" xr:uid="{3F2CA613-00EA-4B3A-9863-5A59D0786887}"/>
    <cellStyle name="Normal 5 2 3 2" xfId="563" xr:uid="{B010ED42-9CDC-4B52-9B2A-5AADED1FC2BB}"/>
    <cellStyle name="Normal 5 2 3 2 2" xfId="1053" xr:uid="{FCCD001C-C0A6-4930-9390-3086201F48CB}"/>
    <cellStyle name="Normal 5 2 3 3" xfId="807" xr:uid="{E47FCC24-DFF5-427F-9EE5-F1309E293971}"/>
    <cellStyle name="Normal 5 2 4" xfId="443" xr:uid="{25E5DEF5-18DD-4656-A4B7-958CEE9DC8A7}"/>
    <cellStyle name="Normal 5 2 4 2" xfId="930" xr:uid="{DA080238-A580-4EB4-8EC9-1731AF14606D}"/>
    <cellStyle name="Normal 5 2 5" xfId="684" xr:uid="{CF958A3C-78BF-4E79-B736-A9588E43BE4B}"/>
    <cellStyle name="Normal 5 3" xfId="210" xr:uid="{C71A07DF-0076-421F-975C-7955742BAC6D}"/>
    <cellStyle name="Normal 5 3 2" xfId="337" xr:uid="{BF56B5F6-9D9B-4A95-BB18-4EDB9FDB8173}"/>
    <cellStyle name="Normal 5 3 2 2" xfId="593" xr:uid="{36B21ABC-9E18-49B9-AB57-3916B3463B4A}"/>
    <cellStyle name="Normal 5 3 2 2 2" xfId="1084" xr:uid="{4F26E4D4-10EB-4A96-BF50-D689F27FB7C6}"/>
    <cellStyle name="Normal 5 3 2 3" xfId="838" xr:uid="{83EC0706-708F-4259-8098-920BE718F0ED}"/>
    <cellStyle name="Normal 5 3 3" xfId="473" xr:uid="{B2C02164-E7D9-4078-AA7B-A99153D29DA9}"/>
    <cellStyle name="Normal 5 3 3 2" xfId="961" xr:uid="{984CF2D6-EBA3-4A00-A9A0-984FF9131CE0}"/>
    <cellStyle name="Normal 5 3 4" xfId="715" xr:uid="{DB8BAAD8-3744-47C0-8680-13AC154A83D4}"/>
    <cellStyle name="Normal 5 4" xfId="273" xr:uid="{2066DB71-428A-4CF4-881E-9916721BD8D3}"/>
    <cellStyle name="Normal 5 4 2" xfId="533" xr:uid="{C8BD8BEF-AE70-48BC-8A26-DFAB87C1B44C}"/>
    <cellStyle name="Normal 5 4 2 2" xfId="1022" xr:uid="{0D22A3C1-1EF3-4C65-8731-806D71F6B0DA}"/>
    <cellStyle name="Normal 5 4 3" xfId="776" xr:uid="{BF7D9EBC-A94B-43B5-80E5-ED390148EBAE}"/>
    <cellStyle name="Normal 5 5" xfId="412" xr:uid="{BA86BF50-3568-462C-845E-D859DF6B7295}"/>
    <cellStyle name="Normal 5 5 2" xfId="899" xr:uid="{287A84B0-6473-4A00-A393-5DEE3380A733}"/>
    <cellStyle name="Normal 5 6" xfId="653" xr:uid="{49F5B905-FD14-484B-A7B7-214600B14934}"/>
    <cellStyle name="Normal 6" xfId="97" xr:uid="{57EABCD7-F245-4BE6-B5A9-88EAC9E7CD94}"/>
    <cellStyle name="Normal 7" xfId="98" xr:uid="{2620C5B7-BC3A-425F-A47F-09AD530D5D8B}"/>
    <cellStyle name="Normal 7 2" xfId="148" xr:uid="{17B11146-043B-4695-A90E-243419115582}"/>
    <cellStyle name="Normal 8" xfId="149" xr:uid="{D9393B73-E1EE-403F-948A-6FC4BF640D5F}"/>
    <cellStyle name="Normal 8 2" xfId="379" xr:uid="{2A5B4315-72BD-4058-9A69-9FDBA1036392}"/>
    <cellStyle name="Normal 8 3" xfId="378" xr:uid="{7B08FE54-00FE-4580-9209-CAB73E099424}"/>
    <cellStyle name="Normal 9" xfId="92" xr:uid="{2863F129-4BD8-451F-B97F-34B9B4576738}"/>
    <cellStyle name="Notas" xfId="15" builtinId="10" customBuiltin="1"/>
    <cellStyle name="Notas 2" xfId="101" xr:uid="{0162B9EA-9E30-41D3-84B8-7A26041108CE}"/>
    <cellStyle name="Notas 2 2" xfId="177" xr:uid="{333FD6F8-880A-4600-8FBB-6D53F45BA33B}"/>
    <cellStyle name="Notas 2 2 2" xfId="241" xr:uid="{F69E5EE2-98D3-4752-88D3-23DDDF333C15}"/>
    <cellStyle name="Notas 2 2 2 2" xfId="368" xr:uid="{B9726FD5-1259-416F-86EF-2DA6112A7419}"/>
    <cellStyle name="Notas 2 2 2 2 2" xfId="624" xr:uid="{FA586EDA-03E7-4AF9-AE7B-EF1521334836}"/>
    <cellStyle name="Notas 2 2 2 2 2 2" xfId="1116" xr:uid="{B587AF75-EDF2-4EC6-B060-BD29045AC99C}"/>
    <cellStyle name="Notas 2 2 2 2 3" xfId="870" xr:uid="{44C749BD-B25E-4F16-B22F-85BE0799D51F}"/>
    <cellStyle name="Notas 2 2 2 3" xfId="504" xr:uid="{7864A9AF-D142-4C3F-9F1D-E1E9B9617100}"/>
    <cellStyle name="Notas 2 2 2 3 2" xfId="993" xr:uid="{2BFF09C0-47B2-4A10-9090-11452CD21372}"/>
    <cellStyle name="Notas 2 2 2 4" xfId="747" xr:uid="{370E9B66-68EE-46C2-872E-218FA4142415}"/>
    <cellStyle name="Notas 2 2 3" xfId="304" xr:uid="{F6758B70-9584-43D3-92D5-C310F2D94A79}"/>
    <cellStyle name="Notas 2 2 3 2" xfId="564" xr:uid="{EFE90417-0160-4B68-BD4F-637DBA5FCDD7}"/>
    <cellStyle name="Notas 2 2 3 2 2" xfId="1054" xr:uid="{553D2126-459F-4C1F-8AB6-A8976628D969}"/>
    <cellStyle name="Notas 2 2 3 3" xfId="808" xr:uid="{F63D3A8A-6E54-4A8D-9664-ED704B0619DB}"/>
    <cellStyle name="Notas 2 2 4" xfId="444" xr:uid="{8E8AD7D1-956C-4153-9F5E-278F7477FE23}"/>
    <cellStyle name="Notas 2 2 4 2" xfId="931" xr:uid="{F69961AD-1343-46BA-8827-EAA326D48249}"/>
    <cellStyle name="Notas 2 2 5" xfId="685" xr:uid="{35F0F584-A101-4141-A24A-8A618FBDFD9E}"/>
    <cellStyle name="Notas 2 3" xfId="211" xr:uid="{5969E0F3-57DE-4CF0-B761-61D1CD902090}"/>
    <cellStyle name="Notas 2 3 2" xfId="338" xr:uid="{A630F09E-978B-493E-9BC0-090105423FD4}"/>
    <cellStyle name="Notas 2 3 2 2" xfId="594" xr:uid="{25731F4A-0BF1-4A2E-BF84-CDBBFFF50EF2}"/>
    <cellStyle name="Notas 2 3 2 2 2" xfId="1085" xr:uid="{CBA1DAE4-61B8-41CD-AA87-7479585FCA01}"/>
    <cellStyle name="Notas 2 3 2 3" xfId="839" xr:uid="{7F43F645-B887-4CE9-B785-B3A08CE796F5}"/>
    <cellStyle name="Notas 2 3 3" xfId="474" xr:uid="{C5A57F91-8F6D-4544-AA4F-BBD602B083ED}"/>
    <cellStyle name="Notas 2 3 3 2" xfId="962" xr:uid="{376A2BBC-6573-4759-9762-5BF2237E568A}"/>
    <cellStyle name="Notas 2 3 4" xfId="716" xr:uid="{D6F0461F-CB5E-44DC-8DDF-C27401B195A8}"/>
    <cellStyle name="Notas 2 4" xfId="274" xr:uid="{3C0B4DE7-0C09-464C-B086-F90C602F8F7C}"/>
    <cellStyle name="Notas 2 4 2" xfId="534" xr:uid="{FAA30552-1753-4049-8BFB-F8116539BA65}"/>
    <cellStyle name="Notas 2 4 2 2" xfId="1023" xr:uid="{6618EBF1-48C7-4BFD-B987-8DACCB0D3A35}"/>
    <cellStyle name="Notas 2 4 3" xfId="777" xr:uid="{56D9B8C1-2C78-4DE5-B27C-4EC45DE5EEE8}"/>
    <cellStyle name="Notas 2 5" xfId="413" xr:uid="{B97C3611-DA52-49E0-B2FB-01E1485692BC}"/>
    <cellStyle name="Notas 2 5 2" xfId="900" xr:uid="{DE5167E3-3CCF-44A5-8A8A-BFA1846E16F6}"/>
    <cellStyle name="Notas 2 6" xfId="654" xr:uid="{3F0D3190-4F07-45AF-87F5-8C0BAF1FE234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  <cellStyle name="Обычный 2" xfId="116" xr:uid="{2CFAD543-FD67-44C6-9930-57EF7A21511F}"/>
    <cellStyle name="Обычный 2 2 2" xfId="117" xr:uid="{C9CF93B8-F521-453A-8FA6-8ADE710ECE0E}"/>
    <cellStyle name="Обычный_12_06" xfId="118" xr:uid="{ED613C90-8490-4352-B340-AFCE936C1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230400</xdr:colOff>
      <xdr:row>1</xdr:row>
      <xdr:rowOff>69120</xdr:rowOff>
    </xdr:from>
    <xdr:to>
      <xdr:col>1</xdr:col>
      <xdr:colOff>771840</xdr:colOff>
      <xdr:row>3</xdr:row>
      <xdr:rowOff>62640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D857CF-C961-413B-A5F9-523784CC2BE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5" y="1004194620"/>
          <a:ext cx="541440" cy="43167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230400</xdr:colOff>
      <xdr:row>1</xdr:row>
      <xdr:rowOff>69120</xdr:rowOff>
    </xdr:from>
    <xdr:to>
      <xdr:col>1</xdr:col>
      <xdr:colOff>771840</xdr:colOff>
      <xdr:row>3</xdr:row>
      <xdr:rowOff>62640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24B778-235F-4A7B-8251-FAFBA8CA19D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5" y="1004194620"/>
          <a:ext cx="541440" cy="43167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133350</xdr:rowOff>
    </xdr:from>
    <xdr:to>
      <xdr:col>1</xdr:col>
      <xdr:colOff>759844</xdr:colOff>
      <xdr:row>4</xdr:row>
      <xdr:rowOff>16153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6125B284-921A-41FC-968B-EA3733BE6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8009150"/>
          <a:ext cx="578869" cy="454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769369</xdr:colOff>
      <xdr:row>3</xdr:row>
      <xdr:rowOff>178078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8D1058B7-C81D-4546-B2DD-CEDBBF4B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21659250"/>
          <a:ext cx="578869" cy="454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85725</xdr:rowOff>
    </xdr:from>
    <xdr:to>
      <xdr:col>1</xdr:col>
      <xdr:colOff>740794</xdr:colOff>
      <xdr:row>5</xdr:row>
      <xdr:rowOff>159028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57F1DF13-93D3-46DA-9096-31645C76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932675"/>
          <a:ext cx="578869" cy="454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683644</xdr:colOff>
      <xdr:row>3</xdr:row>
      <xdr:rowOff>178078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85CB73FB-F04C-4D11-A7DD-42B824D79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975"/>
          <a:ext cx="578869" cy="625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ywicuenca@kywi.com.ec" TargetMode="External"/><Relationship Id="rId13" Type="http://schemas.openxmlformats.org/officeDocument/2006/relationships/hyperlink" Target="mailto:ferzamora1980@gmail.com" TargetMode="External"/><Relationship Id="rId3" Type="http://schemas.openxmlformats.org/officeDocument/2006/relationships/hyperlink" Target="mailto:ferriastral@hotmail.com" TargetMode="External"/><Relationship Id="rId7" Type="http://schemas.openxmlformats.org/officeDocument/2006/relationships/hyperlink" Target="mailto:melimorenoc2119@gmail.com" TargetMode="External"/><Relationship Id="rId12" Type="http://schemas.openxmlformats.org/officeDocument/2006/relationships/hyperlink" Target="mailto:ferzamora1980@gmail.com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grupo.caminar@hotmail.com" TargetMode="External"/><Relationship Id="rId16" Type="http://schemas.openxmlformats.org/officeDocument/2006/relationships/hyperlink" Target="mailto:repair.repuesto@gmil.com" TargetMode="External"/><Relationship Id="rId1" Type="http://schemas.openxmlformats.org/officeDocument/2006/relationships/hyperlink" Target="mailto:gracevelastegui@yahoo.com" TargetMode="External"/><Relationship Id="rId6" Type="http://schemas.openxmlformats.org/officeDocument/2006/relationships/hyperlink" Target="mailto:mfrancisco202@gmail.com" TargetMode="External"/><Relationship Id="rId11" Type="http://schemas.openxmlformats.org/officeDocument/2006/relationships/hyperlink" Target="mailto:ferzamora1980@gmail.com" TargetMode="External"/><Relationship Id="rId5" Type="http://schemas.openxmlformats.org/officeDocument/2006/relationships/hyperlink" Target="mailto:aciroblas54@hotmail.com" TargetMode="External"/><Relationship Id="rId15" Type="http://schemas.openxmlformats.org/officeDocument/2006/relationships/hyperlink" Target="mailto:isacos@gmail.com" TargetMode="External"/><Relationship Id="rId10" Type="http://schemas.openxmlformats.org/officeDocument/2006/relationships/hyperlink" Target="mailto:ariasvelez@hotmail.com" TargetMode="External"/><Relationship Id="rId4" Type="http://schemas.openxmlformats.org/officeDocument/2006/relationships/hyperlink" Target="mailto:ybba503@gmail.com" TargetMode="External"/><Relationship Id="rId9" Type="http://schemas.openxmlformats.org/officeDocument/2006/relationships/hyperlink" Target="mailto:jadomm@hotmail.com" TargetMode="External"/><Relationship Id="rId14" Type="http://schemas.openxmlformats.org/officeDocument/2006/relationships/hyperlink" Target="mailto:charitoauquilla@yahoo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ayuribu24@gmail.com" TargetMode="External"/><Relationship Id="rId21" Type="http://schemas.openxmlformats.org/officeDocument/2006/relationships/hyperlink" Target="mailto:djia_mjac@hotmail.com" TargetMode="External"/><Relationship Id="rId42" Type="http://schemas.openxmlformats.org/officeDocument/2006/relationships/hyperlink" Target="mailto:rgarzon48@gmail.com" TargetMode="External"/><Relationship Id="rId47" Type="http://schemas.openxmlformats.org/officeDocument/2006/relationships/hyperlink" Target="mailto:responsable1@hotmail.com" TargetMode="External"/><Relationship Id="rId63" Type="http://schemas.openxmlformats.org/officeDocument/2006/relationships/hyperlink" Target="mailto:mhicapie380@gmail.com" TargetMode="External"/><Relationship Id="rId68" Type="http://schemas.openxmlformats.org/officeDocument/2006/relationships/hyperlink" Target="mailto:fati.toral.leon@gmail.com" TargetMode="External"/><Relationship Id="rId84" Type="http://schemas.openxmlformats.org/officeDocument/2006/relationships/hyperlink" Target="mailto:esalome2013@gmail.com" TargetMode="External"/><Relationship Id="rId89" Type="http://schemas.openxmlformats.org/officeDocument/2006/relationships/hyperlink" Target="mailto:ficomedina1951@gmail.com" TargetMode="External"/><Relationship Id="rId112" Type="http://schemas.openxmlformats.org/officeDocument/2006/relationships/hyperlink" Target="mailto:lamonsalve@elmasnou.com" TargetMode="External"/><Relationship Id="rId16" Type="http://schemas.openxmlformats.org/officeDocument/2006/relationships/hyperlink" Target="mailto:marceabad@hotmail.com" TargetMode="External"/><Relationship Id="rId107" Type="http://schemas.openxmlformats.org/officeDocument/2006/relationships/hyperlink" Target="mailto:ggcandvisor@gmail.com" TargetMode="External"/><Relationship Id="rId11" Type="http://schemas.openxmlformats.org/officeDocument/2006/relationships/hyperlink" Target="mailto:ecuasa@hotmail.com" TargetMode="External"/><Relationship Id="rId32" Type="http://schemas.openxmlformats.org/officeDocument/2006/relationships/hyperlink" Target="mailto:tiestojj7-34@hotmail.com" TargetMode="External"/><Relationship Id="rId37" Type="http://schemas.openxmlformats.org/officeDocument/2006/relationships/hyperlink" Target="mailto:fabian.figueroa76@hotmail.com" TargetMode="External"/><Relationship Id="rId53" Type="http://schemas.openxmlformats.org/officeDocument/2006/relationships/hyperlink" Target="mailto:info@redoffice.ec" TargetMode="External"/><Relationship Id="rId58" Type="http://schemas.openxmlformats.org/officeDocument/2006/relationships/hyperlink" Target="mailto:estebansarmientocobos@gmail.com" TargetMode="External"/><Relationship Id="rId74" Type="http://schemas.openxmlformats.org/officeDocument/2006/relationships/hyperlink" Target="mailto:viciciopullas1959@hotmail.com" TargetMode="External"/><Relationship Id="rId79" Type="http://schemas.openxmlformats.org/officeDocument/2006/relationships/hyperlink" Target="mailto:juanca7010@hotmail.com" TargetMode="External"/><Relationship Id="rId102" Type="http://schemas.openxmlformats.org/officeDocument/2006/relationships/hyperlink" Target="mailto:omarsrc@gmail.com" TargetMode="External"/><Relationship Id="rId5" Type="http://schemas.openxmlformats.org/officeDocument/2006/relationships/hyperlink" Target="mailto:jorgemendez5@hotmail.com" TargetMode="External"/><Relationship Id="rId90" Type="http://schemas.openxmlformats.org/officeDocument/2006/relationships/hyperlink" Target="mailto:ficomedina1951@gmail.com" TargetMode="External"/><Relationship Id="rId95" Type="http://schemas.openxmlformats.org/officeDocument/2006/relationships/hyperlink" Target="mailto:jonny522010@gmail.com" TargetMode="External"/><Relationship Id="rId22" Type="http://schemas.openxmlformats.org/officeDocument/2006/relationships/hyperlink" Target="mailto:djia_mjac@hotmail.com" TargetMode="External"/><Relationship Id="rId27" Type="http://schemas.openxmlformats.org/officeDocument/2006/relationships/hyperlink" Target="mailto:paolaurgilesv@gmail.com" TargetMode="External"/><Relationship Id="rId43" Type="http://schemas.openxmlformats.org/officeDocument/2006/relationships/hyperlink" Target="mailto:mcrivera.brvo@gmail.com" TargetMode="External"/><Relationship Id="rId48" Type="http://schemas.openxmlformats.org/officeDocument/2006/relationships/hyperlink" Target="mailto:responsable1@hotmail.com" TargetMode="External"/><Relationship Id="rId64" Type="http://schemas.openxmlformats.org/officeDocument/2006/relationships/hyperlink" Target="mailto:mhicapie380@gmail.com" TargetMode="External"/><Relationship Id="rId69" Type="http://schemas.openxmlformats.org/officeDocument/2006/relationships/hyperlink" Target="mailto:jerp63@gmail.com" TargetMode="External"/><Relationship Id="rId113" Type="http://schemas.openxmlformats.org/officeDocument/2006/relationships/hyperlink" Target="mailto:lamonsalve@elmasnou.com" TargetMode="External"/><Relationship Id="rId80" Type="http://schemas.openxmlformats.org/officeDocument/2006/relationships/hyperlink" Target="mailto:juanca7010@hotmail.com" TargetMode="External"/><Relationship Id="rId85" Type="http://schemas.openxmlformats.org/officeDocument/2006/relationships/hyperlink" Target="mailto:esalome2013@gmail.com" TargetMode="External"/><Relationship Id="rId12" Type="http://schemas.openxmlformats.org/officeDocument/2006/relationships/hyperlink" Target="mailto:ecuasa@hotmail.com" TargetMode="External"/><Relationship Id="rId17" Type="http://schemas.openxmlformats.org/officeDocument/2006/relationships/hyperlink" Target="mailto:marceabad@hotmail.com" TargetMode="External"/><Relationship Id="rId33" Type="http://schemas.openxmlformats.org/officeDocument/2006/relationships/hyperlink" Target="mailto:alexamor.1208@gmail.com" TargetMode="External"/><Relationship Id="rId38" Type="http://schemas.openxmlformats.org/officeDocument/2006/relationships/hyperlink" Target="mailto:juanpatriciorivera@hotmail.com" TargetMode="External"/><Relationship Id="rId59" Type="http://schemas.openxmlformats.org/officeDocument/2006/relationships/hyperlink" Target="mailto:estebansarmientocobos@gmail.com" TargetMode="External"/><Relationship Id="rId103" Type="http://schemas.openxmlformats.org/officeDocument/2006/relationships/hyperlink" Target="mailto:gerencia@piguis.com" TargetMode="External"/><Relationship Id="rId108" Type="http://schemas.openxmlformats.org/officeDocument/2006/relationships/hyperlink" Target="mailto:ggcandvisor@gmail.com" TargetMode="External"/><Relationship Id="rId54" Type="http://schemas.openxmlformats.org/officeDocument/2006/relationships/hyperlink" Target="mailto:analucia.illescas@gmail.com" TargetMode="External"/><Relationship Id="rId70" Type="http://schemas.openxmlformats.org/officeDocument/2006/relationships/hyperlink" Target="mailto:jerp63@gmail.com" TargetMode="External"/><Relationship Id="rId75" Type="http://schemas.openxmlformats.org/officeDocument/2006/relationships/hyperlink" Target="mailto:viciciopullas1959@hotmail.com" TargetMode="External"/><Relationship Id="rId91" Type="http://schemas.openxmlformats.org/officeDocument/2006/relationships/hyperlink" Target="mailto:ficomedina1951@gmail.com" TargetMode="External"/><Relationship Id="rId96" Type="http://schemas.openxmlformats.org/officeDocument/2006/relationships/hyperlink" Target="mailto:omarsrc@gmail.com" TargetMode="External"/><Relationship Id="rId1" Type="http://schemas.openxmlformats.org/officeDocument/2006/relationships/hyperlink" Target="mailto:adrianaurgiles44@gmail.com" TargetMode="External"/><Relationship Id="rId6" Type="http://schemas.openxmlformats.org/officeDocument/2006/relationships/hyperlink" Target="mailto:ecuasa@hotmail.com" TargetMode="External"/><Relationship Id="rId15" Type="http://schemas.openxmlformats.org/officeDocument/2006/relationships/hyperlink" Target="mailto:ecuasa@hotmail.com" TargetMode="External"/><Relationship Id="rId23" Type="http://schemas.openxmlformats.org/officeDocument/2006/relationships/hyperlink" Target="mailto:eeorellana@hotmail.com" TargetMode="External"/><Relationship Id="rId28" Type="http://schemas.openxmlformats.org/officeDocument/2006/relationships/hyperlink" Target="mailto:paolaurgilesv@gmail.com" TargetMode="External"/><Relationship Id="rId36" Type="http://schemas.openxmlformats.org/officeDocument/2006/relationships/hyperlink" Target="mailto:fabian.figueroa76@hotmail.com" TargetMode="External"/><Relationship Id="rId49" Type="http://schemas.openxmlformats.org/officeDocument/2006/relationships/hyperlink" Target="mailto:jeimisramosmonopi@hotmail.com" TargetMode="External"/><Relationship Id="rId57" Type="http://schemas.openxmlformats.org/officeDocument/2006/relationships/hyperlink" Target="mailto:analucia.illescas@gmail.com" TargetMode="External"/><Relationship Id="rId106" Type="http://schemas.openxmlformats.org/officeDocument/2006/relationships/hyperlink" Target="mailto:ggcandvisor@gmail.com" TargetMode="External"/><Relationship Id="rId114" Type="http://schemas.openxmlformats.org/officeDocument/2006/relationships/hyperlink" Target="mailto:lamonsalve@elmasnou.com" TargetMode="External"/><Relationship Id="rId10" Type="http://schemas.openxmlformats.org/officeDocument/2006/relationships/hyperlink" Target="mailto:ecuasa@hotmail.com" TargetMode="External"/><Relationship Id="rId31" Type="http://schemas.openxmlformats.org/officeDocument/2006/relationships/hyperlink" Target="mailto:tiestojj7-34@hotmail.com" TargetMode="External"/><Relationship Id="rId44" Type="http://schemas.openxmlformats.org/officeDocument/2006/relationships/hyperlink" Target="mailto:mcrivera.brvo@gmail.com" TargetMode="External"/><Relationship Id="rId52" Type="http://schemas.openxmlformats.org/officeDocument/2006/relationships/hyperlink" Target="mailto:info@redoffice.ec" TargetMode="External"/><Relationship Id="rId60" Type="http://schemas.openxmlformats.org/officeDocument/2006/relationships/hyperlink" Target="mailto:estebansarmientocobos@gmail.com" TargetMode="External"/><Relationship Id="rId65" Type="http://schemas.openxmlformats.org/officeDocument/2006/relationships/hyperlink" Target="mailto:pedro.a.89@hotmail.com" TargetMode="External"/><Relationship Id="rId73" Type="http://schemas.openxmlformats.org/officeDocument/2006/relationships/hyperlink" Target="mailto:viciciopullas1959@hotmail.com" TargetMode="External"/><Relationship Id="rId78" Type="http://schemas.openxmlformats.org/officeDocument/2006/relationships/hyperlink" Target="mailto:patho1924@gmail.com" TargetMode="External"/><Relationship Id="rId81" Type="http://schemas.openxmlformats.org/officeDocument/2006/relationships/hyperlink" Target="mailto:Isantiagov@live.com" TargetMode="External"/><Relationship Id="rId86" Type="http://schemas.openxmlformats.org/officeDocument/2006/relationships/hyperlink" Target="mailto:abrilsebas@gmail.com" TargetMode="External"/><Relationship Id="rId94" Type="http://schemas.openxmlformats.org/officeDocument/2006/relationships/hyperlink" Target="mailto:jonny522010@gmail.com" TargetMode="External"/><Relationship Id="rId99" Type="http://schemas.openxmlformats.org/officeDocument/2006/relationships/hyperlink" Target="mailto:omarsrc@gmail.com" TargetMode="External"/><Relationship Id="rId101" Type="http://schemas.openxmlformats.org/officeDocument/2006/relationships/hyperlink" Target="mailto:omarsrc@gmail.com" TargetMode="External"/><Relationship Id="rId4" Type="http://schemas.openxmlformats.org/officeDocument/2006/relationships/hyperlink" Target="mailto:jorgemendez5@hotmail.com" TargetMode="External"/><Relationship Id="rId9" Type="http://schemas.openxmlformats.org/officeDocument/2006/relationships/hyperlink" Target="mailto:ecuasa@hotmail.com" TargetMode="External"/><Relationship Id="rId13" Type="http://schemas.openxmlformats.org/officeDocument/2006/relationships/hyperlink" Target="mailto:ecuasa@hotmail.com" TargetMode="External"/><Relationship Id="rId18" Type="http://schemas.openxmlformats.org/officeDocument/2006/relationships/hyperlink" Target="mailto:plazacarmen834@hotmail.com" TargetMode="External"/><Relationship Id="rId39" Type="http://schemas.openxmlformats.org/officeDocument/2006/relationships/hyperlink" Target="mailto:juanpatriciorivera@hotmail.com" TargetMode="External"/><Relationship Id="rId109" Type="http://schemas.openxmlformats.org/officeDocument/2006/relationships/hyperlink" Target="mailto:ggcandvisor@gmail.com" TargetMode="External"/><Relationship Id="rId34" Type="http://schemas.openxmlformats.org/officeDocument/2006/relationships/hyperlink" Target="mailto:alexamor.1208@gmail.com" TargetMode="External"/><Relationship Id="rId50" Type="http://schemas.openxmlformats.org/officeDocument/2006/relationships/hyperlink" Target="mailto:jeimisramosmonopi@hotmail.com" TargetMode="External"/><Relationship Id="rId55" Type="http://schemas.openxmlformats.org/officeDocument/2006/relationships/hyperlink" Target="mailto:analucia.illescas@gmail.com" TargetMode="External"/><Relationship Id="rId76" Type="http://schemas.openxmlformats.org/officeDocument/2006/relationships/hyperlink" Target="mailto:viciciopullas1959@hotmail.com" TargetMode="External"/><Relationship Id="rId97" Type="http://schemas.openxmlformats.org/officeDocument/2006/relationships/hyperlink" Target="mailto:omarsrc@gmail.com" TargetMode="External"/><Relationship Id="rId104" Type="http://schemas.openxmlformats.org/officeDocument/2006/relationships/hyperlink" Target="mailto:gerencia@piguis.com" TargetMode="External"/><Relationship Id="rId7" Type="http://schemas.openxmlformats.org/officeDocument/2006/relationships/hyperlink" Target="mailto:ecuasa@hotmail.com" TargetMode="External"/><Relationship Id="rId71" Type="http://schemas.openxmlformats.org/officeDocument/2006/relationships/hyperlink" Target="mailto:ana.elisabeth.ochoa@hotmai;l.com" TargetMode="External"/><Relationship Id="rId92" Type="http://schemas.openxmlformats.org/officeDocument/2006/relationships/hyperlink" Target="mailto:ficomedina1951@gmail.com" TargetMode="External"/><Relationship Id="rId2" Type="http://schemas.openxmlformats.org/officeDocument/2006/relationships/hyperlink" Target="mailto:adrianaurgiles44@gmail.com" TargetMode="External"/><Relationship Id="rId29" Type="http://schemas.openxmlformats.org/officeDocument/2006/relationships/hyperlink" Target="mailto:paolaurgilesv@gmail.com" TargetMode="External"/><Relationship Id="rId24" Type="http://schemas.openxmlformats.org/officeDocument/2006/relationships/hyperlink" Target="mailto:eeorellana@hotmail.com" TargetMode="External"/><Relationship Id="rId40" Type="http://schemas.openxmlformats.org/officeDocument/2006/relationships/hyperlink" Target="mailto:rgarzon48@gmail.com" TargetMode="External"/><Relationship Id="rId45" Type="http://schemas.openxmlformats.org/officeDocument/2006/relationships/hyperlink" Target="mailto:maria.enderica@yahoo.com" TargetMode="External"/><Relationship Id="rId66" Type="http://schemas.openxmlformats.org/officeDocument/2006/relationships/hyperlink" Target="mailto:pedro.a.89@hotmail.com" TargetMode="External"/><Relationship Id="rId87" Type="http://schemas.openxmlformats.org/officeDocument/2006/relationships/hyperlink" Target="mailto:abrilsebas@gmail.com" TargetMode="External"/><Relationship Id="rId110" Type="http://schemas.openxmlformats.org/officeDocument/2006/relationships/hyperlink" Target="mailto:ggcandvisor@gmail.com" TargetMode="External"/><Relationship Id="rId115" Type="http://schemas.openxmlformats.org/officeDocument/2006/relationships/hyperlink" Target="mailto:lamonsalve@elmasnou.com" TargetMode="External"/><Relationship Id="rId61" Type="http://schemas.openxmlformats.org/officeDocument/2006/relationships/hyperlink" Target="mailto:prici.verdugo@gmail.com" TargetMode="External"/><Relationship Id="rId82" Type="http://schemas.openxmlformats.org/officeDocument/2006/relationships/hyperlink" Target="mailto:Isantiagov@live.com" TargetMode="External"/><Relationship Id="rId19" Type="http://schemas.openxmlformats.org/officeDocument/2006/relationships/hyperlink" Target="mailto:plazacarmen834@hotmail.com" TargetMode="External"/><Relationship Id="rId14" Type="http://schemas.openxmlformats.org/officeDocument/2006/relationships/hyperlink" Target="mailto:ecuasa@hotmail.com" TargetMode="External"/><Relationship Id="rId30" Type="http://schemas.openxmlformats.org/officeDocument/2006/relationships/hyperlink" Target="mailto:paolaurgilesv@gmail.com" TargetMode="External"/><Relationship Id="rId35" Type="http://schemas.openxmlformats.org/officeDocument/2006/relationships/hyperlink" Target="mailto:fabian.figueroa76@hotmail.com" TargetMode="External"/><Relationship Id="rId56" Type="http://schemas.openxmlformats.org/officeDocument/2006/relationships/hyperlink" Target="mailto:analucia.illescas@gmail.com" TargetMode="External"/><Relationship Id="rId77" Type="http://schemas.openxmlformats.org/officeDocument/2006/relationships/hyperlink" Target="mailto:patho1924@gmail.com" TargetMode="External"/><Relationship Id="rId100" Type="http://schemas.openxmlformats.org/officeDocument/2006/relationships/hyperlink" Target="mailto:omarsrc@gmail.com" TargetMode="External"/><Relationship Id="rId105" Type="http://schemas.openxmlformats.org/officeDocument/2006/relationships/hyperlink" Target="mailto:gerencia@piguis.com" TargetMode="External"/><Relationship Id="rId8" Type="http://schemas.openxmlformats.org/officeDocument/2006/relationships/hyperlink" Target="mailto:ecuasa@hotmail.com" TargetMode="External"/><Relationship Id="rId51" Type="http://schemas.openxmlformats.org/officeDocument/2006/relationships/hyperlink" Target="mailto:info@redoffice.ec" TargetMode="External"/><Relationship Id="rId72" Type="http://schemas.openxmlformats.org/officeDocument/2006/relationships/hyperlink" Target="mailto:ana.elisabeth.ochoa@hotmai;l.com" TargetMode="External"/><Relationship Id="rId93" Type="http://schemas.openxmlformats.org/officeDocument/2006/relationships/hyperlink" Target="mailto:jonny522010@gmail.com" TargetMode="External"/><Relationship Id="rId98" Type="http://schemas.openxmlformats.org/officeDocument/2006/relationships/hyperlink" Target="mailto:omarsrc@gmail.com" TargetMode="External"/><Relationship Id="rId3" Type="http://schemas.openxmlformats.org/officeDocument/2006/relationships/hyperlink" Target="mailto:jorgemendez5@hotmail.com" TargetMode="External"/><Relationship Id="rId25" Type="http://schemas.openxmlformats.org/officeDocument/2006/relationships/hyperlink" Target="mailto:sayuribu24@gmail.com" TargetMode="External"/><Relationship Id="rId46" Type="http://schemas.openxmlformats.org/officeDocument/2006/relationships/hyperlink" Target="mailto:maria.enderica@yahoo.com" TargetMode="External"/><Relationship Id="rId67" Type="http://schemas.openxmlformats.org/officeDocument/2006/relationships/hyperlink" Target="mailto:fati.toral.leon@gmail.com" TargetMode="External"/><Relationship Id="rId116" Type="http://schemas.openxmlformats.org/officeDocument/2006/relationships/drawing" Target="../drawings/drawing2.xml"/><Relationship Id="rId20" Type="http://schemas.openxmlformats.org/officeDocument/2006/relationships/hyperlink" Target="mailto:plazacarmen834@hotmail.com" TargetMode="External"/><Relationship Id="rId41" Type="http://schemas.openxmlformats.org/officeDocument/2006/relationships/hyperlink" Target="mailto:rgarzon48@gmail.com" TargetMode="External"/><Relationship Id="rId62" Type="http://schemas.openxmlformats.org/officeDocument/2006/relationships/hyperlink" Target="mailto:prici.verdugo@gmail.com" TargetMode="External"/><Relationship Id="rId83" Type="http://schemas.openxmlformats.org/officeDocument/2006/relationships/hyperlink" Target="mailto:Isantiagov@live.com" TargetMode="External"/><Relationship Id="rId88" Type="http://schemas.openxmlformats.org/officeDocument/2006/relationships/hyperlink" Target="mailto:ficomedina1951@gmail.com" TargetMode="External"/><Relationship Id="rId111" Type="http://schemas.openxmlformats.org/officeDocument/2006/relationships/hyperlink" Target="mailto:ggcandviso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vivipaulyzambrano@hotmail.com" TargetMode="External"/><Relationship Id="rId7" Type="http://schemas.openxmlformats.org/officeDocument/2006/relationships/hyperlink" Target="mailto:carlosi1990@hotmail.com" TargetMode="External"/><Relationship Id="rId2" Type="http://schemas.openxmlformats.org/officeDocument/2006/relationships/hyperlink" Target="mailto:alejandrotapia741@gmail.com" TargetMode="External"/><Relationship Id="rId1" Type="http://schemas.openxmlformats.org/officeDocument/2006/relationships/hyperlink" Target="mailto:edgarhsald@yahoo.com" TargetMode="External"/><Relationship Id="rId6" Type="http://schemas.openxmlformats.org/officeDocument/2006/relationships/hyperlink" Target="mailto:ficomedina1951@gmail.com" TargetMode="External"/><Relationship Id="rId5" Type="http://schemas.openxmlformats.org/officeDocument/2006/relationships/hyperlink" Target="mailto:maka.alvenzo@kywi.com.ec" TargetMode="External"/><Relationship Id="rId4" Type="http://schemas.openxmlformats.org/officeDocument/2006/relationships/hyperlink" Target="mailto:maka.alvenzo@kywi.com.e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jerp63@gmail.com" TargetMode="External"/><Relationship Id="rId21" Type="http://schemas.openxmlformats.org/officeDocument/2006/relationships/hyperlink" Target="mailto:estebansarmientocobos@gmail.com" TargetMode="External"/><Relationship Id="rId42" Type="http://schemas.openxmlformats.org/officeDocument/2006/relationships/hyperlink" Target="mailto:bibiscam93@hotmail.com" TargetMode="External"/><Relationship Id="rId47" Type="http://schemas.openxmlformats.org/officeDocument/2006/relationships/hyperlink" Target="mailto:pati26@gmail.com" TargetMode="External"/><Relationship Id="rId63" Type="http://schemas.openxmlformats.org/officeDocument/2006/relationships/hyperlink" Target="mailto:chis_steffy@hotmail.com" TargetMode="External"/><Relationship Id="rId68" Type="http://schemas.openxmlformats.org/officeDocument/2006/relationships/hyperlink" Target="mailto:galukas@gmail.com" TargetMode="External"/><Relationship Id="rId84" Type="http://schemas.openxmlformats.org/officeDocument/2006/relationships/hyperlink" Target="mailto:repair.repuestos@hotmail.com" TargetMode="External"/><Relationship Id="rId16" Type="http://schemas.openxmlformats.org/officeDocument/2006/relationships/hyperlink" Target="mailto:maria.enderica@yahoo.com" TargetMode="External"/><Relationship Id="rId11" Type="http://schemas.openxmlformats.org/officeDocument/2006/relationships/hyperlink" Target="mailto:alexamor.1208@gmail.com" TargetMode="External"/><Relationship Id="rId32" Type="http://schemas.openxmlformats.org/officeDocument/2006/relationships/hyperlink" Target="mailto:mfrancisco202@gmail.com" TargetMode="External"/><Relationship Id="rId37" Type="http://schemas.openxmlformats.org/officeDocument/2006/relationships/hyperlink" Target="mailto:gracevelastegui@yahoo.com" TargetMode="External"/><Relationship Id="rId53" Type="http://schemas.openxmlformats.org/officeDocument/2006/relationships/hyperlink" Target="mailto:edgarhsald@yahoo.com" TargetMode="External"/><Relationship Id="rId58" Type="http://schemas.openxmlformats.org/officeDocument/2006/relationships/hyperlink" Target="mailto:ficomedina1951@gmail.com" TargetMode="External"/><Relationship Id="rId74" Type="http://schemas.openxmlformats.org/officeDocument/2006/relationships/hyperlink" Target="mailto:kywicuenca@kywi.com.ec" TargetMode="External"/><Relationship Id="rId79" Type="http://schemas.openxmlformats.org/officeDocument/2006/relationships/hyperlink" Target="mailto:ferzamora1980@gmail.com" TargetMode="External"/><Relationship Id="rId5" Type="http://schemas.openxmlformats.org/officeDocument/2006/relationships/hyperlink" Target="mailto:plazacarmen834@hotmail.com" TargetMode="External"/><Relationship Id="rId19" Type="http://schemas.openxmlformats.org/officeDocument/2006/relationships/hyperlink" Target="mailto:info@redoffice.ec" TargetMode="External"/><Relationship Id="rId14" Type="http://schemas.openxmlformats.org/officeDocument/2006/relationships/hyperlink" Target="mailto:rgarzon48@gmail.com" TargetMode="External"/><Relationship Id="rId22" Type="http://schemas.openxmlformats.org/officeDocument/2006/relationships/hyperlink" Target="mailto:prici.verdugo@gmail.com" TargetMode="External"/><Relationship Id="rId27" Type="http://schemas.openxmlformats.org/officeDocument/2006/relationships/hyperlink" Target="mailto:ana.elisabeth.ochoa@hotmai;l.com" TargetMode="External"/><Relationship Id="rId30" Type="http://schemas.openxmlformats.org/officeDocument/2006/relationships/hyperlink" Target="mailto:juanca7010@hotmail.com" TargetMode="External"/><Relationship Id="rId35" Type="http://schemas.openxmlformats.org/officeDocument/2006/relationships/hyperlink" Target="mailto:ferriastral@hotmail.com" TargetMode="External"/><Relationship Id="rId43" Type="http://schemas.openxmlformats.org/officeDocument/2006/relationships/hyperlink" Target="mailto:mauroullua90@hotmail.com" TargetMode="External"/><Relationship Id="rId48" Type="http://schemas.openxmlformats.org/officeDocument/2006/relationships/hyperlink" Target="mailto:eduand.chango@gmail.com" TargetMode="External"/><Relationship Id="rId56" Type="http://schemas.openxmlformats.org/officeDocument/2006/relationships/hyperlink" Target="mailto:maka.alvenzo@kywi.com.ec" TargetMode="External"/><Relationship Id="rId64" Type="http://schemas.openxmlformats.org/officeDocument/2006/relationships/hyperlink" Target="mailto:mpseg@hotmail.com" TargetMode="External"/><Relationship Id="rId69" Type="http://schemas.openxmlformats.org/officeDocument/2006/relationships/hyperlink" Target="mailto:luislopezzambrano2019@gmail.com" TargetMode="External"/><Relationship Id="rId77" Type="http://schemas.openxmlformats.org/officeDocument/2006/relationships/hyperlink" Target="mailto:ferzamora1980@gmail.com" TargetMode="External"/><Relationship Id="rId8" Type="http://schemas.openxmlformats.org/officeDocument/2006/relationships/hyperlink" Target="mailto:sayuribu24@gmail.com" TargetMode="External"/><Relationship Id="rId51" Type="http://schemas.openxmlformats.org/officeDocument/2006/relationships/hyperlink" Target="mailto:dorian87-19@outlook.com" TargetMode="External"/><Relationship Id="rId72" Type="http://schemas.openxmlformats.org/officeDocument/2006/relationships/hyperlink" Target="mailto:ferriaustral@hotmail.com" TargetMode="External"/><Relationship Id="rId80" Type="http://schemas.openxmlformats.org/officeDocument/2006/relationships/hyperlink" Target="mailto:rosaromy@gmail.com" TargetMode="External"/><Relationship Id="rId85" Type="http://schemas.openxmlformats.org/officeDocument/2006/relationships/hyperlink" Target="mailto:isacobs@gmail.com" TargetMode="External"/><Relationship Id="rId3" Type="http://schemas.openxmlformats.org/officeDocument/2006/relationships/hyperlink" Target="mailto:ecuasa@hotmail.com" TargetMode="External"/><Relationship Id="rId12" Type="http://schemas.openxmlformats.org/officeDocument/2006/relationships/hyperlink" Target="mailto:fabian.figueroa76@hotmail.com" TargetMode="External"/><Relationship Id="rId17" Type="http://schemas.openxmlformats.org/officeDocument/2006/relationships/hyperlink" Target="mailto:responsable1@hotmail.com" TargetMode="External"/><Relationship Id="rId25" Type="http://schemas.openxmlformats.org/officeDocument/2006/relationships/hyperlink" Target="mailto:fati.toral.leon@gmail.com" TargetMode="External"/><Relationship Id="rId33" Type="http://schemas.openxmlformats.org/officeDocument/2006/relationships/hyperlink" Target="mailto:aciroblas54@hotmail.com" TargetMode="External"/><Relationship Id="rId38" Type="http://schemas.openxmlformats.org/officeDocument/2006/relationships/hyperlink" Target="mailto:ortenciarendon90@gmail.com" TargetMode="External"/><Relationship Id="rId46" Type="http://schemas.openxmlformats.org/officeDocument/2006/relationships/hyperlink" Target="mailto:cosntructoraorellana@gmail.com" TargetMode="External"/><Relationship Id="rId59" Type="http://schemas.openxmlformats.org/officeDocument/2006/relationships/hyperlink" Target="mailto:jonny522010@gmail.com" TargetMode="External"/><Relationship Id="rId67" Type="http://schemas.openxmlformats.org/officeDocument/2006/relationships/hyperlink" Target="mailto:santiagoarthertula@icloud.com" TargetMode="External"/><Relationship Id="rId20" Type="http://schemas.openxmlformats.org/officeDocument/2006/relationships/hyperlink" Target="mailto:analucia.illescas@gmail.com" TargetMode="External"/><Relationship Id="rId41" Type="http://schemas.openxmlformats.org/officeDocument/2006/relationships/hyperlink" Target="mailto:betomacedo60@gmail.com" TargetMode="External"/><Relationship Id="rId54" Type="http://schemas.openxmlformats.org/officeDocument/2006/relationships/hyperlink" Target="mailto:alejandrotapia741@gmail.com" TargetMode="External"/><Relationship Id="rId62" Type="http://schemas.openxmlformats.org/officeDocument/2006/relationships/hyperlink" Target="mailto:ggcandvisor@gmail.com" TargetMode="External"/><Relationship Id="rId70" Type="http://schemas.openxmlformats.org/officeDocument/2006/relationships/hyperlink" Target="mailto:isanrez@gmail.com" TargetMode="External"/><Relationship Id="rId75" Type="http://schemas.openxmlformats.org/officeDocument/2006/relationships/hyperlink" Target="mailto:jadomm@hotmail.com" TargetMode="External"/><Relationship Id="rId83" Type="http://schemas.openxmlformats.org/officeDocument/2006/relationships/hyperlink" Target="mailto:rosaromy@gmail.com" TargetMode="External"/><Relationship Id="rId1" Type="http://schemas.openxmlformats.org/officeDocument/2006/relationships/hyperlink" Target="mailto:adrianaurgiles44@gmail.com" TargetMode="External"/><Relationship Id="rId6" Type="http://schemas.openxmlformats.org/officeDocument/2006/relationships/hyperlink" Target="mailto:djia_mjac@hotmail.com" TargetMode="External"/><Relationship Id="rId15" Type="http://schemas.openxmlformats.org/officeDocument/2006/relationships/hyperlink" Target="mailto:mcrivera.brvo@gmail.com" TargetMode="External"/><Relationship Id="rId23" Type="http://schemas.openxmlformats.org/officeDocument/2006/relationships/hyperlink" Target="mailto:mhicapie380@gmail.com" TargetMode="External"/><Relationship Id="rId28" Type="http://schemas.openxmlformats.org/officeDocument/2006/relationships/hyperlink" Target="mailto:viciciopullas1959@hotmail.com" TargetMode="External"/><Relationship Id="rId36" Type="http://schemas.openxmlformats.org/officeDocument/2006/relationships/hyperlink" Target="mailto:grupo.caminar@hotmail.com" TargetMode="External"/><Relationship Id="rId49" Type="http://schemas.openxmlformats.org/officeDocument/2006/relationships/hyperlink" Target="mailto:slopez@etapanet.net" TargetMode="External"/><Relationship Id="rId57" Type="http://schemas.openxmlformats.org/officeDocument/2006/relationships/hyperlink" Target="mailto:maka.alvenzo@kywi.com.ec" TargetMode="External"/><Relationship Id="rId10" Type="http://schemas.openxmlformats.org/officeDocument/2006/relationships/hyperlink" Target="mailto:tiestojj7-34@hotmail.com" TargetMode="External"/><Relationship Id="rId31" Type="http://schemas.openxmlformats.org/officeDocument/2006/relationships/hyperlink" Target="mailto:Isantiagov@live.com" TargetMode="External"/><Relationship Id="rId44" Type="http://schemas.openxmlformats.org/officeDocument/2006/relationships/hyperlink" Target="mailto:mariapangol2014@gmail.com" TargetMode="External"/><Relationship Id="rId52" Type="http://schemas.openxmlformats.org/officeDocument/2006/relationships/hyperlink" Target="mailto:verofarez@hotmail.com" TargetMode="External"/><Relationship Id="rId60" Type="http://schemas.openxmlformats.org/officeDocument/2006/relationships/hyperlink" Target="mailto:omarsrc@gmail.com" TargetMode="External"/><Relationship Id="rId65" Type="http://schemas.openxmlformats.org/officeDocument/2006/relationships/hyperlink" Target="mailto:josemcabrera1944@gmail.com" TargetMode="External"/><Relationship Id="rId73" Type="http://schemas.openxmlformats.org/officeDocument/2006/relationships/hyperlink" Target="mailto:melimorenoc2119@gmail.com" TargetMode="External"/><Relationship Id="rId78" Type="http://schemas.openxmlformats.org/officeDocument/2006/relationships/hyperlink" Target="mailto:ferzamora1980@gmail.com" TargetMode="External"/><Relationship Id="rId81" Type="http://schemas.openxmlformats.org/officeDocument/2006/relationships/hyperlink" Target="mailto:nauntapiasdb@yahoo.com" TargetMode="External"/><Relationship Id="rId4" Type="http://schemas.openxmlformats.org/officeDocument/2006/relationships/hyperlink" Target="mailto:marceabad@hotmail.com" TargetMode="External"/><Relationship Id="rId9" Type="http://schemas.openxmlformats.org/officeDocument/2006/relationships/hyperlink" Target="mailto:paolaurgilesv@gmail.com" TargetMode="External"/><Relationship Id="rId13" Type="http://schemas.openxmlformats.org/officeDocument/2006/relationships/hyperlink" Target="mailto:juanpatriciorivera@hotmail.com" TargetMode="External"/><Relationship Id="rId18" Type="http://schemas.openxmlformats.org/officeDocument/2006/relationships/hyperlink" Target="mailto:jeimisramosmonopi@hotmail.com" TargetMode="External"/><Relationship Id="rId39" Type="http://schemas.openxmlformats.org/officeDocument/2006/relationships/hyperlink" Target="mailto:cris-raly@hotmail.com" TargetMode="External"/><Relationship Id="rId34" Type="http://schemas.openxmlformats.org/officeDocument/2006/relationships/hyperlink" Target="mailto:ybba503@gmail.com" TargetMode="External"/><Relationship Id="rId50" Type="http://schemas.openxmlformats.org/officeDocument/2006/relationships/hyperlink" Target="mailto:vcio1448@hotmail.com" TargetMode="External"/><Relationship Id="rId55" Type="http://schemas.openxmlformats.org/officeDocument/2006/relationships/hyperlink" Target="mailto:vivipaulyzambrano@hotmail.com" TargetMode="External"/><Relationship Id="rId76" Type="http://schemas.openxmlformats.org/officeDocument/2006/relationships/hyperlink" Target="mailto:ariasvelez@hotmail.com" TargetMode="External"/><Relationship Id="rId7" Type="http://schemas.openxmlformats.org/officeDocument/2006/relationships/hyperlink" Target="mailto:eeorellana@hotmail.com" TargetMode="External"/><Relationship Id="rId71" Type="http://schemas.openxmlformats.org/officeDocument/2006/relationships/hyperlink" Target="mailto:maeuz@hotmail.com" TargetMode="External"/><Relationship Id="rId2" Type="http://schemas.openxmlformats.org/officeDocument/2006/relationships/hyperlink" Target="mailto:jorgemendez5@hotmail.com" TargetMode="External"/><Relationship Id="rId29" Type="http://schemas.openxmlformats.org/officeDocument/2006/relationships/hyperlink" Target="mailto:patho1924@gmail.com" TargetMode="External"/><Relationship Id="rId24" Type="http://schemas.openxmlformats.org/officeDocument/2006/relationships/hyperlink" Target="mailto:pedro.a.89@hotmail.com" TargetMode="External"/><Relationship Id="rId40" Type="http://schemas.openxmlformats.org/officeDocument/2006/relationships/hyperlink" Target="mailto:nelson.vidal87@gmail.com" TargetMode="External"/><Relationship Id="rId45" Type="http://schemas.openxmlformats.org/officeDocument/2006/relationships/hyperlink" Target="mailto:pedro.balarezo@hotmail.com" TargetMode="External"/><Relationship Id="rId66" Type="http://schemas.openxmlformats.org/officeDocument/2006/relationships/hyperlink" Target="mailto:orellanaconstructores@hotmail.com" TargetMode="External"/><Relationship Id="rId61" Type="http://schemas.openxmlformats.org/officeDocument/2006/relationships/hyperlink" Target="mailto:gerencia@piguis.com" TargetMode="External"/><Relationship Id="rId82" Type="http://schemas.openxmlformats.org/officeDocument/2006/relationships/hyperlink" Target="mailto:charitoauquilla@yahoo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.balarezo@hotmail.com" TargetMode="External"/><Relationship Id="rId13" Type="http://schemas.openxmlformats.org/officeDocument/2006/relationships/hyperlink" Target="mailto:vcio1448@hotmail.com" TargetMode="External"/><Relationship Id="rId18" Type="http://schemas.openxmlformats.org/officeDocument/2006/relationships/hyperlink" Target="mailto:fernandoleong@yahoo.es" TargetMode="External"/><Relationship Id="rId26" Type="http://schemas.openxmlformats.org/officeDocument/2006/relationships/hyperlink" Target="mailto:isanrez@gmail.com" TargetMode="External"/><Relationship Id="rId3" Type="http://schemas.openxmlformats.org/officeDocument/2006/relationships/hyperlink" Target="mailto:nelson.vidal87@gmail.com" TargetMode="External"/><Relationship Id="rId21" Type="http://schemas.openxmlformats.org/officeDocument/2006/relationships/hyperlink" Target="mailto:josemcabrera1944@gmail.com" TargetMode="External"/><Relationship Id="rId7" Type="http://schemas.openxmlformats.org/officeDocument/2006/relationships/hyperlink" Target="mailto:mariapangol2014@gmail.com" TargetMode="External"/><Relationship Id="rId12" Type="http://schemas.openxmlformats.org/officeDocument/2006/relationships/hyperlink" Target="mailto:slopez@etapanet.net" TargetMode="External"/><Relationship Id="rId17" Type="http://schemas.openxmlformats.org/officeDocument/2006/relationships/hyperlink" Target="mailto:alltoursreserva@hotmail.com" TargetMode="External"/><Relationship Id="rId25" Type="http://schemas.openxmlformats.org/officeDocument/2006/relationships/hyperlink" Target="mailto:luislopezzambrano2019@gmail.com" TargetMode="External"/><Relationship Id="rId2" Type="http://schemas.openxmlformats.org/officeDocument/2006/relationships/hyperlink" Target="mailto:cris-raly@hotmail.com" TargetMode="External"/><Relationship Id="rId16" Type="http://schemas.openxmlformats.org/officeDocument/2006/relationships/hyperlink" Target="mailto:deorellana64@hotmail.com" TargetMode="External"/><Relationship Id="rId20" Type="http://schemas.openxmlformats.org/officeDocument/2006/relationships/hyperlink" Target="mailto:mpseg@hotmail.com" TargetMode="External"/><Relationship Id="rId29" Type="http://schemas.openxmlformats.org/officeDocument/2006/relationships/hyperlink" Target="mailto:nauntapiasdb@yahoo.com" TargetMode="External"/><Relationship Id="rId1" Type="http://schemas.openxmlformats.org/officeDocument/2006/relationships/hyperlink" Target="mailto:ortenciarendon90@gmail.com" TargetMode="External"/><Relationship Id="rId6" Type="http://schemas.openxmlformats.org/officeDocument/2006/relationships/hyperlink" Target="mailto:mauroullua90@hotmail.com" TargetMode="External"/><Relationship Id="rId11" Type="http://schemas.openxmlformats.org/officeDocument/2006/relationships/hyperlink" Target="mailto:eduand.chango@gmail.com" TargetMode="External"/><Relationship Id="rId24" Type="http://schemas.openxmlformats.org/officeDocument/2006/relationships/hyperlink" Target="mailto:galukas@gmail.com" TargetMode="External"/><Relationship Id="rId5" Type="http://schemas.openxmlformats.org/officeDocument/2006/relationships/hyperlink" Target="mailto:bibiscam93@hotmail.com" TargetMode="External"/><Relationship Id="rId15" Type="http://schemas.openxmlformats.org/officeDocument/2006/relationships/hyperlink" Target="mailto:verofarez@hotmail.com" TargetMode="External"/><Relationship Id="rId23" Type="http://schemas.openxmlformats.org/officeDocument/2006/relationships/hyperlink" Target="mailto:santiagoarthertula@icloud.com" TargetMode="External"/><Relationship Id="rId28" Type="http://schemas.openxmlformats.org/officeDocument/2006/relationships/hyperlink" Target="mailto:ferriaustral@hotmail.com" TargetMode="External"/><Relationship Id="rId10" Type="http://schemas.openxmlformats.org/officeDocument/2006/relationships/hyperlink" Target="mailto:pati26@gmail.com" TargetMode="External"/><Relationship Id="rId19" Type="http://schemas.openxmlformats.org/officeDocument/2006/relationships/hyperlink" Target="mailto:chis_steffy@hotmail.com" TargetMode="External"/><Relationship Id="rId31" Type="http://schemas.openxmlformats.org/officeDocument/2006/relationships/drawing" Target="../drawings/drawing5.xml"/><Relationship Id="rId4" Type="http://schemas.openxmlformats.org/officeDocument/2006/relationships/hyperlink" Target="mailto:betomacedo60@gmail.com" TargetMode="External"/><Relationship Id="rId9" Type="http://schemas.openxmlformats.org/officeDocument/2006/relationships/hyperlink" Target="mailto:cosntructoraorellana@gmail.com" TargetMode="External"/><Relationship Id="rId14" Type="http://schemas.openxmlformats.org/officeDocument/2006/relationships/hyperlink" Target="mailto:dorian87-19@outlook.com" TargetMode="External"/><Relationship Id="rId22" Type="http://schemas.openxmlformats.org/officeDocument/2006/relationships/hyperlink" Target="mailto:orellanaconstructores@hotmail.com" TargetMode="External"/><Relationship Id="rId27" Type="http://schemas.openxmlformats.org/officeDocument/2006/relationships/hyperlink" Target="mailto:maeuz@hotmail.com" TargetMode="External"/><Relationship Id="rId30" Type="http://schemas.openxmlformats.org/officeDocument/2006/relationships/hyperlink" Target="mailto:rosaro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E585-2D5A-4C42-B0F9-72A5F643EB6C}">
  <dimension ref="A2:AB37"/>
  <sheetViews>
    <sheetView tabSelected="1" workbookViewId="0">
      <selection activeCell="H9" sqref="H9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1.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48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  <c r="O2" s="45"/>
      <c r="P2" s="1"/>
      <c r="Q2" s="1"/>
      <c r="R2" s="1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46"/>
      <c r="P3" s="16"/>
      <c r="Q3" s="16"/>
      <c r="R3" s="16"/>
      <c r="S3" s="16"/>
    </row>
    <row r="4" spans="1:28" ht="18">
      <c r="B4" s="7"/>
      <c r="C4" s="17" t="s">
        <v>1</v>
      </c>
      <c r="D4" s="18"/>
      <c r="E4" s="19"/>
      <c r="F4" s="19"/>
      <c r="G4" s="12"/>
      <c r="H4" s="13"/>
      <c r="I4" s="13"/>
      <c r="J4" s="13"/>
      <c r="K4" s="13"/>
      <c r="L4" s="13"/>
      <c r="M4" s="14"/>
      <c r="N4" s="15"/>
      <c r="O4" s="46"/>
      <c r="P4" s="16"/>
      <c r="Q4" s="16"/>
      <c r="R4" s="16"/>
      <c r="S4" s="16"/>
    </row>
    <row r="5" spans="1:28" ht="24">
      <c r="B5" s="20" t="s">
        <v>1445</v>
      </c>
      <c r="C5" s="21"/>
      <c r="D5" s="22"/>
      <c r="E5" s="23" t="s">
        <v>2</v>
      </c>
      <c r="F5" s="24"/>
      <c r="G5" s="25"/>
      <c r="H5" s="26"/>
      <c r="I5" s="50"/>
      <c r="J5" s="27"/>
      <c r="K5" s="27"/>
      <c r="L5" s="28"/>
      <c r="M5" s="29" t="s">
        <v>1452</v>
      </c>
      <c r="N5" s="30"/>
      <c r="O5" s="47"/>
    </row>
    <row r="6" spans="1:28" ht="17">
      <c r="B6" s="31" t="s">
        <v>3</v>
      </c>
      <c r="C6" s="32"/>
      <c r="D6" s="33"/>
      <c r="E6" s="33"/>
      <c r="F6" s="33"/>
      <c r="G6" s="33"/>
      <c r="H6" s="33"/>
      <c r="I6" s="33"/>
      <c r="J6" s="33"/>
      <c r="K6" s="33"/>
      <c r="L6" s="33"/>
      <c r="M6" s="34"/>
      <c r="N6" s="30"/>
      <c r="O6" s="47"/>
    </row>
    <row r="7" spans="1:28" ht="18">
      <c r="B7" s="35" t="s">
        <v>1446</v>
      </c>
      <c r="C7" s="36"/>
      <c r="D7" s="37"/>
      <c r="E7" s="37"/>
      <c r="F7" s="37"/>
      <c r="G7" s="37"/>
      <c r="H7" s="37" t="s">
        <v>967</v>
      </c>
      <c r="I7" s="37"/>
      <c r="J7" s="37"/>
      <c r="K7" s="37"/>
      <c r="L7" s="37"/>
      <c r="M7" s="38"/>
      <c r="N7" s="30"/>
      <c r="O7" s="47"/>
    </row>
    <row r="8" spans="1:28" ht="36">
      <c r="A8" s="39"/>
      <c r="B8" s="40" t="s">
        <v>4</v>
      </c>
      <c r="C8" s="40" t="s">
        <v>5</v>
      </c>
      <c r="D8" s="40" t="s">
        <v>6</v>
      </c>
      <c r="E8" s="40" t="s">
        <v>7</v>
      </c>
      <c r="F8" s="40" t="s">
        <v>8</v>
      </c>
      <c r="G8" s="40" t="s">
        <v>9</v>
      </c>
      <c r="H8" s="40" t="s">
        <v>10</v>
      </c>
      <c r="I8" s="40" t="s">
        <v>11</v>
      </c>
      <c r="J8" s="40" t="s">
        <v>12</v>
      </c>
      <c r="K8" s="40" t="s">
        <v>13</v>
      </c>
      <c r="L8" s="40" t="s">
        <v>14</v>
      </c>
      <c r="M8" s="41" t="s">
        <v>15</v>
      </c>
      <c r="N8" s="42" t="s">
        <v>16</v>
      </c>
      <c r="O8" s="180" t="s">
        <v>17</v>
      </c>
      <c r="P8" s="40" t="s">
        <v>18</v>
      </c>
      <c r="Q8" s="40" t="s">
        <v>19</v>
      </c>
      <c r="R8" s="43" t="s">
        <v>20</v>
      </c>
      <c r="S8" s="43" t="s">
        <v>21</v>
      </c>
      <c r="T8" s="44"/>
      <c r="U8" s="39"/>
      <c r="V8" s="39"/>
      <c r="W8" s="39"/>
      <c r="X8" s="39"/>
      <c r="Y8" s="39"/>
      <c r="Z8" s="39"/>
      <c r="AA8" s="39"/>
      <c r="AB8" s="39"/>
    </row>
    <row r="9" spans="1:28" ht="54">
      <c r="A9">
        <v>1</v>
      </c>
      <c r="B9" s="169">
        <v>44812</v>
      </c>
      <c r="C9" s="170">
        <v>45827</v>
      </c>
      <c r="D9" s="171">
        <v>1</v>
      </c>
      <c r="E9" s="171"/>
      <c r="F9" s="172"/>
      <c r="G9" s="137">
        <v>40782510</v>
      </c>
      <c r="H9" s="5" t="str">
        <f t="shared" ref="H9:H14" si="0">VLOOKUP(G9,PROD,2,FALSE)</f>
        <v>LP8 850 M LAVAVAJILLAS</v>
      </c>
      <c r="I9" s="174" t="s">
        <v>1149</v>
      </c>
      <c r="J9" s="175" t="s">
        <v>23</v>
      </c>
      <c r="K9" s="173" t="s">
        <v>1142</v>
      </c>
      <c r="L9" s="173" t="s">
        <v>1036</v>
      </c>
      <c r="M9" s="172" t="s">
        <v>1436</v>
      </c>
      <c r="N9" s="176">
        <v>18.75</v>
      </c>
      <c r="O9" s="179" t="s">
        <v>1151</v>
      </c>
      <c r="P9" s="177" t="s">
        <v>1150</v>
      </c>
      <c r="Q9" s="178">
        <v>998891887</v>
      </c>
      <c r="R9" s="178"/>
      <c r="S9" s="178" t="s">
        <v>1438</v>
      </c>
    </row>
    <row r="10" spans="1:28" ht="54">
      <c r="A10">
        <v>2</v>
      </c>
      <c r="B10" s="169">
        <v>45635</v>
      </c>
      <c r="C10" s="170">
        <v>45827</v>
      </c>
      <c r="D10" s="171">
        <v>1</v>
      </c>
      <c r="E10" s="171"/>
      <c r="F10" s="172"/>
      <c r="G10" s="173">
        <v>112500047</v>
      </c>
      <c r="H10" s="5" t="str">
        <f t="shared" si="0"/>
        <v>IZF 99700 MST COCINA INDUCCION</v>
      </c>
      <c r="I10" s="174" t="s">
        <v>1153</v>
      </c>
      <c r="J10" s="175" t="s">
        <v>23</v>
      </c>
      <c r="K10" s="173" t="s">
        <v>1142</v>
      </c>
      <c r="L10" s="173" t="s">
        <v>1039</v>
      </c>
      <c r="M10" s="172" t="s">
        <v>1156</v>
      </c>
      <c r="N10" s="176">
        <v>12.5</v>
      </c>
      <c r="O10" s="179" t="s">
        <v>1155</v>
      </c>
      <c r="P10" s="177" t="s">
        <v>1154</v>
      </c>
      <c r="Q10" s="178">
        <v>995961394</v>
      </c>
      <c r="R10" s="178"/>
      <c r="S10" s="178" t="s">
        <v>1439</v>
      </c>
    </row>
    <row r="11" spans="1:28" ht="72">
      <c r="A11">
        <v>3</v>
      </c>
      <c r="B11" s="169">
        <v>45829</v>
      </c>
      <c r="C11" s="170">
        <v>45838</v>
      </c>
      <c r="D11" s="171">
        <v>1</v>
      </c>
      <c r="E11" s="171"/>
      <c r="F11" s="172"/>
      <c r="G11" s="173">
        <v>40590835</v>
      </c>
      <c r="H11" s="5" t="str">
        <f t="shared" si="0"/>
        <v>MWG 14X - MICROONDAS</v>
      </c>
      <c r="I11" s="174" t="s">
        <v>1243</v>
      </c>
      <c r="J11" s="175" t="s">
        <v>23</v>
      </c>
      <c r="K11" s="173" t="s">
        <v>1142</v>
      </c>
      <c r="L11" s="173" t="s">
        <v>1093</v>
      </c>
      <c r="M11" s="172" t="s">
        <v>1246</v>
      </c>
      <c r="N11" s="176">
        <v>15</v>
      </c>
      <c r="O11" s="179" t="s">
        <v>1245</v>
      </c>
      <c r="P11" s="177" t="s">
        <v>1244</v>
      </c>
      <c r="Q11" s="178">
        <v>983754901</v>
      </c>
      <c r="R11" s="178"/>
      <c r="S11" s="178" t="s">
        <v>1440</v>
      </c>
    </row>
    <row r="12" spans="1:28" ht="72">
      <c r="A12">
        <v>4</v>
      </c>
      <c r="B12" s="169">
        <v>45140</v>
      </c>
      <c r="C12" s="170">
        <v>45834</v>
      </c>
      <c r="D12" s="171">
        <v>1</v>
      </c>
      <c r="E12" s="171"/>
      <c r="F12" s="172"/>
      <c r="G12" s="173">
        <v>113430018</v>
      </c>
      <c r="H12" s="5" t="str">
        <f t="shared" si="0"/>
        <v>RLF 74920 SS SBS REFRIGERADORA</v>
      </c>
      <c r="I12" s="174" t="s">
        <v>1215</v>
      </c>
      <c r="J12" s="175" t="s">
        <v>23</v>
      </c>
      <c r="K12" s="173" t="s">
        <v>1142</v>
      </c>
      <c r="L12" s="173" t="s">
        <v>1076</v>
      </c>
      <c r="M12" s="172" t="s">
        <v>1437</v>
      </c>
      <c r="N12" s="176">
        <v>18.75</v>
      </c>
      <c r="O12" s="179" t="s">
        <v>1217</v>
      </c>
      <c r="P12" s="177" t="s">
        <v>1216</v>
      </c>
      <c r="Q12" s="178">
        <v>990709123</v>
      </c>
      <c r="R12" s="178"/>
      <c r="S12" s="178" t="s">
        <v>1442</v>
      </c>
    </row>
    <row r="13" spans="1:28" ht="54">
      <c r="A13">
        <v>5</v>
      </c>
      <c r="B13" s="169">
        <v>45346</v>
      </c>
      <c r="C13" s="170">
        <v>45836</v>
      </c>
      <c r="D13" s="171">
        <v>1</v>
      </c>
      <c r="E13" s="171">
        <v>60803313</v>
      </c>
      <c r="F13" s="172" t="s">
        <v>1434</v>
      </c>
      <c r="G13" s="173">
        <v>112730000</v>
      </c>
      <c r="H13" s="5" t="str">
        <f t="shared" si="0"/>
        <v>AFF 87601 HOOD IN HOB</v>
      </c>
      <c r="I13" s="174" t="s">
        <v>1231</v>
      </c>
      <c r="J13" s="175" t="s">
        <v>23</v>
      </c>
      <c r="K13" s="173" t="s">
        <v>1142</v>
      </c>
      <c r="L13" s="173" t="s">
        <v>1087</v>
      </c>
      <c r="M13" s="172" t="s">
        <v>1234</v>
      </c>
      <c r="N13" s="176">
        <v>12.5</v>
      </c>
      <c r="O13" s="179" t="s">
        <v>1233</v>
      </c>
      <c r="P13" s="177" t="s">
        <v>1232</v>
      </c>
      <c r="Q13" s="178">
        <v>994340209</v>
      </c>
      <c r="R13" s="178"/>
      <c r="S13" s="178" t="s">
        <v>1443</v>
      </c>
    </row>
    <row r="14" spans="1:28" ht="54">
      <c r="A14">
        <v>6</v>
      </c>
      <c r="B14" s="169">
        <v>45730</v>
      </c>
      <c r="C14" s="170">
        <v>45836</v>
      </c>
      <c r="D14" s="171">
        <v>1</v>
      </c>
      <c r="E14" s="171">
        <v>81214154</v>
      </c>
      <c r="F14" s="172" t="s">
        <v>1435</v>
      </c>
      <c r="G14" s="137">
        <v>112570128</v>
      </c>
      <c r="H14" s="5" t="str">
        <f t="shared" si="0"/>
        <v>JZC 96342 BBB BK (LAT) COCINA MIXTA GAS - INDUCCION</v>
      </c>
      <c r="I14" s="174" t="s">
        <v>1235</v>
      </c>
      <c r="J14" s="175" t="s">
        <v>23</v>
      </c>
      <c r="K14" s="173" t="s">
        <v>1142</v>
      </c>
      <c r="L14" s="173" t="s">
        <v>1088</v>
      </c>
      <c r="M14" s="172" t="s">
        <v>1238</v>
      </c>
      <c r="N14" s="176">
        <v>12.5</v>
      </c>
      <c r="O14" s="179" t="s">
        <v>1237</v>
      </c>
      <c r="P14" s="177" t="s">
        <v>1236</v>
      </c>
      <c r="Q14" s="178">
        <v>996110451</v>
      </c>
      <c r="R14" s="178"/>
      <c r="S14" s="178" t="s">
        <v>1444</v>
      </c>
    </row>
    <row r="15" spans="1:28" ht="54">
      <c r="A15">
        <v>7</v>
      </c>
      <c r="B15" s="169">
        <v>45990</v>
      </c>
      <c r="C15" s="170">
        <v>45845</v>
      </c>
      <c r="D15" s="171">
        <v>1</v>
      </c>
      <c r="E15" s="171"/>
      <c r="F15" s="172"/>
      <c r="G15" s="173">
        <v>113430018</v>
      </c>
      <c r="H15" s="5" t="str">
        <f t="shared" ref="H15" si="1">VLOOKUP(G15,PROD,2,FALSE)</f>
        <v>RLF 74920 SS SBS REFRIGERADORA</v>
      </c>
      <c r="I15" s="174" t="s">
        <v>1211</v>
      </c>
      <c r="J15" s="175" t="s">
        <v>23</v>
      </c>
      <c r="K15" s="173" t="s">
        <v>1142</v>
      </c>
      <c r="L15" s="173" t="s">
        <v>1074</v>
      </c>
      <c r="M15" s="172" t="s">
        <v>1214</v>
      </c>
      <c r="N15" s="176">
        <v>18.75</v>
      </c>
      <c r="O15" s="179" t="s">
        <v>1213</v>
      </c>
      <c r="P15" s="177" t="s">
        <v>1212</v>
      </c>
      <c r="Q15" s="178">
        <v>996563519</v>
      </c>
      <c r="R15" s="178"/>
      <c r="S15" s="178" t="s">
        <v>1441</v>
      </c>
    </row>
    <row r="16" spans="1:28" ht="42">
      <c r="A16">
        <v>8</v>
      </c>
      <c r="B16" s="169">
        <v>45309</v>
      </c>
      <c r="C16" s="170">
        <v>45845</v>
      </c>
      <c r="D16" s="171">
        <v>1</v>
      </c>
      <c r="E16" s="171">
        <v>61836047</v>
      </c>
      <c r="F16" s="172" t="s">
        <v>1536</v>
      </c>
      <c r="G16" s="137">
        <v>40446712</v>
      </c>
      <c r="H16" s="5" t="str">
        <f t="shared" ref="H16:H20" si="2">VLOOKUP(G16,PROD,2,FALSE)</f>
        <v>GFH 73 INOX CAMPANA (110V-60HZ) C/KIT</v>
      </c>
      <c r="I16" s="174" t="s">
        <v>1534</v>
      </c>
      <c r="J16" s="175" t="s">
        <v>23</v>
      </c>
      <c r="K16" s="173" t="s">
        <v>1142</v>
      </c>
      <c r="L16" s="173" t="s">
        <v>1560</v>
      </c>
      <c r="M16" s="172" t="s">
        <v>1535</v>
      </c>
      <c r="N16" s="176">
        <v>12.5</v>
      </c>
      <c r="O16" s="179" t="s">
        <v>1537</v>
      </c>
      <c r="P16" s="177" t="s">
        <v>1538</v>
      </c>
      <c r="Q16" s="178">
        <v>990593737</v>
      </c>
      <c r="R16" s="178"/>
      <c r="S16" s="178" t="s">
        <v>1539</v>
      </c>
    </row>
    <row r="17" spans="1:19" ht="54">
      <c r="A17">
        <v>9</v>
      </c>
      <c r="B17" s="187" t="s">
        <v>1290</v>
      </c>
      <c r="C17" s="170">
        <v>45845</v>
      </c>
      <c r="D17" s="171">
        <v>1</v>
      </c>
      <c r="E17" s="171">
        <v>81250027</v>
      </c>
      <c r="F17" s="172" t="s">
        <v>1540</v>
      </c>
      <c r="G17" s="137">
        <v>111570003</v>
      </c>
      <c r="H17" s="5" t="str">
        <f t="shared" si="2"/>
        <v>COCINA GOURMET BBQ 4100 G SS</v>
      </c>
      <c r="I17" s="174" t="s">
        <v>1541</v>
      </c>
      <c r="J17" s="175" t="s">
        <v>23</v>
      </c>
      <c r="K17" s="173" t="s">
        <v>1142</v>
      </c>
      <c r="L17" s="173" t="s">
        <v>1559</v>
      </c>
      <c r="M17" s="172" t="s">
        <v>1542</v>
      </c>
      <c r="N17" s="176">
        <v>15</v>
      </c>
      <c r="O17" s="179" t="s">
        <v>1543</v>
      </c>
      <c r="P17" s="177" t="s">
        <v>1544</v>
      </c>
      <c r="Q17" s="178">
        <v>987001205</v>
      </c>
      <c r="R17" s="178"/>
      <c r="S17" s="178" t="s">
        <v>1545</v>
      </c>
    </row>
    <row r="18" spans="1:19" ht="54">
      <c r="A18">
        <v>10</v>
      </c>
      <c r="B18" s="169">
        <v>45833</v>
      </c>
      <c r="C18" s="170">
        <v>45847</v>
      </c>
      <c r="D18" s="171">
        <v>1</v>
      </c>
      <c r="E18" s="171">
        <v>81212067</v>
      </c>
      <c r="F18" s="172" t="s">
        <v>1546</v>
      </c>
      <c r="G18" s="137">
        <v>112570093</v>
      </c>
      <c r="H18" s="5" t="str">
        <f t="shared" si="2"/>
        <v>GZC 75330 XBB CRISTAL COCINA GAS</v>
      </c>
      <c r="I18" s="174" t="s">
        <v>1547</v>
      </c>
      <c r="J18" s="175" t="s">
        <v>23</v>
      </c>
      <c r="K18" s="173" t="s">
        <v>1142</v>
      </c>
      <c r="L18" s="173" t="s">
        <v>1558</v>
      </c>
      <c r="M18" s="172" t="s">
        <v>1548</v>
      </c>
      <c r="N18" s="176">
        <v>12.5</v>
      </c>
      <c r="O18" s="179" t="s">
        <v>1549</v>
      </c>
      <c r="P18" s="177" t="s">
        <v>1550</v>
      </c>
      <c r="Q18" s="178">
        <v>998945140</v>
      </c>
      <c r="R18" s="178"/>
      <c r="S18" s="178" t="s">
        <v>1551</v>
      </c>
    </row>
    <row r="19" spans="1:19" ht="47" customHeight="1">
      <c r="A19">
        <v>11</v>
      </c>
      <c r="B19" s="169">
        <v>45694</v>
      </c>
      <c r="C19" s="170">
        <v>45852</v>
      </c>
      <c r="D19" s="171">
        <v>1</v>
      </c>
      <c r="E19" s="171"/>
      <c r="F19" s="172"/>
      <c r="G19" s="137">
        <v>111040006</v>
      </c>
      <c r="H19" s="5" t="str">
        <f t="shared" si="2"/>
        <v>HSB 750 G SS HORNO A GAS</v>
      </c>
      <c r="I19" s="174" t="s">
        <v>1671</v>
      </c>
      <c r="J19" s="175" t="s">
        <v>23</v>
      </c>
      <c r="K19" s="173" t="s">
        <v>1142</v>
      </c>
      <c r="L19" s="173" t="s">
        <v>1672</v>
      </c>
      <c r="M19" s="172" t="s">
        <v>1687</v>
      </c>
      <c r="N19" s="176">
        <v>18.75</v>
      </c>
      <c r="O19" s="179" t="s">
        <v>1673</v>
      </c>
      <c r="P19" s="177" t="s">
        <v>1674</v>
      </c>
      <c r="Q19" s="178">
        <v>995102541</v>
      </c>
      <c r="R19" s="178"/>
      <c r="S19" s="178" t="s">
        <v>1675</v>
      </c>
    </row>
    <row r="20" spans="1:19" ht="54">
      <c r="A20">
        <v>12</v>
      </c>
      <c r="B20" s="169">
        <v>45493</v>
      </c>
      <c r="C20" s="170">
        <v>45853</v>
      </c>
      <c r="D20" s="171">
        <v>1</v>
      </c>
      <c r="E20" s="171"/>
      <c r="F20" s="172"/>
      <c r="G20" s="137">
        <v>41596006</v>
      </c>
      <c r="H20" s="5" t="str">
        <f t="shared" si="2"/>
        <v>HLF 824 G SS HORNO A GAS</v>
      </c>
      <c r="I20" s="174" t="s">
        <v>1552</v>
      </c>
      <c r="J20" s="175" t="s">
        <v>23</v>
      </c>
      <c r="K20" s="173" t="s">
        <v>1142</v>
      </c>
      <c r="L20" s="173" t="s">
        <v>1557</v>
      </c>
      <c r="M20" s="172" t="s">
        <v>1553</v>
      </c>
      <c r="N20" s="176">
        <v>18.75</v>
      </c>
      <c r="O20" s="179" t="s">
        <v>1554</v>
      </c>
      <c r="P20" s="177" t="s">
        <v>1555</v>
      </c>
      <c r="Q20" s="178">
        <v>984884651</v>
      </c>
      <c r="R20" s="178"/>
      <c r="S20" s="178" t="s">
        <v>1556</v>
      </c>
    </row>
    <row r="21" spans="1:19" ht="36">
      <c r="A21">
        <v>13</v>
      </c>
      <c r="B21" s="169">
        <v>45799</v>
      </c>
      <c r="C21" s="170">
        <v>45854</v>
      </c>
      <c r="D21" s="171">
        <v>1</v>
      </c>
      <c r="E21" s="171"/>
      <c r="F21" s="172"/>
      <c r="G21" s="137">
        <v>113430018</v>
      </c>
      <c r="H21" s="5" t="str">
        <f t="shared" ref="H21" si="3">VLOOKUP(G21,PROD,2,FALSE)</f>
        <v>RLF 74920 SS SBS REFRIGERADORA</v>
      </c>
      <c r="I21" s="174" t="s">
        <v>1564</v>
      </c>
      <c r="J21" s="175" t="s">
        <v>23</v>
      </c>
      <c r="K21" s="173" t="s">
        <v>1142</v>
      </c>
      <c r="L21" s="173" t="s">
        <v>1562</v>
      </c>
      <c r="M21" s="172" t="s">
        <v>1561</v>
      </c>
      <c r="N21" s="176">
        <v>18.75</v>
      </c>
      <c r="O21" s="179" t="s">
        <v>1563</v>
      </c>
      <c r="P21" s="177" t="s">
        <v>1565</v>
      </c>
      <c r="Q21" s="178">
        <v>980379450</v>
      </c>
      <c r="R21" s="178"/>
      <c r="S21" s="178" t="s">
        <v>1566</v>
      </c>
    </row>
    <row r="22" spans="1:19" ht="36">
      <c r="A22">
        <v>14</v>
      </c>
      <c r="B22" s="187" t="s">
        <v>1567</v>
      </c>
      <c r="C22" s="170">
        <v>45854</v>
      </c>
      <c r="D22" s="171">
        <v>1</v>
      </c>
      <c r="E22" s="171">
        <v>60803187</v>
      </c>
      <c r="F22" s="172" t="s">
        <v>1568</v>
      </c>
      <c r="G22" s="137">
        <v>10210152</v>
      </c>
      <c r="H22" s="5" t="str">
        <f t="shared" ref="H22" si="4">VLOOKUP(G22,PROD,2,FALSE)</f>
        <v>IRS 953 COCINA INDUCCION</v>
      </c>
      <c r="I22" s="174" t="s">
        <v>1569</v>
      </c>
      <c r="J22" s="175" t="s">
        <v>23</v>
      </c>
      <c r="K22" s="173" t="s">
        <v>1142</v>
      </c>
      <c r="L22" s="173" t="s">
        <v>1570</v>
      </c>
      <c r="M22" s="172" t="s">
        <v>1571</v>
      </c>
      <c r="N22" s="176">
        <v>12.5</v>
      </c>
      <c r="O22" s="179" t="s">
        <v>1572</v>
      </c>
      <c r="P22" s="177" t="s">
        <v>1573</v>
      </c>
      <c r="Q22" s="178">
        <v>997038770</v>
      </c>
      <c r="R22" s="178"/>
      <c r="S22" s="178" t="s">
        <v>1574</v>
      </c>
    </row>
    <row r="23" spans="1:19" ht="72">
      <c r="A23">
        <v>15</v>
      </c>
      <c r="B23" s="187" t="s">
        <v>1567</v>
      </c>
      <c r="C23" s="170">
        <v>45854</v>
      </c>
      <c r="D23" s="171">
        <v>1</v>
      </c>
      <c r="E23" s="171"/>
      <c r="F23" s="172"/>
      <c r="G23" s="137">
        <v>10210109</v>
      </c>
      <c r="H23" s="5" t="str">
        <f t="shared" ref="H23" si="5">VLOOKUP(G23,PROD,2,FALSE)</f>
        <v>IRS 953 COCINA INDUCCION + JGO. DE OLLAS (NC:10210152)</v>
      </c>
      <c r="I23" s="174" t="s">
        <v>1665</v>
      </c>
      <c r="J23" s="175" t="s">
        <v>23</v>
      </c>
      <c r="K23" s="173" t="s">
        <v>1142</v>
      </c>
      <c r="L23" s="173" t="s">
        <v>1570</v>
      </c>
      <c r="M23" s="172" t="s">
        <v>1689</v>
      </c>
      <c r="N23" s="176">
        <v>12.5</v>
      </c>
      <c r="O23" s="179" t="s">
        <v>1572</v>
      </c>
      <c r="P23" s="177" t="s">
        <v>1573</v>
      </c>
      <c r="Q23" s="178">
        <v>997038770</v>
      </c>
      <c r="R23" s="178"/>
      <c r="S23" s="178" t="s">
        <v>1574</v>
      </c>
    </row>
    <row r="24" spans="1:19" ht="36">
      <c r="A24">
        <v>16</v>
      </c>
      <c r="B24" s="187">
        <v>45709</v>
      </c>
      <c r="C24" s="170">
        <v>45856</v>
      </c>
      <c r="D24" s="171">
        <v>1</v>
      </c>
      <c r="E24" s="171"/>
      <c r="F24" s="172"/>
      <c r="G24" s="137">
        <v>113430051</v>
      </c>
      <c r="H24" s="5" t="str">
        <f t="shared" ref="H24" si="6">VLOOKUP(G24,PROD,2,FALSE)</f>
        <v>RMF 77960 GBK MX REFRIGERADORA</v>
      </c>
      <c r="I24" s="174" t="s">
        <v>1676</v>
      </c>
      <c r="J24" s="175" t="s">
        <v>23</v>
      </c>
      <c r="K24" s="173" t="s">
        <v>1142</v>
      </c>
      <c r="L24" s="173" t="s">
        <v>1677</v>
      </c>
      <c r="M24" s="172" t="s">
        <v>1688</v>
      </c>
      <c r="N24" s="176">
        <v>18.75</v>
      </c>
      <c r="O24" s="179" t="s">
        <v>1678</v>
      </c>
      <c r="P24" s="177" t="s">
        <v>1679</v>
      </c>
      <c r="Q24" s="178">
        <v>987427633</v>
      </c>
      <c r="R24" s="178"/>
      <c r="S24" s="178" t="s">
        <v>1680</v>
      </c>
    </row>
    <row r="25" spans="1:19" ht="21">
      <c r="G25" s="259"/>
      <c r="N25" s="94">
        <f>SUM(N9:N24)</f>
        <v>248.75</v>
      </c>
    </row>
    <row r="28" spans="1:19" ht="20">
      <c r="G28" s="49">
        <v>1</v>
      </c>
      <c r="H28" s="49" t="s">
        <v>1666</v>
      </c>
      <c r="I28" s="49">
        <v>18.75</v>
      </c>
      <c r="J28" s="49">
        <f>G28*I28</f>
        <v>18.75</v>
      </c>
    </row>
    <row r="29" spans="1:19" ht="20">
      <c r="G29" s="49">
        <v>7</v>
      </c>
      <c r="H29" s="49" t="s">
        <v>31</v>
      </c>
      <c r="I29" s="49">
        <v>12.5</v>
      </c>
      <c r="J29" s="49">
        <f t="shared" ref="J29:J33" si="7">G29*I29</f>
        <v>87.5</v>
      </c>
    </row>
    <row r="30" spans="1:19" ht="20">
      <c r="G30" s="49">
        <v>1</v>
      </c>
      <c r="H30" s="49" t="s">
        <v>1667</v>
      </c>
      <c r="I30" s="49">
        <v>15</v>
      </c>
      <c r="J30" s="49">
        <f t="shared" si="7"/>
        <v>15</v>
      </c>
    </row>
    <row r="31" spans="1:19" ht="20">
      <c r="G31" s="49">
        <v>4</v>
      </c>
      <c r="H31" s="49" t="s">
        <v>1668</v>
      </c>
      <c r="I31" s="49">
        <v>18.75</v>
      </c>
      <c r="J31" s="49">
        <f t="shared" si="7"/>
        <v>75</v>
      </c>
    </row>
    <row r="32" spans="1:19" ht="20">
      <c r="G32" s="49">
        <v>1</v>
      </c>
      <c r="H32" s="49" t="s">
        <v>1669</v>
      </c>
      <c r="I32" s="49">
        <v>15</v>
      </c>
      <c r="J32" s="49">
        <f t="shared" si="7"/>
        <v>15</v>
      </c>
    </row>
    <row r="33" spans="7:10" ht="20">
      <c r="G33" s="49">
        <v>2</v>
      </c>
      <c r="H33" s="49" t="s">
        <v>1670</v>
      </c>
      <c r="I33" s="49">
        <v>18.75</v>
      </c>
      <c r="J33" s="49">
        <f t="shared" si="7"/>
        <v>37.5</v>
      </c>
    </row>
    <row r="37" spans="7:10" ht="20">
      <c r="G37" s="49">
        <f>SUM(G28:G33)</f>
        <v>16</v>
      </c>
      <c r="H37" s="49"/>
      <c r="I37" s="49"/>
      <c r="J37" s="49">
        <f>SUM(J28:J33)</f>
        <v>248.75</v>
      </c>
    </row>
  </sheetData>
  <hyperlinks>
    <hyperlink ref="P14" r:id="rId1" xr:uid="{8A92F9B1-0C61-CF46-8FDB-B505B3F6951C}"/>
    <hyperlink ref="P13" r:id="rId2" xr:uid="{AB3D985A-24DC-1148-B4B0-A1EBE68121A1}"/>
    <hyperlink ref="P12" r:id="rId3" xr:uid="{E4D7F174-0854-5142-8DFA-ED169A02B979}"/>
    <hyperlink ref="P11" r:id="rId4" xr:uid="{1049C657-81F7-2D43-8D49-68FEB6C8D608}"/>
    <hyperlink ref="P10" r:id="rId5" xr:uid="{30EF742C-0C45-7B43-9DC1-EE755B495BC3}"/>
    <hyperlink ref="P9" r:id="rId6" xr:uid="{5A980579-E656-FE49-B851-2975E7AB95E2}"/>
    <hyperlink ref="P16" r:id="rId7" xr:uid="{C9205D1C-E0DF-D647-8BFC-4D9271AD64FE}"/>
    <hyperlink ref="P17" r:id="rId8" xr:uid="{860FC6F3-4AC1-0346-8E4C-EC05D51C1B7B}"/>
    <hyperlink ref="P18" r:id="rId9" xr:uid="{2E59E64A-B79A-BB41-B053-58984D6AB06E}"/>
    <hyperlink ref="P20" r:id="rId10" xr:uid="{72ED33BA-1F16-D44B-9605-F9BBA9A67DC1}"/>
    <hyperlink ref="P21" r:id="rId11" xr:uid="{31DDE101-2F5B-A949-B4DA-23243973A0E1}"/>
    <hyperlink ref="P22" r:id="rId12" display="ferzamora1980@gmail.com" xr:uid="{ABD5281B-B43D-F645-8C29-E9B94AAD8CFA}"/>
    <hyperlink ref="P23" r:id="rId13" display="ferzamora1980@gmail.com" xr:uid="{99D5D8DB-45F8-0D40-B075-3DA92E482137}"/>
    <hyperlink ref="P15" r:id="rId14" xr:uid="{8462D005-AC2F-DA4E-9AC8-CEFEB0E0B237}"/>
    <hyperlink ref="P19" r:id="rId15" xr:uid="{B2AB4D14-655E-894D-8DE2-D4640D24A98B}"/>
    <hyperlink ref="P24" r:id="rId16" xr:uid="{20CF9C0A-01B3-664B-B6BC-0EADFEF5F450}"/>
  </hyperlinks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053A-1B5D-40E1-8D23-39F5F400AA83}">
  <dimension ref="A2:U133"/>
  <sheetViews>
    <sheetView topLeftCell="C88" workbookViewId="0">
      <selection activeCell="T95" sqref="T95"/>
    </sheetView>
  </sheetViews>
  <sheetFormatPr baseColWidth="10" defaultRowHeight="15"/>
  <cols>
    <col min="1" max="1" width="5.5" customWidth="1"/>
    <col min="2" max="2" width="14.83203125" customWidth="1"/>
    <col min="3" max="3" width="23.6640625" customWidth="1"/>
    <col min="4" max="4" width="20.6640625" customWidth="1"/>
    <col min="5" max="5" width="15.5" customWidth="1"/>
    <col min="6" max="6" width="54.33203125" customWidth="1"/>
    <col min="7" max="7" width="18.33203125" customWidth="1"/>
    <col min="8" max="8" width="8.83203125" customWidth="1"/>
    <col min="9" max="9" width="9.1640625" customWidth="1"/>
    <col min="10" max="10" width="11.83203125" customWidth="1"/>
    <col min="11" max="11" width="13" customWidth="1"/>
    <col min="12" max="12" width="25.1640625" customWidth="1"/>
    <col min="13" max="13" width="33.5" customWidth="1"/>
    <col min="14" max="14" width="13.5" customWidth="1"/>
    <col min="15" max="15" width="7.6640625" customWidth="1"/>
    <col min="16" max="16" width="12" customWidth="1"/>
    <col min="18" max="18" width="7.6640625" customWidth="1"/>
    <col min="19" max="19" width="22.83203125" customWidth="1"/>
    <col min="20" max="20" width="22.6640625" customWidth="1"/>
    <col min="21" max="21" width="31.1640625" customWidth="1"/>
  </cols>
  <sheetData>
    <row r="2" spans="1:21" ht="18">
      <c r="C2" s="52"/>
      <c r="D2" s="52"/>
      <c r="E2" s="52"/>
      <c r="F2" s="52"/>
      <c r="G2" s="52"/>
      <c r="H2" s="52"/>
      <c r="I2" s="52"/>
      <c r="J2" s="52"/>
      <c r="K2" s="65"/>
      <c r="L2" s="52"/>
      <c r="M2" s="52"/>
      <c r="N2" s="52"/>
      <c r="O2" s="52"/>
      <c r="P2" s="52"/>
      <c r="Q2" s="52"/>
      <c r="R2" s="52"/>
      <c r="S2" s="52"/>
    </row>
    <row r="3" spans="1:21" ht="18">
      <c r="A3" s="63"/>
      <c r="C3" s="59" t="s">
        <v>0</v>
      </c>
      <c r="D3" s="52"/>
      <c r="E3" s="64"/>
      <c r="F3" s="52"/>
      <c r="G3" s="51"/>
      <c r="H3" s="65"/>
      <c r="I3" s="57"/>
      <c r="J3" s="56"/>
      <c r="K3" s="65"/>
      <c r="L3" s="58"/>
      <c r="M3" s="58"/>
      <c r="N3" s="65"/>
      <c r="O3" s="72"/>
      <c r="P3" s="52"/>
      <c r="Q3" s="52"/>
      <c r="R3" s="52"/>
      <c r="S3" s="52"/>
    </row>
    <row r="4" spans="1:21" ht="18">
      <c r="A4" s="63"/>
      <c r="C4" s="70" t="s">
        <v>1</v>
      </c>
      <c r="D4" s="52"/>
      <c r="E4" s="65"/>
      <c r="F4" s="52"/>
      <c r="G4" s="67"/>
      <c r="H4" s="66"/>
      <c r="I4" s="54"/>
      <c r="J4" s="53" t="s">
        <v>968</v>
      </c>
      <c r="K4" s="66"/>
      <c r="L4" s="61"/>
      <c r="M4" s="62"/>
      <c r="N4" s="65" t="s">
        <v>1414</v>
      </c>
      <c r="O4" s="72"/>
      <c r="P4" s="60"/>
      <c r="Q4" s="52"/>
      <c r="R4" s="52"/>
      <c r="S4" s="52"/>
    </row>
    <row r="5" spans="1:21" s="3" customFormat="1" ht="68">
      <c r="A5" s="55"/>
      <c r="B5" s="73" t="s">
        <v>969</v>
      </c>
      <c r="C5" s="73" t="s">
        <v>970</v>
      </c>
      <c r="D5" s="73" t="s">
        <v>971</v>
      </c>
      <c r="E5" s="73" t="s">
        <v>972</v>
      </c>
      <c r="F5" s="71" t="s">
        <v>973</v>
      </c>
      <c r="G5" s="73" t="s">
        <v>974</v>
      </c>
      <c r="H5" s="73" t="s">
        <v>975</v>
      </c>
      <c r="I5" s="73" t="s">
        <v>976</v>
      </c>
      <c r="J5" s="73" t="s">
        <v>977</v>
      </c>
      <c r="K5" s="73" t="s">
        <v>978</v>
      </c>
      <c r="L5" s="69" t="s">
        <v>979</v>
      </c>
      <c r="M5" s="69" t="s">
        <v>980</v>
      </c>
      <c r="N5" s="73" t="s">
        <v>981</v>
      </c>
      <c r="O5" s="68" t="s">
        <v>982</v>
      </c>
      <c r="P5" s="73" t="s">
        <v>983</v>
      </c>
      <c r="Q5" s="73" t="s">
        <v>984</v>
      </c>
      <c r="R5" s="73" t="s">
        <v>20</v>
      </c>
      <c r="S5" s="73" t="s">
        <v>21</v>
      </c>
      <c r="T5" s="73" t="s">
        <v>985</v>
      </c>
      <c r="U5" s="73" t="s">
        <v>986</v>
      </c>
    </row>
    <row r="6" spans="1:21" ht="20">
      <c r="A6">
        <v>1</v>
      </c>
      <c r="B6" s="156">
        <v>45806</v>
      </c>
      <c r="C6" s="157" t="s">
        <v>1141</v>
      </c>
      <c r="D6" s="157" t="s">
        <v>1317</v>
      </c>
      <c r="E6" s="158">
        <v>40460450</v>
      </c>
      <c r="F6" s="74" t="str">
        <f t="shared" ref="F6:F68" si="0">VLOOKUP(E6,PROD,2,FALSE)</f>
        <v>DBB 90 INOX CAMPANA (110V-60HZ) C/KIT</v>
      </c>
      <c r="G6" s="157" t="s">
        <v>1143</v>
      </c>
      <c r="H6" s="158" t="s">
        <v>23</v>
      </c>
      <c r="I6" s="158" t="s">
        <v>1361</v>
      </c>
      <c r="J6" s="158" t="s">
        <v>1362</v>
      </c>
      <c r="K6" s="159">
        <v>45827</v>
      </c>
      <c r="L6" s="160" t="s">
        <v>1032</v>
      </c>
      <c r="M6" s="160" t="s">
        <v>1033</v>
      </c>
      <c r="N6" s="157">
        <v>992641745</v>
      </c>
      <c r="O6" s="161">
        <v>20</v>
      </c>
      <c r="P6" s="158" t="s">
        <v>1363</v>
      </c>
      <c r="Q6" s="158" t="s">
        <v>1361</v>
      </c>
      <c r="R6" s="162"/>
      <c r="S6" s="157" t="str">
        <f>D6</f>
        <v>007-006-000137763</v>
      </c>
      <c r="T6" s="163">
        <v>301910055</v>
      </c>
      <c r="U6" s="164" t="s">
        <v>1144</v>
      </c>
    </row>
    <row r="7" spans="1:21" ht="20">
      <c r="A7">
        <v>2</v>
      </c>
      <c r="B7" s="156">
        <v>45806</v>
      </c>
      <c r="C7" s="157" t="s">
        <v>1141</v>
      </c>
      <c r="D7" s="157" t="s">
        <v>1317</v>
      </c>
      <c r="E7" s="158">
        <v>40466111</v>
      </c>
      <c r="F7" s="74" t="str">
        <f t="shared" si="0"/>
        <v>C 910 NEGRA CAMPANA (110V-60HZ) C/KIT</v>
      </c>
      <c r="G7" s="157" t="s">
        <v>1364</v>
      </c>
      <c r="H7" s="158" t="s">
        <v>23</v>
      </c>
      <c r="I7" s="158" t="s">
        <v>1361</v>
      </c>
      <c r="J7" s="158" t="s">
        <v>1362</v>
      </c>
      <c r="K7" s="159">
        <v>45827</v>
      </c>
      <c r="L7" s="160" t="s">
        <v>1032</v>
      </c>
      <c r="M7" s="160" t="s">
        <v>1033</v>
      </c>
      <c r="N7" s="157">
        <v>992641745</v>
      </c>
      <c r="O7" s="161">
        <v>20</v>
      </c>
      <c r="P7" s="158" t="s">
        <v>1363</v>
      </c>
      <c r="Q7" s="158" t="s">
        <v>1361</v>
      </c>
      <c r="R7" s="162"/>
      <c r="S7" s="157" t="str">
        <f>D7</f>
        <v>007-006-000137763</v>
      </c>
      <c r="T7" s="163">
        <v>301910055</v>
      </c>
      <c r="U7" s="164" t="s">
        <v>1144</v>
      </c>
    </row>
    <row r="8" spans="1:21" ht="20">
      <c r="A8">
        <v>3</v>
      </c>
      <c r="B8" s="156">
        <v>45571</v>
      </c>
      <c r="C8" s="157" t="s">
        <v>1145</v>
      </c>
      <c r="D8" s="157" t="s">
        <v>1318</v>
      </c>
      <c r="E8" s="158">
        <v>40782128</v>
      </c>
      <c r="F8" s="74" t="str">
        <f t="shared" si="0"/>
        <v>DW8 57 FIM-D LAVAVAJILLAS</v>
      </c>
      <c r="G8" s="157" t="s">
        <v>1146</v>
      </c>
      <c r="H8" s="158" t="s">
        <v>23</v>
      </c>
      <c r="I8" s="158" t="s">
        <v>1361</v>
      </c>
      <c r="J8" s="158" t="s">
        <v>1362</v>
      </c>
      <c r="K8" s="159">
        <v>45827</v>
      </c>
      <c r="L8" s="160" t="s">
        <v>1034</v>
      </c>
      <c r="M8" s="160" t="s">
        <v>1035</v>
      </c>
      <c r="N8" s="157">
        <v>939690930</v>
      </c>
      <c r="O8" s="161">
        <v>15</v>
      </c>
      <c r="P8" s="158" t="s">
        <v>1363</v>
      </c>
      <c r="Q8" s="158" t="s">
        <v>1361</v>
      </c>
      <c r="R8" s="162"/>
      <c r="S8" s="157" t="str">
        <f t="shared" ref="S8:S71" si="1">D8</f>
        <v>043-404-000042471</v>
      </c>
      <c r="T8" s="163">
        <v>103534202</v>
      </c>
      <c r="U8" s="164" t="s">
        <v>1147</v>
      </c>
    </row>
    <row r="9" spans="1:21" ht="20">
      <c r="A9">
        <v>4</v>
      </c>
      <c r="B9" s="156">
        <v>45571</v>
      </c>
      <c r="C9" s="157" t="s">
        <v>1145</v>
      </c>
      <c r="D9" s="157" t="s">
        <v>1318</v>
      </c>
      <c r="E9" s="158">
        <v>40584202</v>
      </c>
      <c r="F9" s="74" t="str">
        <f t="shared" si="0"/>
        <v>ML 820 BIS - MICROONDAS</v>
      </c>
      <c r="G9" s="157" t="s">
        <v>1365</v>
      </c>
      <c r="H9" s="158" t="s">
        <v>23</v>
      </c>
      <c r="I9" s="158" t="s">
        <v>1361</v>
      </c>
      <c r="J9" s="158" t="s">
        <v>1362</v>
      </c>
      <c r="K9" s="159">
        <v>45827</v>
      </c>
      <c r="L9" s="160" t="s">
        <v>1034</v>
      </c>
      <c r="M9" s="160" t="s">
        <v>1035</v>
      </c>
      <c r="N9" s="157">
        <v>939690930</v>
      </c>
      <c r="O9" s="161">
        <v>15</v>
      </c>
      <c r="P9" s="158" t="s">
        <v>1363</v>
      </c>
      <c r="Q9" s="158" t="s">
        <v>1361</v>
      </c>
      <c r="R9" s="162"/>
      <c r="S9" s="157" t="str">
        <f t="shared" si="1"/>
        <v>043-404-000042471</v>
      </c>
      <c r="T9" s="163">
        <v>103534202</v>
      </c>
      <c r="U9" s="164" t="s">
        <v>1147</v>
      </c>
    </row>
    <row r="10" spans="1:21" ht="20">
      <c r="A10">
        <v>5</v>
      </c>
      <c r="B10" s="156">
        <v>45571</v>
      </c>
      <c r="C10" s="157" t="s">
        <v>1145</v>
      </c>
      <c r="D10" s="157" t="s">
        <v>1318</v>
      </c>
      <c r="E10" s="158">
        <v>111010040</v>
      </c>
      <c r="F10" s="74" t="str">
        <f t="shared" si="0"/>
        <v>HSB 610 NEGRO HORNO ELEC</v>
      </c>
      <c r="G10" s="157" t="s">
        <v>1366</v>
      </c>
      <c r="H10" s="158" t="s">
        <v>23</v>
      </c>
      <c r="I10" s="158" t="s">
        <v>1361</v>
      </c>
      <c r="J10" s="158" t="s">
        <v>1362</v>
      </c>
      <c r="K10" s="159">
        <v>45827</v>
      </c>
      <c r="L10" s="160" t="s">
        <v>1034</v>
      </c>
      <c r="M10" s="160" t="s">
        <v>1035</v>
      </c>
      <c r="N10" s="157">
        <v>939690930</v>
      </c>
      <c r="O10" s="161">
        <v>15</v>
      </c>
      <c r="P10" s="158" t="s">
        <v>1363</v>
      </c>
      <c r="Q10" s="158" t="s">
        <v>1361</v>
      </c>
      <c r="R10" s="162"/>
      <c r="S10" s="157" t="str">
        <f t="shared" si="1"/>
        <v>043-404-000042471</v>
      </c>
      <c r="T10" s="163">
        <v>103534202</v>
      </c>
      <c r="U10" s="164" t="s">
        <v>1147</v>
      </c>
    </row>
    <row r="11" spans="1:21" ht="20">
      <c r="A11">
        <v>6</v>
      </c>
      <c r="B11" s="156">
        <v>45803</v>
      </c>
      <c r="C11" s="157" t="s">
        <v>1186</v>
      </c>
      <c r="D11" s="157" t="s">
        <v>1319</v>
      </c>
      <c r="E11" s="158">
        <v>113100004</v>
      </c>
      <c r="F11" s="74" t="str">
        <f t="shared" si="0"/>
        <v>CAMPANA DHT 97670 ROS WH</v>
      </c>
      <c r="G11" s="157" t="s">
        <v>1187</v>
      </c>
      <c r="H11" s="158" t="s">
        <v>23</v>
      </c>
      <c r="I11" s="158" t="s">
        <v>1361</v>
      </c>
      <c r="J11" s="158" t="s">
        <v>1362</v>
      </c>
      <c r="K11" s="159">
        <v>45831</v>
      </c>
      <c r="L11" s="160" t="s">
        <v>1059</v>
      </c>
      <c r="M11" s="160" t="s">
        <v>1035</v>
      </c>
      <c r="N11" s="157">
        <v>968809136</v>
      </c>
      <c r="O11" s="161">
        <v>30</v>
      </c>
      <c r="P11" s="158" t="s">
        <v>1363</v>
      </c>
      <c r="Q11" s="158" t="s">
        <v>1361</v>
      </c>
      <c r="R11" s="162"/>
      <c r="S11" s="157" t="str">
        <f t="shared" si="1"/>
        <v>006-000158025</v>
      </c>
      <c r="T11" s="165" t="s">
        <v>1189</v>
      </c>
      <c r="U11" s="164" t="s">
        <v>1188</v>
      </c>
    </row>
    <row r="12" spans="1:21" ht="20">
      <c r="A12">
        <v>7</v>
      </c>
      <c r="B12" s="156">
        <v>45803</v>
      </c>
      <c r="C12" s="157" t="s">
        <v>1186</v>
      </c>
      <c r="D12" s="157" t="s">
        <v>1319</v>
      </c>
      <c r="E12" s="158">
        <v>113100004</v>
      </c>
      <c r="F12" s="74" t="str">
        <f t="shared" si="0"/>
        <v>CAMPANA DHT 97670 ROS WH</v>
      </c>
      <c r="G12" s="157" t="s">
        <v>1367</v>
      </c>
      <c r="H12" s="158" t="s">
        <v>23</v>
      </c>
      <c r="I12" s="158" t="s">
        <v>1361</v>
      </c>
      <c r="J12" s="158" t="s">
        <v>1362</v>
      </c>
      <c r="K12" s="159">
        <v>45831</v>
      </c>
      <c r="L12" s="160" t="s">
        <v>1059</v>
      </c>
      <c r="M12" s="160" t="s">
        <v>1035</v>
      </c>
      <c r="N12" s="157">
        <v>968809136</v>
      </c>
      <c r="O12" s="161">
        <v>30</v>
      </c>
      <c r="P12" s="158" t="s">
        <v>1363</v>
      </c>
      <c r="Q12" s="158" t="s">
        <v>1361</v>
      </c>
      <c r="R12" s="162"/>
      <c r="S12" s="157" t="str">
        <f t="shared" si="1"/>
        <v>006-000158025</v>
      </c>
      <c r="T12" s="165" t="s">
        <v>1189</v>
      </c>
      <c r="U12" s="164" t="s">
        <v>1188</v>
      </c>
    </row>
    <row r="13" spans="1:21" ht="20">
      <c r="A13">
        <v>8</v>
      </c>
      <c r="B13" s="156">
        <v>45803</v>
      </c>
      <c r="C13" s="157" t="s">
        <v>1186</v>
      </c>
      <c r="D13" s="157" t="s">
        <v>1319</v>
      </c>
      <c r="E13" s="158">
        <v>112570126</v>
      </c>
      <c r="F13" s="74" t="str">
        <f t="shared" si="0"/>
        <v>JZC 96324 ABB BK (LAT) COCINA MIXTA GAS - INDUCCION (40213042)</v>
      </c>
      <c r="G13" s="157" t="s">
        <v>1368</v>
      </c>
      <c r="H13" s="158" t="s">
        <v>23</v>
      </c>
      <c r="I13" s="158" t="s">
        <v>1361</v>
      </c>
      <c r="J13" s="158" t="s">
        <v>1362</v>
      </c>
      <c r="K13" s="159">
        <v>45831</v>
      </c>
      <c r="L13" s="160" t="s">
        <v>1059</v>
      </c>
      <c r="M13" s="160" t="s">
        <v>1035</v>
      </c>
      <c r="N13" s="157">
        <v>968809136</v>
      </c>
      <c r="O13" s="161">
        <v>15</v>
      </c>
      <c r="P13" s="158" t="s">
        <v>1363</v>
      </c>
      <c r="Q13" s="158" t="s">
        <v>1361</v>
      </c>
      <c r="R13" s="162"/>
      <c r="S13" s="157" t="str">
        <f t="shared" si="1"/>
        <v>006-000158025</v>
      </c>
      <c r="T13" s="165" t="s">
        <v>1189</v>
      </c>
      <c r="U13" s="164" t="s">
        <v>1188</v>
      </c>
    </row>
    <row r="14" spans="1:21" ht="20">
      <c r="A14">
        <v>9</v>
      </c>
      <c r="B14" s="156">
        <v>45803</v>
      </c>
      <c r="C14" s="157" t="s">
        <v>1186</v>
      </c>
      <c r="D14" s="157" t="s">
        <v>1319</v>
      </c>
      <c r="E14" s="158">
        <v>40584305</v>
      </c>
      <c r="F14" s="74" t="str">
        <f t="shared" si="0"/>
        <v>ML 822 BIS - MICROONDAS (112030008)</v>
      </c>
      <c r="G14" s="157" t="s">
        <v>1369</v>
      </c>
      <c r="H14" s="158" t="s">
        <v>23</v>
      </c>
      <c r="I14" s="158" t="s">
        <v>1361</v>
      </c>
      <c r="J14" s="158" t="s">
        <v>1362</v>
      </c>
      <c r="K14" s="159">
        <v>45831</v>
      </c>
      <c r="L14" s="160" t="s">
        <v>1059</v>
      </c>
      <c r="M14" s="160" t="s">
        <v>1035</v>
      </c>
      <c r="N14" s="157">
        <v>968809136</v>
      </c>
      <c r="O14" s="161">
        <v>15</v>
      </c>
      <c r="P14" s="158" t="s">
        <v>1363</v>
      </c>
      <c r="Q14" s="158" t="s">
        <v>1361</v>
      </c>
      <c r="R14" s="162"/>
      <c r="S14" s="157" t="str">
        <f t="shared" si="1"/>
        <v>006-000158025</v>
      </c>
      <c r="T14" s="165" t="s">
        <v>1189</v>
      </c>
      <c r="U14" s="164" t="s">
        <v>1188</v>
      </c>
    </row>
    <row r="15" spans="1:21" ht="20">
      <c r="A15">
        <v>10</v>
      </c>
      <c r="B15" s="156">
        <v>45803</v>
      </c>
      <c r="C15" s="157" t="s">
        <v>1186</v>
      </c>
      <c r="D15" s="157" t="s">
        <v>1319</v>
      </c>
      <c r="E15" s="158">
        <v>41560166</v>
      </c>
      <c r="F15" s="74" t="str">
        <f t="shared" si="0"/>
        <v>IOVEN HORNO ELEC.</v>
      </c>
      <c r="G15" s="157" t="s">
        <v>1370</v>
      </c>
      <c r="H15" s="158" t="s">
        <v>23</v>
      </c>
      <c r="I15" s="158" t="s">
        <v>1361</v>
      </c>
      <c r="J15" s="158" t="s">
        <v>1362</v>
      </c>
      <c r="K15" s="159">
        <v>45831</v>
      </c>
      <c r="L15" s="160" t="s">
        <v>1059</v>
      </c>
      <c r="M15" s="160" t="s">
        <v>1035</v>
      </c>
      <c r="N15" s="157">
        <v>968809136</v>
      </c>
      <c r="O15" s="161">
        <v>15</v>
      </c>
      <c r="P15" s="158" t="s">
        <v>1363</v>
      </c>
      <c r="Q15" s="158" t="s">
        <v>1361</v>
      </c>
      <c r="R15" s="162"/>
      <c r="S15" s="157" t="str">
        <f t="shared" si="1"/>
        <v>006-000158025</v>
      </c>
      <c r="T15" s="165" t="s">
        <v>1189</v>
      </c>
      <c r="U15" s="164" t="s">
        <v>1188</v>
      </c>
    </row>
    <row r="16" spans="1:21" ht="20">
      <c r="A16">
        <v>11</v>
      </c>
      <c r="B16" s="156">
        <v>45803</v>
      </c>
      <c r="C16" s="157" t="s">
        <v>1186</v>
      </c>
      <c r="D16" s="157" t="s">
        <v>1319</v>
      </c>
      <c r="E16" s="158">
        <v>111000051</v>
      </c>
      <c r="F16" s="74" t="str">
        <f t="shared" si="0"/>
        <v>HLB 8416 "AIR FRY" - HORNO ELEC</v>
      </c>
      <c r="G16" s="157" t="s">
        <v>1371</v>
      </c>
      <c r="H16" s="158" t="s">
        <v>23</v>
      </c>
      <c r="I16" s="158" t="s">
        <v>1361</v>
      </c>
      <c r="J16" s="158" t="s">
        <v>1362</v>
      </c>
      <c r="K16" s="159">
        <v>45831</v>
      </c>
      <c r="L16" s="160" t="s">
        <v>1059</v>
      </c>
      <c r="M16" s="160" t="s">
        <v>1035</v>
      </c>
      <c r="N16" s="157">
        <v>968809136</v>
      </c>
      <c r="O16" s="161">
        <v>15</v>
      </c>
      <c r="P16" s="158" t="s">
        <v>1363</v>
      </c>
      <c r="Q16" s="158" t="s">
        <v>1361</v>
      </c>
      <c r="R16" s="162"/>
      <c r="S16" s="157" t="str">
        <f t="shared" si="1"/>
        <v>006-000158025</v>
      </c>
      <c r="T16" s="165" t="s">
        <v>1189</v>
      </c>
      <c r="U16" s="164" t="s">
        <v>1188</v>
      </c>
    </row>
    <row r="17" spans="1:21" ht="20">
      <c r="A17">
        <v>12</v>
      </c>
      <c r="B17" s="156">
        <v>45803</v>
      </c>
      <c r="C17" s="157" t="s">
        <v>1186</v>
      </c>
      <c r="D17" s="157" t="s">
        <v>1319</v>
      </c>
      <c r="E17" s="158">
        <v>112030008</v>
      </c>
      <c r="F17" s="74" t="str">
        <f t="shared" si="0"/>
        <v>ML 8220 BIS - MICROONDAS</v>
      </c>
      <c r="G17" s="157" t="s">
        <v>1372</v>
      </c>
      <c r="H17" s="158" t="s">
        <v>23</v>
      </c>
      <c r="I17" s="158" t="s">
        <v>1361</v>
      </c>
      <c r="J17" s="158" t="s">
        <v>1362</v>
      </c>
      <c r="K17" s="159">
        <v>45831</v>
      </c>
      <c r="L17" s="160" t="s">
        <v>1059</v>
      </c>
      <c r="M17" s="160" t="s">
        <v>1035</v>
      </c>
      <c r="N17" s="157">
        <v>968809136</v>
      </c>
      <c r="O17" s="161">
        <v>15</v>
      </c>
      <c r="P17" s="158" t="s">
        <v>1363</v>
      </c>
      <c r="Q17" s="158" t="s">
        <v>1361</v>
      </c>
      <c r="R17" s="162"/>
      <c r="S17" s="157" t="str">
        <f t="shared" si="1"/>
        <v>006-000158025</v>
      </c>
      <c r="T17" s="165" t="s">
        <v>1189</v>
      </c>
      <c r="U17" s="164" t="s">
        <v>1188</v>
      </c>
    </row>
    <row r="18" spans="1:21" ht="20">
      <c r="A18">
        <v>13</v>
      </c>
      <c r="B18" s="156">
        <v>45803</v>
      </c>
      <c r="C18" s="157" t="s">
        <v>1186</v>
      </c>
      <c r="D18" s="157" t="s">
        <v>1319</v>
      </c>
      <c r="E18" s="158">
        <v>114270008</v>
      </c>
      <c r="F18" s="74" t="str">
        <f t="shared" si="0"/>
        <v>LAVAVAJILLAS DFI 46900 120 60 WH</v>
      </c>
      <c r="G18" s="157" t="s">
        <v>1373</v>
      </c>
      <c r="H18" s="158" t="s">
        <v>23</v>
      </c>
      <c r="I18" s="158" t="s">
        <v>1361</v>
      </c>
      <c r="J18" s="158" t="s">
        <v>1362</v>
      </c>
      <c r="K18" s="159">
        <v>45831</v>
      </c>
      <c r="L18" s="160" t="s">
        <v>1059</v>
      </c>
      <c r="M18" s="160" t="s">
        <v>1035</v>
      </c>
      <c r="N18" s="157">
        <v>968809136</v>
      </c>
      <c r="O18" s="161">
        <v>15</v>
      </c>
      <c r="P18" s="158" t="s">
        <v>1363</v>
      </c>
      <c r="Q18" s="158" t="s">
        <v>1361</v>
      </c>
      <c r="R18" s="162"/>
      <c r="S18" s="157" t="str">
        <f t="shared" si="1"/>
        <v>006-000158025</v>
      </c>
      <c r="T18" s="165" t="s">
        <v>1189</v>
      </c>
      <c r="U18" s="164" t="s">
        <v>1188</v>
      </c>
    </row>
    <row r="19" spans="1:21" ht="24">
      <c r="A19">
        <v>14</v>
      </c>
      <c r="B19" s="156">
        <v>45803</v>
      </c>
      <c r="C19" s="157" t="s">
        <v>1186</v>
      </c>
      <c r="D19" s="157" t="s">
        <v>1319</v>
      </c>
      <c r="E19" s="158">
        <v>113430051</v>
      </c>
      <c r="F19" s="74" t="str">
        <f t="shared" si="0"/>
        <v>RMF 77960 GBK MX REFRIGERADORA</v>
      </c>
      <c r="G19" s="166" t="s">
        <v>1374</v>
      </c>
      <c r="H19" s="158" t="s">
        <v>23</v>
      </c>
      <c r="I19" s="158" t="s">
        <v>1361</v>
      </c>
      <c r="J19" s="158" t="s">
        <v>1362</v>
      </c>
      <c r="K19" s="159">
        <v>45831</v>
      </c>
      <c r="L19" s="160" t="s">
        <v>1059</v>
      </c>
      <c r="M19" s="160" t="s">
        <v>1035</v>
      </c>
      <c r="N19" s="157">
        <v>968809136</v>
      </c>
      <c r="O19" s="161">
        <v>15</v>
      </c>
      <c r="P19" s="158" t="s">
        <v>1363</v>
      </c>
      <c r="Q19" s="158" t="s">
        <v>1361</v>
      </c>
      <c r="R19" s="162"/>
      <c r="S19" s="157" t="str">
        <f t="shared" si="1"/>
        <v>006-000158025</v>
      </c>
      <c r="T19" s="165" t="s">
        <v>1189</v>
      </c>
      <c r="U19" s="164" t="s">
        <v>1188</v>
      </c>
    </row>
    <row r="20" spans="1:21" ht="20">
      <c r="A20">
        <v>15</v>
      </c>
      <c r="B20" s="156">
        <v>45803</v>
      </c>
      <c r="C20" s="157" t="s">
        <v>1186</v>
      </c>
      <c r="D20" s="157" t="s">
        <v>1319</v>
      </c>
      <c r="E20" s="158">
        <v>114270008</v>
      </c>
      <c r="F20" s="74" t="str">
        <f t="shared" si="0"/>
        <v>LAVAVAJILLAS DFI 46900 120 60 WH</v>
      </c>
      <c r="G20" s="157" t="s">
        <v>1375</v>
      </c>
      <c r="H20" s="158" t="s">
        <v>23</v>
      </c>
      <c r="I20" s="158" t="s">
        <v>1361</v>
      </c>
      <c r="J20" s="158" t="s">
        <v>1362</v>
      </c>
      <c r="K20" s="159">
        <v>45831</v>
      </c>
      <c r="L20" s="160" t="s">
        <v>1059</v>
      </c>
      <c r="M20" s="160" t="s">
        <v>1035</v>
      </c>
      <c r="N20" s="157">
        <v>968809136</v>
      </c>
      <c r="O20" s="161">
        <v>15</v>
      </c>
      <c r="P20" s="158" t="s">
        <v>1363</v>
      </c>
      <c r="Q20" s="158" t="s">
        <v>1361</v>
      </c>
      <c r="R20" s="162"/>
      <c r="S20" s="157" t="str">
        <f t="shared" si="1"/>
        <v>006-000158025</v>
      </c>
      <c r="T20" s="165" t="s">
        <v>1189</v>
      </c>
      <c r="U20" s="164" t="s">
        <v>1188</v>
      </c>
    </row>
    <row r="21" spans="1:21" ht="20">
      <c r="A21">
        <v>16</v>
      </c>
      <c r="B21" s="156">
        <v>45680</v>
      </c>
      <c r="C21" s="157" t="s">
        <v>1166</v>
      </c>
      <c r="D21" s="157" t="s">
        <v>1320</v>
      </c>
      <c r="E21" s="158">
        <v>112580058</v>
      </c>
      <c r="F21" s="74" t="str">
        <f t="shared" si="0"/>
        <v>GBC 95030 KBB BK COCINA GAS</v>
      </c>
      <c r="G21" s="157" t="s">
        <v>1194</v>
      </c>
      <c r="H21" s="158" t="s">
        <v>23</v>
      </c>
      <c r="I21" s="158" t="s">
        <v>1361</v>
      </c>
      <c r="J21" s="158" t="s">
        <v>1362</v>
      </c>
      <c r="K21" s="159">
        <v>45833</v>
      </c>
      <c r="L21" s="160" t="s">
        <v>1062</v>
      </c>
      <c r="M21" s="160" t="s">
        <v>1063</v>
      </c>
      <c r="N21" s="157">
        <v>979792264</v>
      </c>
      <c r="O21" s="161">
        <v>20</v>
      </c>
      <c r="P21" s="158" t="s">
        <v>1363</v>
      </c>
      <c r="Q21" s="158" t="s">
        <v>1361</v>
      </c>
      <c r="R21" s="162"/>
      <c r="S21" s="157" t="str">
        <f t="shared" si="1"/>
        <v>001500-000070341</v>
      </c>
      <c r="T21" s="165" t="s">
        <v>1196</v>
      </c>
      <c r="U21" s="164" t="s">
        <v>1195</v>
      </c>
    </row>
    <row r="22" spans="1:21" ht="20">
      <c r="A22">
        <v>17</v>
      </c>
      <c r="B22" s="156">
        <v>45680</v>
      </c>
      <c r="C22" s="157" t="s">
        <v>1166</v>
      </c>
      <c r="D22" s="157" t="s">
        <v>1320</v>
      </c>
      <c r="E22" s="158">
        <v>111000051</v>
      </c>
      <c r="F22" s="74" t="str">
        <f t="shared" si="0"/>
        <v>HLB 8416 "AIR FRY" - HORNO ELEC</v>
      </c>
      <c r="G22" s="157" t="s">
        <v>1376</v>
      </c>
      <c r="H22" s="158" t="s">
        <v>23</v>
      </c>
      <c r="I22" s="158" t="s">
        <v>1361</v>
      </c>
      <c r="J22" s="158" t="s">
        <v>1362</v>
      </c>
      <c r="K22" s="159">
        <v>45833</v>
      </c>
      <c r="L22" s="160" t="s">
        <v>1062</v>
      </c>
      <c r="M22" s="160" t="s">
        <v>1063</v>
      </c>
      <c r="N22" s="157">
        <v>979792264</v>
      </c>
      <c r="O22" s="161">
        <v>20</v>
      </c>
      <c r="P22" s="158" t="s">
        <v>1363</v>
      </c>
      <c r="Q22" s="158" t="s">
        <v>1361</v>
      </c>
      <c r="R22" s="162"/>
      <c r="S22" s="157" t="str">
        <f t="shared" si="1"/>
        <v>001500-000070341</v>
      </c>
      <c r="T22" s="165" t="s">
        <v>1196</v>
      </c>
      <c r="U22" s="164" t="s">
        <v>1195</v>
      </c>
    </row>
    <row r="23" spans="1:21" ht="20">
      <c r="A23">
        <v>18</v>
      </c>
      <c r="B23" s="156">
        <v>45800</v>
      </c>
      <c r="C23" s="157" t="s">
        <v>1197</v>
      </c>
      <c r="D23" s="157" t="s">
        <v>1321</v>
      </c>
      <c r="E23" s="158">
        <v>112570073</v>
      </c>
      <c r="F23" s="74" t="str">
        <f t="shared" si="0"/>
        <v>GZC 96310 XBB CRISTAL COCINA GAS</v>
      </c>
      <c r="G23" s="157" t="s">
        <v>1198</v>
      </c>
      <c r="H23" s="158" t="s">
        <v>23</v>
      </c>
      <c r="I23" s="158" t="s">
        <v>1361</v>
      </c>
      <c r="J23" s="158" t="s">
        <v>1362</v>
      </c>
      <c r="K23" s="159">
        <v>45833</v>
      </c>
      <c r="L23" s="160" t="s">
        <v>1064</v>
      </c>
      <c r="M23" s="160" t="s">
        <v>1065</v>
      </c>
      <c r="N23" s="157">
        <v>999522008</v>
      </c>
      <c r="O23" s="161">
        <v>15</v>
      </c>
      <c r="P23" s="158" t="s">
        <v>1363</v>
      </c>
      <c r="Q23" s="158" t="s">
        <v>1361</v>
      </c>
      <c r="R23" s="162"/>
      <c r="S23" s="157" t="str">
        <f t="shared" si="1"/>
        <v>002-201-000010370</v>
      </c>
      <c r="T23" s="165" t="s">
        <v>1200</v>
      </c>
      <c r="U23" s="164" t="s">
        <v>1199</v>
      </c>
    </row>
    <row r="24" spans="1:21" ht="20">
      <c r="A24">
        <v>19</v>
      </c>
      <c r="B24" s="156">
        <v>45800</v>
      </c>
      <c r="C24" s="157" t="s">
        <v>1197</v>
      </c>
      <c r="D24" s="157" t="s">
        <v>1321</v>
      </c>
      <c r="E24" s="158">
        <v>111020071</v>
      </c>
      <c r="F24" s="74" t="str">
        <f t="shared" si="0"/>
        <v>HBB 510 BK 220-240  50/60 HORNO ELEC</v>
      </c>
      <c r="G24" s="157" t="s">
        <v>1198</v>
      </c>
      <c r="H24" s="158" t="s">
        <v>23</v>
      </c>
      <c r="I24" s="158" t="s">
        <v>1361</v>
      </c>
      <c r="J24" s="158" t="s">
        <v>1362</v>
      </c>
      <c r="K24" s="159">
        <v>45833</v>
      </c>
      <c r="L24" s="160" t="s">
        <v>1064</v>
      </c>
      <c r="M24" s="160" t="s">
        <v>1065</v>
      </c>
      <c r="N24" s="157">
        <v>999522008</v>
      </c>
      <c r="O24" s="161">
        <v>15</v>
      </c>
      <c r="P24" s="158" t="s">
        <v>1363</v>
      </c>
      <c r="Q24" s="158" t="s">
        <v>1361</v>
      </c>
      <c r="R24" s="162"/>
      <c r="S24" s="157" t="str">
        <f t="shared" si="1"/>
        <v>002-201-000010370</v>
      </c>
      <c r="T24" s="165" t="s">
        <v>1200</v>
      </c>
      <c r="U24" s="164" t="s">
        <v>1199</v>
      </c>
    </row>
    <row r="25" spans="1:21" ht="20">
      <c r="A25">
        <v>20</v>
      </c>
      <c r="B25" s="156">
        <v>45800</v>
      </c>
      <c r="C25" s="157" t="s">
        <v>1197</v>
      </c>
      <c r="D25" s="157" t="s">
        <v>1321</v>
      </c>
      <c r="E25" s="158">
        <v>40466111</v>
      </c>
      <c r="F25" s="74" t="str">
        <f t="shared" si="0"/>
        <v>C 910 NEGRA CAMPANA (110V-60HZ) C/KIT</v>
      </c>
      <c r="G25" s="157" t="s">
        <v>1198</v>
      </c>
      <c r="H25" s="158" t="s">
        <v>23</v>
      </c>
      <c r="I25" s="158" t="s">
        <v>1361</v>
      </c>
      <c r="J25" s="158" t="s">
        <v>1362</v>
      </c>
      <c r="K25" s="159">
        <v>45833</v>
      </c>
      <c r="L25" s="160" t="s">
        <v>1064</v>
      </c>
      <c r="M25" s="160" t="s">
        <v>1065</v>
      </c>
      <c r="N25" s="157">
        <v>999522008</v>
      </c>
      <c r="O25" s="161">
        <v>15</v>
      </c>
      <c r="P25" s="158" t="s">
        <v>1363</v>
      </c>
      <c r="Q25" s="158" t="s">
        <v>1361</v>
      </c>
      <c r="R25" s="162"/>
      <c r="S25" s="157" t="str">
        <f t="shared" si="1"/>
        <v>002-201-000010370</v>
      </c>
      <c r="T25" s="165" t="s">
        <v>1200</v>
      </c>
      <c r="U25" s="164" t="s">
        <v>1199</v>
      </c>
    </row>
    <row r="26" spans="1:21" ht="20">
      <c r="A26">
        <v>21</v>
      </c>
      <c r="B26" s="156">
        <v>45717</v>
      </c>
      <c r="C26" s="157" t="s">
        <v>1201</v>
      </c>
      <c r="D26" s="157" t="s">
        <v>1322</v>
      </c>
      <c r="E26" s="158">
        <v>40466111</v>
      </c>
      <c r="F26" s="74" t="str">
        <f t="shared" si="0"/>
        <v>C 910 NEGRA CAMPANA (110V-60HZ) C/KIT</v>
      </c>
      <c r="G26" s="157" t="s">
        <v>1202</v>
      </c>
      <c r="H26" s="158" t="s">
        <v>23</v>
      </c>
      <c r="I26" s="158" t="s">
        <v>1361</v>
      </c>
      <c r="J26" s="158" t="s">
        <v>1362</v>
      </c>
      <c r="K26" s="159">
        <v>45833</v>
      </c>
      <c r="L26" s="160" t="s">
        <v>1066</v>
      </c>
      <c r="M26" s="160" t="s">
        <v>1067</v>
      </c>
      <c r="N26" s="157">
        <v>986059241</v>
      </c>
      <c r="O26" s="161">
        <v>20</v>
      </c>
      <c r="P26" s="158" t="s">
        <v>1363</v>
      </c>
      <c r="Q26" s="158" t="s">
        <v>1361</v>
      </c>
      <c r="R26" s="162"/>
      <c r="S26" s="157" t="str">
        <f t="shared" si="1"/>
        <v>001-500-000071340</v>
      </c>
      <c r="T26" s="165" t="s">
        <v>1204</v>
      </c>
      <c r="U26" s="164" t="s">
        <v>1203</v>
      </c>
    </row>
    <row r="27" spans="1:21" ht="20">
      <c r="A27">
        <v>22</v>
      </c>
      <c r="B27" s="156">
        <v>45717</v>
      </c>
      <c r="C27" s="157" t="s">
        <v>1201</v>
      </c>
      <c r="D27" s="157" t="s">
        <v>1323</v>
      </c>
      <c r="E27" s="158">
        <v>112580017</v>
      </c>
      <c r="F27" s="74" t="str">
        <f t="shared" si="0"/>
        <v>GBC 64000 KBB CRISTAL COCINA GAS</v>
      </c>
      <c r="G27" s="157" t="s">
        <v>1377</v>
      </c>
      <c r="H27" s="158" t="s">
        <v>23</v>
      </c>
      <c r="I27" s="158" t="s">
        <v>1361</v>
      </c>
      <c r="J27" s="158" t="s">
        <v>1362</v>
      </c>
      <c r="K27" s="159">
        <v>45833</v>
      </c>
      <c r="L27" s="160" t="s">
        <v>1066</v>
      </c>
      <c r="M27" s="160" t="s">
        <v>1067</v>
      </c>
      <c r="N27" s="157">
        <v>986059241</v>
      </c>
      <c r="O27" s="161">
        <v>20</v>
      </c>
      <c r="P27" s="158" t="s">
        <v>1363</v>
      </c>
      <c r="Q27" s="158" t="s">
        <v>1361</v>
      </c>
      <c r="R27" s="162"/>
      <c r="S27" s="157" t="str">
        <f t="shared" si="1"/>
        <v>001-500-000070531</v>
      </c>
      <c r="T27" s="165" t="s">
        <v>1204</v>
      </c>
      <c r="U27" s="164" t="s">
        <v>1203</v>
      </c>
    </row>
    <row r="28" spans="1:21" ht="20">
      <c r="A28">
        <v>23</v>
      </c>
      <c r="B28" s="156">
        <v>45695</v>
      </c>
      <c r="C28" s="157" t="s">
        <v>1201</v>
      </c>
      <c r="D28" s="157" t="s">
        <v>1324</v>
      </c>
      <c r="E28" s="158">
        <v>112950021</v>
      </c>
      <c r="F28" s="74" t="str">
        <f t="shared" si="0"/>
        <v>DVN 94030 TCL BK CAMPANA (110V-60HZ) C/KIT</v>
      </c>
      <c r="G28" s="157" t="s">
        <v>1205</v>
      </c>
      <c r="H28" s="158" t="s">
        <v>23</v>
      </c>
      <c r="I28" s="158" t="s">
        <v>1361</v>
      </c>
      <c r="J28" s="158" t="s">
        <v>1362</v>
      </c>
      <c r="K28" s="159">
        <v>45834</v>
      </c>
      <c r="L28" s="160" t="s">
        <v>1068</v>
      </c>
      <c r="M28" s="160" t="s">
        <v>1069</v>
      </c>
      <c r="N28" s="157">
        <v>993096099</v>
      </c>
      <c r="O28" s="161">
        <v>20</v>
      </c>
      <c r="P28" s="158" t="s">
        <v>1363</v>
      </c>
      <c r="Q28" s="158" t="s">
        <v>1361</v>
      </c>
      <c r="R28" s="162"/>
      <c r="S28" s="157" t="str">
        <f t="shared" si="1"/>
        <v>001-500-000070726</v>
      </c>
      <c r="T28" s="163">
        <v>102082492</v>
      </c>
      <c r="U28" s="164" t="s">
        <v>1206</v>
      </c>
    </row>
    <row r="29" spans="1:21" ht="20">
      <c r="A29">
        <v>24</v>
      </c>
      <c r="B29" s="156">
        <v>45695</v>
      </c>
      <c r="C29" s="157" t="s">
        <v>1201</v>
      </c>
      <c r="D29" s="157" t="s">
        <v>1324</v>
      </c>
      <c r="E29" s="158">
        <v>112580058</v>
      </c>
      <c r="F29" s="74" t="str">
        <f t="shared" si="0"/>
        <v>GBC 95030 KBB BK COCINA GAS</v>
      </c>
      <c r="G29" s="157" t="s">
        <v>1378</v>
      </c>
      <c r="H29" s="158" t="s">
        <v>23</v>
      </c>
      <c r="I29" s="158" t="s">
        <v>1361</v>
      </c>
      <c r="J29" s="158" t="s">
        <v>1362</v>
      </c>
      <c r="K29" s="159">
        <v>45834</v>
      </c>
      <c r="L29" s="160" t="s">
        <v>1068</v>
      </c>
      <c r="M29" s="160" t="s">
        <v>1069</v>
      </c>
      <c r="N29" s="157">
        <v>993096099</v>
      </c>
      <c r="O29" s="161">
        <v>20</v>
      </c>
      <c r="P29" s="158" t="s">
        <v>1363</v>
      </c>
      <c r="Q29" s="158" t="s">
        <v>1361</v>
      </c>
      <c r="R29" s="162"/>
      <c r="S29" s="157" t="str">
        <f t="shared" si="1"/>
        <v>001-500-000070726</v>
      </c>
      <c r="T29" s="163">
        <v>102082492</v>
      </c>
      <c r="U29" s="164" t="s">
        <v>1206</v>
      </c>
    </row>
    <row r="30" spans="1:21" ht="20">
      <c r="A30">
        <v>25</v>
      </c>
      <c r="B30" s="156">
        <v>45826</v>
      </c>
      <c r="C30" s="157" t="s">
        <v>1201</v>
      </c>
      <c r="D30" s="157" t="s">
        <v>1325</v>
      </c>
      <c r="E30" s="158">
        <v>112950020</v>
      </c>
      <c r="F30" s="74" t="str">
        <f t="shared" si="0"/>
        <v>DVN 74030 TCL BK CAMPANA (110V-60HZ) C/KIT</v>
      </c>
      <c r="G30" s="157" t="s">
        <v>1207</v>
      </c>
      <c r="H30" s="158" t="s">
        <v>23</v>
      </c>
      <c r="I30" s="158" t="s">
        <v>1361</v>
      </c>
      <c r="J30" s="158" t="s">
        <v>1362</v>
      </c>
      <c r="K30" s="159">
        <v>45834</v>
      </c>
      <c r="L30" s="160" t="s">
        <v>1070</v>
      </c>
      <c r="M30" s="160" t="s">
        <v>1071</v>
      </c>
      <c r="N30" s="157">
        <v>963122710</v>
      </c>
      <c r="O30" s="161">
        <v>20</v>
      </c>
      <c r="P30" s="158" t="s">
        <v>1363</v>
      </c>
      <c r="Q30" s="158" t="s">
        <v>1361</v>
      </c>
      <c r="R30" s="162"/>
      <c r="S30" s="157" t="str">
        <f t="shared" si="1"/>
        <v>001-500-000074331</v>
      </c>
      <c r="T30" s="163">
        <v>152476768</v>
      </c>
      <c r="U30" s="164" t="s">
        <v>1208</v>
      </c>
    </row>
    <row r="31" spans="1:21" ht="20">
      <c r="A31">
        <v>26</v>
      </c>
      <c r="B31" s="156">
        <v>45826</v>
      </c>
      <c r="C31" s="157" t="s">
        <v>1201</v>
      </c>
      <c r="D31" s="157" t="s">
        <v>1325</v>
      </c>
      <c r="E31" s="158">
        <v>112580027</v>
      </c>
      <c r="F31" s="74" t="str">
        <f t="shared" si="0"/>
        <v>GBC 75030 KBB CRISTAL COCINA GAS</v>
      </c>
      <c r="G31" s="157" t="s">
        <v>1379</v>
      </c>
      <c r="H31" s="158" t="s">
        <v>23</v>
      </c>
      <c r="I31" s="158" t="s">
        <v>1361</v>
      </c>
      <c r="J31" s="158" t="s">
        <v>1362</v>
      </c>
      <c r="K31" s="159">
        <v>45834</v>
      </c>
      <c r="L31" s="160" t="s">
        <v>1070</v>
      </c>
      <c r="M31" s="160" t="s">
        <v>1071</v>
      </c>
      <c r="N31" s="157">
        <v>963122710</v>
      </c>
      <c r="O31" s="161">
        <v>20</v>
      </c>
      <c r="P31" s="158" t="s">
        <v>1363</v>
      </c>
      <c r="Q31" s="158" t="s">
        <v>1361</v>
      </c>
      <c r="R31" s="162"/>
      <c r="S31" s="157" t="str">
        <f t="shared" si="1"/>
        <v>001-500-000074331</v>
      </c>
      <c r="T31" s="163">
        <v>152476768</v>
      </c>
      <c r="U31" s="164" t="s">
        <v>1208</v>
      </c>
    </row>
    <row r="32" spans="1:21" ht="20">
      <c r="A32">
        <v>27</v>
      </c>
      <c r="B32" s="156">
        <v>45806</v>
      </c>
      <c r="C32" s="157" t="s">
        <v>1197</v>
      </c>
      <c r="D32" s="157" t="s">
        <v>1326</v>
      </c>
      <c r="E32" s="158">
        <v>40584012</v>
      </c>
      <c r="F32" s="74" t="str">
        <f t="shared" si="0"/>
        <v>MS 620 BIS - MICROONDAS</v>
      </c>
      <c r="G32" s="157" t="s">
        <v>1209</v>
      </c>
      <c r="H32" s="158" t="s">
        <v>23</v>
      </c>
      <c r="I32" s="158" t="s">
        <v>1361</v>
      </c>
      <c r="J32" s="158" t="s">
        <v>1362</v>
      </c>
      <c r="K32" s="159">
        <v>45834</v>
      </c>
      <c r="L32" s="160" t="s">
        <v>1072</v>
      </c>
      <c r="M32" s="160" t="s">
        <v>1073</v>
      </c>
      <c r="N32" s="157">
        <v>984718139</v>
      </c>
      <c r="O32" s="161">
        <v>15</v>
      </c>
      <c r="P32" s="158" t="s">
        <v>1363</v>
      </c>
      <c r="Q32" s="158" t="s">
        <v>1361</v>
      </c>
      <c r="R32" s="162"/>
      <c r="S32" s="157" t="str">
        <f t="shared" si="1"/>
        <v>002-201-000010668</v>
      </c>
      <c r="T32" s="163">
        <v>105161426</v>
      </c>
      <c r="U32" s="164" t="s">
        <v>1210</v>
      </c>
    </row>
    <row r="33" spans="1:21" ht="20">
      <c r="A33">
        <v>28</v>
      </c>
      <c r="B33" s="156">
        <v>45806</v>
      </c>
      <c r="C33" s="157" t="s">
        <v>1197</v>
      </c>
      <c r="D33" s="157" t="s">
        <v>1326</v>
      </c>
      <c r="E33" s="158">
        <v>40446712</v>
      </c>
      <c r="F33" s="74" t="str">
        <f t="shared" si="0"/>
        <v>GFH 73 INOX CAMPANA (110V-60HZ) C/KIT</v>
      </c>
      <c r="G33" s="157" t="s">
        <v>1380</v>
      </c>
      <c r="H33" s="158" t="s">
        <v>23</v>
      </c>
      <c r="I33" s="158" t="s">
        <v>1361</v>
      </c>
      <c r="J33" s="158" t="s">
        <v>1362</v>
      </c>
      <c r="K33" s="159">
        <v>45834</v>
      </c>
      <c r="L33" s="160" t="s">
        <v>1072</v>
      </c>
      <c r="M33" s="160" t="s">
        <v>1073</v>
      </c>
      <c r="N33" s="157">
        <v>984718139</v>
      </c>
      <c r="O33" s="161">
        <v>15</v>
      </c>
      <c r="P33" s="158" t="s">
        <v>1363</v>
      </c>
      <c r="Q33" s="158" t="s">
        <v>1361</v>
      </c>
      <c r="R33" s="162"/>
      <c r="S33" s="157" t="str">
        <f t="shared" si="1"/>
        <v>002-201-000010668</v>
      </c>
      <c r="T33" s="163">
        <v>105161426</v>
      </c>
      <c r="U33" s="164" t="s">
        <v>1210</v>
      </c>
    </row>
    <row r="34" spans="1:21" ht="20">
      <c r="A34">
        <v>29</v>
      </c>
      <c r="B34" s="156">
        <v>45782</v>
      </c>
      <c r="C34" s="157" t="s">
        <v>1197</v>
      </c>
      <c r="D34" s="157" t="s">
        <v>1327</v>
      </c>
      <c r="E34" s="158">
        <v>40446712</v>
      </c>
      <c r="F34" s="74" t="str">
        <f t="shared" si="0"/>
        <v>GFH 73 INOX CAMPANA (110V-60HZ) C/KIT</v>
      </c>
      <c r="G34" s="157" t="s">
        <v>1381</v>
      </c>
      <c r="H34" s="158" t="s">
        <v>23</v>
      </c>
      <c r="I34" s="158" t="s">
        <v>1361</v>
      </c>
      <c r="J34" s="158" t="s">
        <v>1362</v>
      </c>
      <c r="K34" s="159">
        <v>45834</v>
      </c>
      <c r="L34" s="160" t="s">
        <v>1072</v>
      </c>
      <c r="M34" s="160" t="s">
        <v>1073</v>
      </c>
      <c r="N34" s="157">
        <v>984718139</v>
      </c>
      <c r="O34" s="161">
        <v>15</v>
      </c>
      <c r="P34" s="158" t="s">
        <v>1363</v>
      </c>
      <c r="Q34" s="158" t="s">
        <v>1361</v>
      </c>
      <c r="R34" s="162"/>
      <c r="S34" s="157" t="str">
        <f t="shared" si="1"/>
        <v>002-201-000009351</v>
      </c>
      <c r="T34" s="163">
        <v>105161426</v>
      </c>
      <c r="U34" s="164" t="s">
        <v>1210</v>
      </c>
    </row>
    <row r="35" spans="1:21" ht="20">
      <c r="A35">
        <v>30</v>
      </c>
      <c r="B35" s="156">
        <v>45786</v>
      </c>
      <c r="C35" s="157" t="s">
        <v>1197</v>
      </c>
      <c r="D35" s="157" t="s">
        <v>1328</v>
      </c>
      <c r="E35" s="158">
        <v>40782127</v>
      </c>
      <c r="F35" s="74" t="str">
        <f t="shared" si="0"/>
        <v>DW8 57 FIM PANELABLE LAVAVAJILLAS</v>
      </c>
      <c r="G35" s="157" t="s">
        <v>1382</v>
      </c>
      <c r="H35" s="158" t="s">
        <v>23</v>
      </c>
      <c r="I35" s="158" t="s">
        <v>1361</v>
      </c>
      <c r="J35" s="158" t="s">
        <v>1362</v>
      </c>
      <c r="K35" s="159">
        <v>45834</v>
      </c>
      <c r="L35" s="160" t="s">
        <v>1072</v>
      </c>
      <c r="M35" s="160" t="s">
        <v>1073</v>
      </c>
      <c r="N35" s="157">
        <v>984718139</v>
      </c>
      <c r="O35" s="161">
        <v>15</v>
      </c>
      <c r="P35" s="158" t="s">
        <v>1363</v>
      </c>
      <c r="Q35" s="158" t="s">
        <v>1361</v>
      </c>
      <c r="R35" s="162"/>
      <c r="S35" s="157" t="str">
        <f t="shared" si="1"/>
        <v>040-103-000013457</v>
      </c>
      <c r="T35" s="163">
        <v>105161426</v>
      </c>
      <c r="U35" s="164" t="s">
        <v>1210</v>
      </c>
    </row>
    <row r="36" spans="1:21" ht="20">
      <c r="A36">
        <v>31</v>
      </c>
      <c r="B36" s="156">
        <v>45822</v>
      </c>
      <c r="C36" s="157" t="s">
        <v>1152</v>
      </c>
      <c r="D36" s="157" t="s">
        <v>1329</v>
      </c>
      <c r="E36" s="158">
        <v>40446702</v>
      </c>
      <c r="F36" s="74" t="str">
        <f t="shared" si="0"/>
        <v>GFH 55 INOX CAMPANA (110V-60HZ) C/KIT</v>
      </c>
      <c r="G36" s="157" t="s">
        <v>1218</v>
      </c>
      <c r="H36" s="158" t="s">
        <v>23</v>
      </c>
      <c r="I36" s="158" t="s">
        <v>1361</v>
      </c>
      <c r="J36" s="158" t="s">
        <v>1362</v>
      </c>
      <c r="K36" s="159">
        <v>45835</v>
      </c>
      <c r="L36" s="160" t="s">
        <v>1078</v>
      </c>
      <c r="M36" s="160" t="s">
        <v>1079</v>
      </c>
      <c r="N36" s="157">
        <v>958648526</v>
      </c>
      <c r="O36" s="161">
        <v>20</v>
      </c>
      <c r="P36" s="158" t="s">
        <v>1363</v>
      </c>
      <c r="Q36" s="158" t="s">
        <v>1361</v>
      </c>
      <c r="R36" s="162"/>
      <c r="S36" s="157" t="str">
        <f t="shared" si="1"/>
        <v>040-103-000014118</v>
      </c>
      <c r="T36" s="163">
        <v>958648526</v>
      </c>
      <c r="U36" s="164" t="s">
        <v>1219</v>
      </c>
    </row>
    <row r="37" spans="1:21" ht="20">
      <c r="A37">
        <v>32</v>
      </c>
      <c r="B37" s="156">
        <v>45822</v>
      </c>
      <c r="C37" s="157" t="s">
        <v>1152</v>
      </c>
      <c r="D37" s="157" t="s">
        <v>1329</v>
      </c>
      <c r="E37" s="158">
        <v>40446702</v>
      </c>
      <c r="F37" s="74" t="str">
        <f t="shared" si="0"/>
        <v>GFH 55 INOX CAMPANA (110V-60HZ) C/KIT</v>
      </c>
      <c r="G37" s="157" t="s">
        <v>1383</v>
      </c>
      <c r="H37" s="158" t="s">
        <v>23</v>
      </c>
      <c r="I37" s="158" t="s">
        <v>1361</v>
      </c>
      <c r="J37" s="158" t="s">
        <v>1362</v>
      </c>
      <c r="K37" s="159">
        <v>45835</v>
      </c>
      <c r="L37" s="160" t="s">
        <v>1078</v>
      </c>
      <c r="M37" s="160" t="s">
        <v>1079</v>
      </c>
      <c r="N37" s="157">
        <v>958648526</v>
      </c>
      <c r="O37" s="161">
        <v>20</v>
      </c>
      <c r="P37" s="158" t="s">
        <v>1363</v>
      </c>
      <c r="Q37" s="158" t="s">
        <v>1361</v>
      </c>
      <c r="R37" s="162"/>
      <c r="S37" s="157" t="str">
        <f t="shared" si="1"/>
        <v>040-103-000014118</v>
      </c>
      <c r="T37" s="163">
        <v>958648526</v>
      </c>
      <c r="U37" s="164" t="s">
        <v>1219</v>
      </c>
    </row>
    <row r="38" spans="1:21" ht="20">
      <c r="A38">
        <v>33</v>
      </c>
      <c r="B38" s="156">
        <v>45814</v>
      </c>
      <c r="C38" s="157" t="s">
        <v>1152</v>
      </c>
      <c r="D38" s="157" t="s">
        <v>1330</v>
      </c>
      <c r="E38" s="158">
        <v>111010028</v>
      </c>
      <c r="F38" s="74" t="str">
        <f t="shared" si="0"/>
        <v>HSB 646 "AIRFRY" - HORNO ELEC</v>
      </c>
      <c r="G38" s="157" t="s">
        <v>1220</v>
      </c>
      <c r="H38" s="158" t="s">
        <v>23</v>
      </c>
      <c r="I38" s="158" t="s">
        <v>1361</v>
      </c>
      <c r="J38" s="158" t="s">
        <v>1362</v>
      </c>
      <c r="K38" s="159">
        <v>45835</v>
      </c>
      <c r="L38" s="160" t="s">
        <v>1080</v>
      </c>
      <c r="M38" s="160" t="s">
        <v>1048</v>
      </c>
      <c r="N38" s="157">
        <v>990296106</v>
      </c>
      <c r="O38" s="161">
        <v>20</v>
      </c>
      <c r="P38" s="158" t="s">
        <v>1363</v>
      </c>
      <c r="Q38" s="158" t="s">
        <v>1361</v>
      </c>
      <c r="R38" s="162"/>
      <c r="S38" s="157" t="str">
        <f t="shared" si="1"/>
        <v>040-103-000013967</v>
      </c>
      <c r="T38" s="163">
        <v>101029866</v>
      </c>
      <c r="U38" s="164" t="s">
        <v>1221</v>
      </c>
    </row>
    <row r="39" spans="1:21" ht="20">
      <c r="A39">
        <v>34</v>
      </c>
      <c r="B39" s="156">
        <v>45814</v>
      </c>
      <c r="C39" s="157" t="s">
        <v>1152</v>
      </c>
      <c r="D39" s="157" t="s">
        <v>1330</v>
      </c>
      <c r="E39" s="158">
        <v>112610067</v>
      </c>
      <c r="F39" s="74" t="str">
        <f t="shared" si="0"/>
        <v>GSC 96320 XBA IX (LAT) COCINA INOX</v>
      </c>
      <c r="G39" s="157" t="s">
        <v>1384</v>
      </c>
      <c r="H39" s="158" t="s">
        <v>23</v>
      </c>
      <c r="I39" s="158" t="s">
        <v>1361</v>
      </c>
      <c r="J39" s="158" t="s">
        <v>1362</v>
      </c>
      <c r="K39" s="159">
        <v>45835</v>
      </c>
      <c r="L39" s="160" t="s">
        <v>1080</v>
      </c>
      <c r="M39" s="160" t="s">
        <v>1048</v>
      </c>
      <c r="N39" s="157">
        <v>990296106</v>
      </c>
      <c r="O39" s="161">
        <v>20</v>
      </c>
      <c r="P39" s="158" t="s">
        <v>1363</v>
      </c>
      <c r="Q39" s="158" t="s">
        <v>1361</v>
      </c>
      <c r="R39" s="162"/>
      <c r="S39" s="157" t="str">
        <f t="shared" si="1"/>
        <v>040-103-000013967</v>
      </c>
      <c r="T39" s="163">
        <v>101029866</v>
      </c>
      <c r="U39" s="164" t="s">
        <v>1221</v>
      </c>
    </row>
    <row r="40" spans="1:21" ht="20">
      <c r="A40">
        <v>35</v>
      </c>
      <c r="B40" s="156">
        <v>45655</v>
      </c>
      <c r="C40" s="157" t="s">
        <v>1152</v>
      </c>
      <c r="D40" s="157" t="s">
        <v>1331</v>
      </c>
      <c r="E40" s="158">
        <v>112580058</v>
      </c>
      <c r="F40" s="74" t="str">
        <f t="shared" si="0"/>
        <v>GBC 95030 KBB BK COCINA GAS</v>
      </c>
      <c r="G40" s="157" t="s">
        <v>1226</v>
      </c>
      <c r="H40" s="158" t="s">
        <v>23</v>
      </c>
      <c r="I40" s="158" t="s">
        <v>1361</v>
      </c>
      <c r="J40" s="158" t="s">
        <v>1362</v>
      </c>
      <c r="K40" s="159">
        <v>45836</v>
      </c>
      <c r="L40" s="160" t="s">
        <v>1083</v>
      </c>
      <c r="M40" s="160" t="s">
        <v>1084</v>
      </c>
      <c r="N40" s="157">
        <v>991728165</v>
      </c>
      <c r="O40" s="161">
        <v>15</v>
      </c>
      <c r="P40" s="158" t="s">
        <v>1363</v>
      </c>
      <c r="Q40" s="158" t="s">
        <v>1361</v>
      </c>
      <c r="R40" s="162"/>
      <c r="S40" s="157" t="str">
        <f t="shared" si="1"/>
        <v>040-103-000010701</v>
      </c>
      <c r="T40" s="163">
        <v>102115193</v>
      </c>
      <c r="U40" s="164" t="s">
        <v>1227</v>
      </c>
    </row>
    <row r="41" spans="1:21" ht="20">
      <c r="A41">
        <v>36</v>
      </c>
      <c r="B41" s="156">
        <v>45655</v>
      </c>
      <c r="C41" s="157" t="s">
        <v>1152</v>
      </c>
      <c r="D41" s="157" t="s">
        <v>1331</v>
      </c>
      <c r="E41" s="158">
        <v>111010028</v>
      </c>
      <c r="F41" s="74" t="str">
        <f t="shared" si="0"/>
        <v>HSB 646 "AIRFRY" - HORNO ELEC</v>
      </c>
      <c r="G41" s="157" t="s">
        <v>1385</v>
      </c>
      <c r="H41" s="158" t="s">
        <v>23</v>
      </c>
      <c r="I41" s="158" t="s">
        <v>1361</v>
      </c>
      <c r="J41" s="158" t="s">
        <v>1362</v>
      </c>
      <c r="K41" s="159">
        <v>45836</v>
      </c>
      <c r="L41" s="160" t="s">
        <v>1083</v>
      </c>
      <c r="M41" s="160" t="s">
        <v>1084</v>
      </c>
      <c r="N41" s="157">
        <v>991728165</v>
      </c>
      <c r="O41" s="161">
        <v>15</v>
      </c>
      <c r="P41" s="158" t="s">
        <v>1363</v>
      </c>
      <c r="Q41" s="158" t="s">
        <v>1361</v>
      </c>
      <c r="R41" s="162"/>
      <c r="S41" s="157" t="str">
        <f t="shared" si="1"/>
        <v>040-103-000010701</v>
      </c>
      <c r="T41" s="163">
        <v>102115193</v>
      </c>
      <c r="U41" s="164" t="s">
        <v>1227</v>
      </c>
    </row>
    <row r="42" spans="1:21" ht="20">
      <c r="A42">
        <v>37</v>
      </c>
      <c r="B42" s="156">
        <v>45655</v>
      </c>
      <c r="C42" s="157" t="s">
        <v>1152</v>
      </c>
      <c r="D42" s="157" t="s">
        <v>1331</v>
      </c>
      <c r="E42" s="158">
        <v>40584305</v>
      </c>
      <c r="F42" s="74" t="str">
        <f t="shared" si="0"/>
        <v>ML 822 BIS - MICROONDAS (112030008)</v>
      </c>
      <c r="G42" s="157" t="s">
        <v>1386</v>
      </c>
      <c r="H42" s="158" t="s">
        <v>23</v>
      </c>
      <c r="I42" s="158" t="s">
        <v>1361</v>
      </c>
      <c r="J42" s="158" t="s">
        <v>1362</v>
      </c>
      <c r="K42" s="159">
        <v>45836</v>
      </c>
      <c r="L42" s="160" t="s">
        <v>1083</v>
      </c>
      <c r="M42" s="160" t="s">
        <v>1084</v>
      </c>
      <c r="N42" s="157">
        <v>991728165</v>
      </c>
      <c r="O42" s="161">
        <v>15</v>
      </c>
      <c r="P42" s="158" t="s">
        <v>1363</v>
      </c>
      <c r="Q42" s="158" t="s">
        <v>1361</v>
      </c>
      <c r="R42" s="162"/>
      <c r="S42" s="157" t="str">
        <f t="shared" si="1"/>
        <v>040-103-000010701</v>
      </c>
      <c r="T42" s="163">
        <v>102115193</v>
      </c>
      <c r="U42" s="164" t="s">
        <v>1227</v>
      </c>
    </row>
    <row r="43" spans="1:21" ht="20">
      <c r="A43">
        <v>38</v>
      </c>
      <c r="B43" s="156">
        <v>45684</v>
      </c>
      <c r="C43" s="157" t="s">
        <v>1197</v>
      </c>
      <c r="D43" s="157" t="s">
        <v>1332</v>
      </c>
      <c r="E43" s="158">
        <v>112570068</v>
      </c>
      <c r="F43" s="74" t="str">
        <f t="shared" si="0"/>
        <v>GZC 95320 XBB CRISTAL COCINA GAS</v>
      </c>
      <c r="G43" s="157" t="s">
        <v>1228</v>
      </c>
      <c r="H43" s="158" t="s">
        <v>23</v>
      </c>
      <c r="I43" s="158" t="s">
        <v>1361</v>
      </c>
      <c r="J43" s="158" t="s">
        <v>1362</v>
      </c>
      <c r="K43" s="159">
        <v>45836</v>
      </c>
      <c r="L43" s="160" t="s">
        <v>1085</v>
      </c>
      <c r="M43" s="160" t="s">
        <v>1086</v>
      </c>
      <c r="N43" s="157">
        <v>998060239</v>
      </c>
      <c r="O43" s="161">
        <v>20</v>
      </c>
      <c r="P43" s="158" t="s">
        <v>1363</v>
      </c>
      <c r="Q43" s="158" t="s">
        <v>1361</v>
      </c>
      <c r="R43" s="162"/>
      <c r="S43" s="157" t="str">
        <f t="shared" si="1"/>
        <v>02-201-000004491</v>
      </c>
      <c r="T43" s="163">
        <v>103547493</v>
      </c>
      <c r="U43" s="164" t="s">
        <v>1229</v>
      </c>
    </row>
    <row r="44" spans="1:21" ht="20">
      <c r="A44">
        <v>39</v>
      </c>
      <c r="B44" s="156">
        <v>45684</v>
      </c>
      <c r="C44" s="157" t="s">
        <v>1197</v>
      </c>
      <c r="D44" s="157" t="s">
        <v>1333</v>
      </c>
      <c r="E44" s="158">
        <v>111040006</v>
      </c>
      <c r="F44" s="74" t="str">
        <f t="shared" si="0"/>
        <v>HSB 750 G SS HORNO A GAS</v>
      </c>
      <c r="G44" s="157" t="s">
        <v>1387</v>
      </c>
      <c r="H44" s="158" t="s">
        <v>23</v>
      </c>
      <c r="I44" s="158" t="s">
        <v>1361</v>
      </c>
      <c r="J44" s="158" t="s">
        <v>1362</v>
      </c>
      <c r="K44" s="159">
        <v>45836</v>
      </c>
      <c r="L44" s="160" t="s">
        <v>1085</v>
      </c>
      <c r="M44" s="160" t="s">
        <v>1086</v>
      </c>
      <c r="N44" s="157">
        <v>998060239</v>
      </c>
      <c r="O44" s="161">
        <v>20</v>
      </c>
      <c r="P44" s="158" t="s">
        <v>1363</v>
      </c>
      <c r="Q44" s="158" t="s">
        <v>1361</v>
      </c>
      <c r="R44" s="162"/>
      <c r="S44" s="157" t="str">
        <f t="shared" si="1"/>
        <v>02-201-000000582</v>
      </c>
      <c r="T44" s="163">
        <v>103547493</v>
      </c>
      <c r="U44" s="164" t="s">
        <v>1229</v>
      </c>
    </row>
    <row r="45" spans="1:21" ht="20">
      <c r="A45">
        <v>40</v>
      </c>
      <c r="B45" s="156">
        <v>45835</v>
      </c>
      <c r="C45" s="157" t="s">
        <v>1141</v>
      </c>
      <c r="D45" s="157" t="s">
        <v>1334</v>
      </c>
      <c r="E45" s="158">
        <v>40584202</v>
      </c>
      <c r="F45" s="74" t="str">
        <f t="shared" si="0"/>
        <v>ML 820 BIS - MICROONDAS</v>
      </c>
      <c r="G45" s="157">
        <v>40584202</v>
      </c>
      <c r="H45" s="158" t="s">
        <v>23</v>
      </c>
      <c r="I45" s="158" t="s">
        <v>1361</v>
      </c>
      <c r="J45" s="158" t="s">
        <v>1362</v>
      </c>
      <c r="K45" s="159">
        <v>45838</v>
      </c>
      <c r="L45" s="160" t="s">
        <v>1091</v>
      </c>
      <c r="M45" s="160" t="s">
        <v>1092</v>
      </c>
      <c r="N45" s="157">
        <v>987377443</v>
      </c>
      <c r="O45" s="161">
        <v>15</v>
      </c>
      <c r="P45" s="158" t="s">
        <v>1363</v>
      </c>
      <c r="Q45" s="158" t="s">
        <v>1361</v>
      </c>
      <c r="R45" s="162"/>
      <c r="S45" s="157" t="str">
        <f t="shared" si="1"/>
        <v>014-004-000068074</v>
      </c>
      <c r="T45" s="163">
        <v>150061190</v>
      </c>
      <c r="U45" s="164" t="s">
        <v>1242</v>
      </c>
    </row>
    <row r="46" spans="1:21" ht="20">
      <c r="A46">
        <v>41</v>
      </c>
      <c r="B46" s="156">
        <v>45835</v>
      </c>
      <c r="C46" s="157" t="s">
        <v>1186</v>
      </c>
      <c r="D46" s="157" t="s">
        <v>1335</v>
      </c>
      <c r="E46" s="158">
        <v>111010041</v>
      </c>
      <c r="F46" s="74" t="str">
        <f t="shared" si="0"/>
        <v>HSB 630 NEGRO HORNO ELEC</v>
      </c>
      <c r="G46" s="157" t="s">
        <v>1388</v>
      </c>
      <c r="H46" s="158" t="s">
        <v>23</v>
      </c>
      <c r="I46" s="158" t="s">
        <v>1361</v>
      </c>
      <c r="J46" s="158" t="s">
        <v>1362</v>
      </c>
      <c r="K46" s="159">
        <v>45838</v>
      </c>
      <c r="L46" s="160" t="s">
        <v>1091</v>
      </c>
      <c r="M46" s="160" t="s">
        <v>1092</v>
      </c>
      <c r="N46" s="157">
        <v>987377443</v>
      </c>
      <c r="O46" s="161">
        <v>15</v>
      </c>
      <c r="P46" s="158" t="s">
        <v>1363</v>
      </c>
      <c r="Q46" s="158" t="s">
        <v>1361</v>
      </c>
      <c r="R46" s="162"/>
      <c r="S46" s="157" t="str">
        <f t="shared" si="1"/>
        <v>006-002-000157921</v>
      </c>
      <c r="T46" s="163">
        <v>150061190</v>
      </c>
      <c r="U46" s="164" t="s">
        <v>1242</v>
      </c>
    </row>
    <row r="47" spans="1:21" ht="20">
      <c r="A47">
        <v>42</v>
      </c>
      <c r="B47" s="156">
        <v>45835</v>
      </c>
      <c r="C47" s="157" t="s">
        <v>1166</v>
      </c>
      <c r="D47" s="157" t="s">
        <v>1336</v>
      </c>
      <c r="E47" s="158">
        <v>40467305</v>
      </c>
      <c r="F47" s="74" t="str">
        <f t="shared" si="0"/>
        <v>C 710 NEGRA CAMPANA (110V-60HZ) C/KIT</v>
      </c>
      <c r="G47" s="157" t="s">
        <v>1389</v>
      </c>
      <c r="H47" s="158" t="s">
        <v>23</v>
      </c>
      <c r="I47" s="158" t="s">
        <v>1361</v>
      </c>
      <c r="J47" s="158" t="s">
        <v>1362</v>
      </c>
      <c r="K47" s="159">
        <v>45838</v>
      </c>
      <c r="L47" s="160" t="s">
        <v>1091</v>
      </c>
      <c r="M47" s="160" t="s">
        <v>1092</v>
      </c>
      <c r="N47" s="157">
        <v>987377443</v>
      </c>
      <c r="O47" s="161">
        <v>15</v>
      </c>
      <c r="P47" s="158" t="s">
        <v>1363</v>
      </c>
      <c r="Q47" s="158" t="s">
        <v>1361</v>
      </c>
      <c r="R47" s="162"/>
      <c r="S47" s="157" t="str">
        <f t="shared" si="1"/>
        <v>001-501-000007439</v>
      </c>
      <c r="T47" s="163">
        <v>150061190</v>
      </c>
      <c r="U47" s="164" t="s">
        <v>1242</v>
      </c>
    </row>
    <row r="48" spans="1:21" ht="20">
      <c r="A48">
        <v>43</v>
      </c>
      <c r="B48" s="156">
        <v>45756</v>
      </c>
      <c r="C48" s="157" t="s">
        <v>1166</v>
      </c>
      <c r="D48" s="157" t="s">
        <v>1337</v>
      </c>
      <c r="E48" s="158">
        <v>112580027</v>
      </c>
      <c r="F48" s="74" t="str">
        <f t="shared" si="0"/>
        <v>GBC 75030 KBB CRISTAL COCINA GAS</v>
      </c>
      <c r="G48" s="157" t="s">
        <v>1247</v>
      </c>
      <c r="H48" s="158" t="s">
        <v>23</v>
      </c>
      <c r="I48" s="158" t="s">
        <v>1361</v>
      </c>
      <c r="J48" s="158" t="s">
        <v>1362</v>
      </c>
      <c r="K48" s="159">
        <v>45839</v>
      </c>
      <c r="L48" s="160" t="s">
        <v>1095</v>
      </c>
      <c r="M48" s="160" t="s">
        <v>1096</v>
      </c>
      <c r="N48" s="157">
        <v>984163122</v>
      </c>
      <c r="O48" s="161">
        <v>20</v>
      </c>
      <c r="P48" s="158" t="s">
        <v>1363</v>
      </c>
      <c r="Q48" s="158" t="s">
        <v>1361</v>
      </c>
      <c r="R48" s="162"/>
      <c r="S48" s="157" t="str">
        <f t="shared" si="1"/>
        <v>001-500-000072250</v>
      </c>
      <c r="T48" s="163">
        <v>101391235</v>
      </c>
      <c r="U48" s="164" t="s">
        <v>1248</v>
      </c>
    </row>
    <row r="49" spans="1:21" ht="20">
      <c r="A49">
        <v>44</v>
      </c>
      <c r="B49" s="156">
        <v>45776</v>
      </c>
      <c r="C49" s="157" t="s">
        <v>1186</v>
      </c>
      <c r="D49" s="157" t="s">
        <v>1338</v>
      </c>
      <c r="E49" s="158">
        <v>111000051</v>
      </c>
      <c r="F49" s="74" t="str">
        <f t="shared" si="0"/>
        <v>HLB 8416 "AIR FRY" - HORNO ELEC</v>
      </c>
      <c r="G49" s="157" t="s">
        <v>1390</v>
      </c>
      <c r="H49" s="158" t="s">
        <v>23</v>
      </c>
      <c r="I49" s="158" t="s">
        <v>1361</v>
      </c>
      <c r="J49" s="158" t="s">
        <v>1362</v>
      </c>
      <c r="K49" s="159">
        <v>45839</v>
      </c>
      <c r="L49" s="160" t="s">
        <v>1095</v>
      </c>
      <c r="M49" s="160" t="s">
        <v>1096</v>
      </c>
      <c r="N49" s="157">
        <v>984163122</v>
      </c>
      <c r="O49" s="161">
        <v>20</v>
      </c>
      <c r="P49" s="158" t="s">
        <v>1363</v>
      </c>
      <c r="Q49" s="158" t="s">
        <v>1361</v>
      </c>
      <c r="R49" s="162"/>
      <c r="S49" s="157" t="str">
        <f t="shared" si="1"/>
        <v>007-000037260</v>
      </c>
      <c r="T49" s="163">
        <v>101391235</v>
      </c>
      <c r="U49" s="164" t="s">
        <v>1248</v>
      </c>
    </row>
    <row r="50" spans="1:21" ht="20">
      <c r="A50">
        <v>45</v>
      </c>
      <c r="B50" s="156">
        <v>45494</v>
      </c>
      <c r="C50" s="157" t="s">
        <v>1190</v>
      </c>
      <c r="D50" s="157" t="s">
        <v>1339</v>
      </c>
      <c r="E50" s="158">
        <v>112570093</v>
      </c>
      <c r="F50" s="74" t="str">
        <f t="shared" si="0"/>
        <v>GZC 75330 XBB CRISTAL COCINA GAS</v>
      </c>
      <c r="G50" s="157" t="s">
        <v>1249</v>
      </c>
      <c r="H50" s="158" t="s">
        <v>23</v>
      </c>
      <c r="I50" s="158" t="s">
        <v>1361</v>
      </c>
      <c r="J50" s="158" t="s">
        <v>1362</v>
      </c>
      <c r="K50" s="159">
        <v>45839</v>
      </c>
      <c r="L50" s="160" t="s">
        <v>1097</v>
      </c>
      <c r="M50" s="160" t="s">
        <v>1098</v>
      </c>
      <c r="N50" s="157">
        <v>998553820</v>
      </c>
      <c r="O50" s="161">
        <v>20</v>
      </c>
      <c r="P50" s="158" t="s">
        <v>1363</v>
      </c>
      <c r="Q50" s="158" t="s">
        <v>1361</v>
      </c>
      <c r="R50" s="162"/>
      <c r="S50" s="157" t="str">
        <f t="shared" si="1"/>
        <v>040-105-000001484</v>
      </c>
      <c r="T50" s="163">
        <v>101857084</v>
      </c>
      <c r="U50" s="164" t="s">
        <v>1250</v>
      </c>
    </row>
    <row r="51" spans="1:21" ht="20">
      <c r="A51">
        <v>46</v>
      </c>
      <c r="B51" s="156">
        <v>45868</v>
      </c>
      <c r="C51" s="157" t="s">
        <v>1190</v>
      </c>
      <c r="D51" s="157" t="s">
        <v>1340</v>
      </c>
      <c r="E51" s="158">
        <v>40590830</v>
      </c>
      <c r="F51" s="74" t="str">
        <f t="shared" si="0"/>
        <v>MWG 11X - MICROONDAS</v>
      </c>
      <c r="G51" s="157" t="s">
        <v>1391</v>
      </c>
      <c r="H51" s="158" t="s">
        <v>23</v>
      </c>
      <c r="I51" s="158" t="s">
        <v>1361</v>
      </c>
      <c r="J51" s="158" t="s">
        <v>1362</v>
      </c>
      <c r="K51" s="159">
        <v>45839</v>
      </c>
      <c r="L51" s="160" t="s">
        <v>1097</v>
      </c>
      <c r="M51" s="160" t="s">
        <v>1098</v>
      </c>
      <c r="N51" s="157">
        <v>998553820</v>
      </c>
      <c r="O51" s="161">
        <v>20</v>
      </c>
      <c r="P51" s="158" t="s">
        <v>1363</v>
      </c>
      <c r="Q51" s="158" t="s">
        <v>1361</v>
      </c>
      <c r="R51" s="162"/>
      <c r="S51" s="157" t="str">
        <f t="shared" si="1"/>
        <v>040-103-000007015</v>
      </c>
      <c r="T51" s="163">
        <v>101857084</v>
      </c>
      <c r="U51" s="164" t="s">
        <v>1250</v>
      </c>
    </row>
    <row r="52" spans="1:21" ht="20">
      <c r="A52">
        <v>47</v>
      </c>
      <c r="B52" s="156">
        <v>45775</v>
      </c>
      <c r="C52" s="157" t="s">
        <v>1173</v>
      </c>
      <c r="D52" s="157" t="s">
        <v>1341</v>
      </c>
      <c r="E52" s="158">
        <v>111000051</v>
      </c>
      <c r="F52" s="74" t="str">
        <f t="shared" si="0"/>
        <v>HLB 8416 "AIR FRY" - HORNO ELEC</v>
      </c>
      <c r="G52" s="157" t="s">
        <v>1251</v>
      </c>
      <c r="H52" s="158" t="s">
        <v>23</v>
      </c>
      <c r="I52" s="158" t="s">
        <v>1361</v>
      </c>
      <c r="J52" s="158" t="s">
        <v>1362</v>
      </c>
      <c r="K52" s="159">
        <v>45839</v>
      </c>
      <c r="L52" s="160" t="s">
        <v>1099</v>
      </c>
      <c r="M52" s="160" t="s">
        <v>1100</v>
      </c>
      <c r="N52" s="157">
        <v>984616563</v>
      </c>
      <c r="O52" s="161">
        <v>20</v>
      </c>
      <c r="P52" s="158" t="s">
        <v>1363</v>
      </c>
      <c r="Q52" s="158" t="s">
        <v>1361</v>
      </c>
      <c r="R52" s="162"/>
      <c r="S52" s="157" t="str">
        <f t="shared" si="1"/>
        <v>016-904-000305617</v>
      </c>
      <c r="T52" s="163">
        <v>601742025</v>
      </c>
      <c r="U52" s="164" t="s">
        <v>1252</v>
      </c>
    </row>
    <row r="53" spans="1:21" ht="20">
      <c r="A53">
        <v>48</v>
      </c>
      <c r="B53" s="156">
        <v>45804</v>
      </c>
      <c r="C53" s="157" t="s">
        <v>1173</v>
      </c>
      <c r="D53" s="157" t="s">
        <v>1342</v>
      </c>
      <c r="E53" s="158">
        <v>40590830</v>
      </c>
      <c r="F53" s="74" t="str">
        <f t="shared" si="0"/>
        <v>MWG 11X - MICROONDAS</v>
      </c>
      <c r="G53" s="157" t="s">
        <v>1392</v>
      </c>
      <c r="H53" s="158" t="s">
        <v>23</v>
      </c>
      <c r="I53" s="158" t="s">
        <v>1361</v>
      </c>
      <c r="J53" s="158" t="s">
        <v>1362</v>
      </c>
      <c r="K53" s="159">
        <v>45839</v>
      </c>
      <c r="L53" s="160" t="s">
        <v>1099</v>
      </c>
      <c r="M53" s="160" t="s">
        <v>1100</v>
      </c>
      <c r="N53" s="157">
        <v>984616563</v>
      </c>
      <c r="O53" s="161">
        <v>20</v>
      </c>
      <c r="P53" s="158" t="s">
        <v>1363</v>
      </c>
      <c r="Q53" s="158" t="s">
        <v>1361</v>
      </c>
      <c r="R53" s="162"/>
      <c r="S53" s="157" t="str">
        <f t="shared" si="1"/>
        <v>043-905-000076000</v>
      </c>
      <c r="T53" s="163">
        <v>601742025</v>
      </c>
      <c r="U53" s="164" t="s">
        <v>1252</v>
      </c>
    </row>
    <row r="54" spans="1:21" ht="20">
      <c r="A54">
        <v>49</v>
      </c>
      <c r="B54" s="156">
        <v>45796</v>
      </c>
      <c r="C54" s="157" t="s">
        <v>1190</v>
      </c>
      <c r="D54" s="157" t="s">
        <v>1343</v>
      </c>
      <c r="E54" s="158">
        <v>112500047</v>
      </c>
      <c r="F54" s="74" t="str">
        <f t="shared" si="0"/>
        <v>IZF 99700 MST COCINA INDUCCION</v>
      </c>
      <c r="G54" s="157" t="s">
        <v>1262</v>
      </c>
      <c r="H54" s="158" t="s">
        <v>23</v>
      </c>
      <c r="I54" s="158" t="s">
        <v>1361</v>
      </c>
      <c r="J54" s="158" t="s">
        <v>1362</v>
      </c>
      <c r="K54" s="159">
        <v>45840</v>
      </c>
      <c r="L54" s="160" t="s">
        <v>1106</v>
      </c>
      <c r="M54" s="160" t="s">
        <v>1107</v>
      </c>
      <c r="N54" s="157">
        <v>994844364</v>
      </c>
      <c r="O54" s="161">
        <v>20</v>
      </c>
      <c r="P54" s="158" t="s">
        <v>1363</v>
      </c>
      <c r="Q54" s="158" t="s">
        <v>1361</v>
      </c>
      <c r="R54" s="162"/>
      <c r="S54" s="157" t="str">
        <f t="shared" si="1"/>
        <v>090-103--000012549</v>
      </c>
      <c r="T54" s="163">
        <v>1022597169</v>
      </c>
      <c r="U54" s="164" t="s">
        <v>1263</v>
      </c>
    </row>
    <row r="55" spans="1:21" ht="20">
      <c r="A55">
        <v>50</v>
      </c>
      <c r="B55" s="156">
        <v>45796</v>
      </c>
      <c r="C55" s="157" t="s">
        <v>1190</v>
      </c>
      <c r="D55" s="157" t="s">
        <v>1343</v>
      </c>
      <c r="E55" s="158">
        <v>112930047</v>
      </c>
      <c r="F55" s="74" t="str">
        <f t="shared" si="0"/>
        <v>DVT 98660 TRL BK</v>
      </c>
      <c r="G55" s="157" t="s">
        <v>1393</v>
      </c>
      <c r="H55" s="158" t="s">
        <v>23</v>
      </c>
      <c r="I55" s="158" t="s">
        <v>1361</v>
      </c>
      <c r="J55" s="158" t="s">
        <v>1362</v>
      </c>
      <c r="K55" s="159">
        <v>45840</v>
      </c>
      <c r="L55" s="160" t="s">
        <v>1106</v>
      </c>
      <c r="M55" s="160" t="s">
        <v>1107</v>
      </c>
      <c r="N55" s="157">
        <v>994844364</v>
      </c>
      <c r="O55" s="161">
        <v>20</v>
      </c>
      <c r="P55" s="158" t="s">
        <v>1363</v>
      </c>
      <c r="Q55" s="158" t="s">
        <v>1361</v>
      </c>
      <c r="R55" s="162"/>
      <c r="S55" s="157" t="str">
        <f t="shared" si="1"/>
        <v>090-103--000012549</v>
      </c>
      <c r="T55" s="163">
        <v>1022597169</v>
      </c>
      <c r="U55" s="164" t="s">
        <v>1263</v>
      </c>
    </row>
    <row r="56" spans="1:21" ht="20">
      <c r="A56">
        <v>51</v>
      </c>
      <c r="B56" s="156">
        <v>45759</v>
      </c>
      <c r="C56" s="157" t="s">
        <v>1166</v>
      </c>
      <c r="D56" s="157" t="s">
        <v>1344</v>
      </c>
      <c r="E56" s="158">
        <v>112950020</v>
      </c>
      <c r="F56" s="74" t="str">
        <f t="shared" si="0"/>
        <v>DVN 74030 TCL BK CAMPANA (110V-60HZ) C/KIT</v>
      </c>
      <c r="G56" s="157" t="s">
        <v>1269</v>
      </c>
      <c r="H56" s="158" t="s">
        <v>23</v>
      </c>
      <c r="I56" s="158" t="s">
        <v>1361</v>
      </c>
      <c r="J56" s="158" t="s">
        <v>1362</v>
      </c>
      <c r="K56" s="159">
        <v>45841</v>
      </c>
      <c r="L56" s="160" t="s">
        <v>1111</v>
      </c>
      <c r="M56" s="160" t="s">
        <v>1112</v>
      </c>
      <c r="N56" s="157">
        <v>924470024</v>
      </c>
      <c r="O56" s="161">
        <v>15</v>
      </c>
      <c r="P56" s="158" t="s">
        <v>1363</v>
      </c>
      <c r="Q56" s="158" t="s">
        <v>1361</v>
      </c>
      <c r="R56" s="162"/>
      <c r="S56" s="157" t="str">
        <f t="shared" si="1"/>
        <v>001-500-000072387</v>
      </c>
      <c r="T56" s="163">
        <v>924470024</v>
      </c>
      <c r="U56" s="164" t="s">
        <v>1270</v>
      </c>
    </row>
    <row r="57" spans="1:21" ht="20">
      <c r="A57">
        <v>52</v>
      </c>
      <c r="B57" s="156">
        <v>45759</v>
      </c>
      <c r="C57" s="157" t="s">
        <v>1166</v>
      </c>
      <c r="D57" s="157" t="s">
        <v>1344</v>
      </c>
      <c r="E57" s="158">
        <v>111000051</v>
      </c>
      <c r="F57" s="74" t="str">
        <f t="shared" si="0"/>
        <v>HLB 8416 "AIR FRY" - HORNO ELEC</v>
      </c>
      <c r="G57" s="157" t="s">
        <v>1394</v>
      </c>
      <c r="H57" s="158" t="s">
        <v>23</v>
      </c>
      <c r="I57" s="158" t="s">
        <v>1361</v>
      </c>
      <c r="J57" s="158" t="s">
        <v>1362</v>
      </c>
      <c r="K57" s="159">
        <v>45841</v>
      </c>
      <c r="L57" s="160" t="s">
        <v>1111</v>
      </c>
      <c r="M57" s="160" t="s">
        <v>1112</v>
      </c>
      <c r="N57" s="157">
        <v>924470024</v>
      </c>
      <c r="O57" s="161">
        <v>15</v>
      </c>
      <c r="P57" s="158" t="s">
        <v>1363</v>
      </c>
      <c r="Q57" s="158" t="s">
        <v>1361</v>
      </c>
      <c r="R57" s="162"/>
      <c r="S57" s="157" t="str">
        <f t="shared" si="1"/>
        <v>001-500-000072387</v>
      </c>
      <c r="T57" s="163">
        <v>924470024</v>
      </c>
      <c r="U57" s="164" t="s">
        <v>1270</v>
      </c>
    </row>
    <row r="58" spans="1:21" ht="20">
      <c r="A58">
        <v>53</v>
      </c>
      <c r="B58" s="156">
        <v>45834</v>
      </c>
      <c r="C58" s="157" t="s">
        <v>1166</v>
      </c>
      <c r="D58" s="157" t="s">
        <v>1345</v>
      </c>
      <c r="E58" s="158">
        <v>112520025</v>
      </c>
      <c r="F58" s="74" t="str">
        <f t="shared" si="0"/>
        <v>IZC 64010 MSS COCINA INDUCCION</v>
      </c>
      <c r="G58" s="157" t="s">
        <v>1395</v>
      </c>
      <c r="H58" s="158" t="s">
        <v>23</v>
      </c>
      <c r="I58" s="158" t="s">
        <v>1361</v>
      </c>
      <c r="J58" s="158" t="s">
        <v>1362</v>
      </c>
      <c r="K58" s="159">
        <v>45841</v>
      </c>
      <c r="L58" s="160" t="s">
        <v>1111</v>
      </c>
      <c r="M58" s="160" t="s">
        <v>1112</v>
      </c>
      <c r="N58" s="157">
        <v>924470024</v>
      </c>
      <c r="O58" s="161">
        <v>15</v>
      </c>
      <c r="P58" s="158" t="s">
        <v>1363</v>
      </c>
      <c r="Q58" s="158" t="s">
        <v>1361</v>
      </c>
      <c r="R58" s="162"/>
      <c r="S58" s="157" t="str">
        <f t="shared" si="1"/>
        <v>001-500-000074526</v>
      </c>
      <c r="T58" s="163">
        <v>924470024</v>
      </c>
      <c r="U58" s="164" t="s">
        <v>1270</v>
      </c>
    </row>
    <row r="59" spans="1:21" ht="20">
      <c r="A59">
        <v>54</v>
      </c>
      <c r="B59" s="156">
        <v>45404</v>
      </c>
      <c r="C59" s="157" t="s">
        <v>1152</v>
      </c>
      <c r="D59" s="157" t="s">
        <v>1346</v>
      </c>
      <c r="E59" s="158">
        <v>112570126</v>
      </c>
      <c r="F59" s="74" t="str">
        <f t="shared" si="0"/>
        <v>JZC 96324 ABB BK (LAT) COCINA MIXTA GAS - INDUCCION (40213042)</v>
      </c>
      <c r="G59" s="157" t="s">
        <v>1271</v>
      </c>
      <c r="H59" s="158" t="s">
        <v>23</v>
      </c>
      <c r="I59" s="158" t="s">
        <v>1361</v>
      </c>
      <c r="J59" s="158" t="s">
        <v>1362</v>
      </c>
      <c r="K59" s="159">
        <v>45841</v>
      </c>
      <c r="L59" s="160" t="s">
        <v>1113</v>
      </c>
      <c r="M59" s="160" t="s">
        <v>1114</v>
      </c>
      <c r="N59" s="157">
        <v>994453010</v>
      </c>
      <c r="O59" s="161">
        <v>15</v>
      </c>
      <c r="P59" s="158" t="s">
        <v>1363</v>
      </c>
      <c r="Q59" s="158" t="s">
        <v>1361</v>
      </c>
      <c r="R59" s="162"/>
      <c r="S59" s="157" t="str">
        <f t="shared" si="1"/>
        <v>040-103-000008324</v>
      </c>
      <c r="T59" s="163">
        <v>102896164</v>
      </c>
      <c r="U59" s="164" t="s">
        <v>1272</v>
      </c>
    </row>
    <row r="60" spans="1:21" ht="20">
      <c r="A60">
        <v>55</v>
      </c>
      <c r="B60" s="156">
        <v>45404</v>
      </c>
      <c r="C60" s="157" t="s">
        <v>1152</v>
      </c>
      <c r="D60" s="157" t="s">
        <v>1346</v>
      </c>
      <c r="E60" s="158">
        <v>41596006</v>
      </c>
      <c r="F60" s="74" t="str">
        <f t="shared" si="0"/>
        <v>HLF 824 G SS HORNO A GAS</v>
      </c>
      <c r="G60" s="157" t="s">
        <v>1396</v>
      </c>
      <c r="H60" s="158" t="s">
        <v>23</v>
      </c>
      <c r="I60" s="158" t="s">
        <v>1361</v>
      </c>
      <c r="J60" s="158" t="s">
        <v>1362</v>
      </c>
      <c r="K60" s="159">
        <v>45841</v>
      </c>
      <c r="L60" s="160" t="s">
        <v>1113</v>
      </c>
      <c r="M60" s="160" t="s">
        <v>1114</v>
      </c>
      <c r="N60" s="157">
        <v>994453010</v>
      </c>
      <c r="O60" s="161">
        <v>15</v>
      </c>
      <c r="P60" s="158" t="s">
        <v>1363</v>
      </c>
      <c r="Q60" s="158" t="s">
        <v>1361</v>
      </c>
      <c r="R60" s="162"/>
      <c r="S60" s="157" t="str">
        <f t="shared" si="1"/>
        <v>040-103-000008324</v>
      </c>
      <c r="T60" s="163">
        <v>102896164</v>
      </c>
      <c r="U60" s="164" t="s">
        <v>1272</v>
      </c>
    </row>
    <row r="61" spans="1:21" ht="20">
      <c r="A61">
        <v>56</v>
      </c>
      <c r="B61" s="156">
        <v>45404</v>
      </c>
      <c r="C61" s="157" t="s">
        <v>1152</v>
      </c>
      <c r="D61" s="157" t="s">
        <v>1346</v>
      </c>
      <c r="E61" s="158">
        <v>40584012</v>
      </c>
      <c r="F61" s="74" t="str">
        <f t="shared" si="0"/>
        <v>MS 620 BIS - MICROONDAS</v>
      </c>
      <c r="G61" s="157" t="s">
        <v>1397</v>
      </c>
      <c r="H61" s="158" t="s">
        <v>23</v>
      </c>
      <c r="I61" s="158" t="s">
        <v>1361</v>
      </c>
      <c r="J61" s="158" t="s">
        <v>1362</v>
      </c>
      <c r="K61" s="159">
        <v>45841</v>
      </c>
      <c r="L61" s="160" t="s">
        <v>1113</v>
      </c>
      <c r="M61" s="160" t="s">
        <v>1114</v>
      </c>
      <c r="N61" s="157">
        <v>994453010</v>
      </c>
      <c r="O61" s="161">
        <v>15</v>
      </c>
      <c r="P61" s="158" t="s">
        <v>1363</v>
      </c>
      <c r="Q61" s="158" t="s">
        <v>1361</v>
      </c>
      <c r="R61" s="162"/>
      <c r="S61" s="157" t="str">
        <f t="shared" si="1"/>
        <v>040-103-000008324</v>
      </c>
      <c r="T61" s="163">
        <v>102896164</v>
      </c>
      <c r="U61" s="164" t="s">
        <v>1272</v>
      </c>
    </row>
    <row r="62" spans="1:21" ht="20">
      <c r="A62">
        <v>57</v>
      </c>
      <c r="B62" s="156">
        <v>45404</v>
      </c>
      <c r="C62" s="157" t="s">
        <v>1152</v>
      </c>
      <c r="D62" s="157" t="s">
        <v>1346</v>
      </c>
      <c r="E62" s="158">
        <v>40483183</v>
      </c>
      <c r="F62" s="74" t="str">
        <f t="shared" si="0"/>
        <v>ESTRUCTURA DPL ISLA 1180</v>
      </c>
      <c r="G62" s="157" t="s">
        <v>1398</v>
      </c>
      <c r="H62" s="158" t="s">
        <v>23</v>
      </c>
      <c r="I62" s="158" t="s">
        <v>1361</v>
      </c>
      <c r="J62" s="158" t="s">
        <v>1362</v>
      </c>
      <c r="K62" s="159">
        <v>45841</v>
      </c>
      <c r="L62" s="160" t="s">
        <v>1113</v>
      </c>
      <c r="M62" s="160" t="s">
        <v>1114</v>
      </c>
      <c r="N62" s="157">
        <v>994453010</v>
      </c>
      <c r="O62" s="161">
        <v>30</v>
      </c>
      <c r="P62" s="158" t="s">
        <v>1363</v>
      </c>
      <c r="Q62" s="158" t="s">
        <v>1361</v>
      </c>
      <c r="R62" s="162"/>
      <c r="S62" s="157" t="str">
        <f t="shared" si="1"/>
        <v>040-103-000008324</v>
      </c>
      <c r="T62" s="163">
        <v>102896164</v>
      </c>
      <c r="U62" s="164" t="s">
        <v>1272</v>
      </c>
    </row>
    <row r="63" spans="1:21" ht="20">
      <c r="A63">
        <v>58</v>
      </c>
      <c r="B63" s="156">
        <v>45831</v>
      </c>
      <c r="C63" s="157" t="s">
        <v>1222</v>
      </c>
      <c r="D63" s="157" t="s">
        <v>1347</v>
      </c>
      <c r="E63" s="158">
        <v>112580027</v>
      </c>
      <c r="F63" s="74" t="str">
        <f t="shared" si="0"/>
        <v>GBC 75030 KBB CRISTAL COCINA GAS</v>
      </c>
      <c r="G63" s="157" t="s">
        <v>1273</v>
      </c>
      <c r="H63" s="158" t="s">
        <v>23</v>
      </c>
      <c r="I63" s="158" t="s">
        <v>1361</v>
      </c>
      <c r="J63" s="158" t="s">
        <v>1362</v>
      </c>
      <c r="K63" s="159">
        <v>45841</v>
      </c>
      <c r="L63" s="160" t="s">
        <v>1115</v>
      </c>
      <c r="M63" s="160" t="s">
        <v>1116</v>
      </c>
      <c r="N63" s="157">
        <v>984165280</v>
      </c>
      <c r="O63" s="161">
        <v>15</v>
      </c>
      <c r="P63" s="158" t="s">
        <v>1363</v>
      </c>
      <c r="Q63" s="158" t="s">
        <v>1361</v>
      </c>
      <c r="R63" s="162"/>
      <c r="S63" s="157" t="str">
        <f t="shared" si="1"/>
        <v>001-101-000003659</v>
      </c>
      <c r="T63" s="163">
        <v>10490325</v>
      </c>
      <c r="U63" s="164" t="s">
        <v>1274</v>
      </c>
    </row>
    <row r="64" spans="1:21" ht="20">
      <c r="A64">
        <v>59</v>
      </c>
      <c r="B64" s="156">
        <v>45831</v>
      </c>
      <c r="C64" s="157" t="s">
        <v>1222</v>
      </c>
      <c r="D64" s="157" t="s">
        <v>1347</v>
      </c>
      <c r="E64" s="158">
        <v>112030019</v>
      </c>
      <c r="F64" s="74" t="str">
        <f t="shared" si="0"/>
        <v>ML 8220 BIS FBK- MICROONDAS</v>
      </c>
      <c r="G64" s="157" t="s">
        <v>1399</v>
      </c>
      <c r="H64" s="158" t="s">
        <v>23</v>
      </c>
      <c r="I64" s="158" t="s">
        <v>1361</v>
      </c>
      <c r="J64" s="158" t="s">
        <v>1362</v>
      </c>
      <c r="K64" s="159">
        <v>45841</v>
      </c>
      <c r="L64" s="160" t="s">
        <v>1115</v>
      </c>
      <c r="M64" s="160" t="s">
        <v>1116</v>
      </c>
      <c r="N64" s="157">
        <v>984165280</v>
      </c>
      <c r="O64" s="161">
        <v>15</v>
      </c>
      <c r="P64" s="158" t="s">
        <v>1363</v>
      </c>
      <c r="Q64" s="158" t="s">
        <v>1361</v>
      </c>
      <c r="R64" s="162"/>
      <c r="S64" s="157" t="str">
        <f t="shared" si="1"/>
        <v>001-101-000003659</v>
      </c>
      <c r="T64" s="163">
        <v>10490325</v>
      </c>
      <c r="U64" s="164" t="s">
        <v>1274</v>
      </c>
    </row>
    <row r="65" spans="1:21" ht="20">
      <c r="A65">
        <v>60</v>
      </c>
      <c r="B65" s="156">
        <v>45831</v>
      </c>
      <c r="C65" s="157" t="s">
        <v>1222</v>
      </c>
      <c r="D65" s="157" t="s">
        <v>1347</v>
      </c>
      <c r="E65" s="158">
        <v>111000051</v>
      </c>
      <c r="F65" s="74" t="str">
        <f t="shared" si="0"/>
        <v>HLB 8416 "AIR FRY" - HORNO ELEC</v>
      </c>
      <c r="G65" s="157" t="s">
        <v>1400</v>
      </c>
      <c r="H65" s="158" t="s">
        <v>23</v>
      </c>
      <c r="I65" s="158" t="s">
        <v>1361</v>
      </c>
      <c r="J65" s="158" t="s">
        <v>1362</v>
      </c>
      <c r="K65" s="159">
        <v>45841</v>
      </c>
      <c r="L65" s="160" t="s">
        <v>1115</v>
      </c>
      <c r="M65" s="160" t="s">
        <v>1116</v>
      </c>
      <c r="N65" s="157">
        <v>984165280</v>
      </c>
      <c r="O65" s="161">
        <v>15</v>
      </c>
      <c r="P65" s="158" t="s">
        <v>1363</v>
      </c>
      <c r="Q65" s="158" t="s">
        <v>1361</v>
      </c>
      <c r="R65" s="162"/>
      <c r="S65" s="157" t="str">
        <f t="shared" si="1"/>
        <v>001-101-000003659</v>
      </c>
      <c r="T65" s="163">
        <v>10490325</v>
      </c>
      <c r="U65" s="164" t="s">
        <v>1274</v>
      </c>
    </row>
    <row r="66" spans="1:21" ht="20">
      <c r="A66">
        <v>61</v>
      </c>
      <c r="B66" s="156">
        <v>45831</v>
      </c>
      <c r="C66" s="157" t="s">
        <v>1166</v>
      </c>
      <c r="D66" s="157" t="s">
        <v>1348</v>
      </c>
      <c r="E66" s="158">
        <v>112580017</v>
      </c>
      <c r="F66" s="74" t="str">
        <f t="shared" si="0"/>
        <v>GBC 64000 KBB CRISTAL COCINA GAS</v>
      </c>
      <c r="G66" s="157" t="s">
        <v>1275</v>
      </c>
      <c r="H66" s="158" t="s">
        <v>23</v>
      </c>
      <c r="I66" s="158" t="s">
        <v>1361</v>
      </c>
      <c r="J66" s="158" t="s">
        <v>1362</v>
      </c>
      <c r="K66" s="159">
        <v>45842</v>
      </c>
      <c r="L66" s="160" t="s">
        <v>1117</v>
      </c>
      <c r="M66" s="160" t="s">
        <v>1058</v>
      </c>
      <c r="N66" s="157">
        <v>995135323</v>
      </c>
      <c r="O66" s="161">
        <v>20</v>
      </c>
      <c r="P66" s="158" t="s">
        <v>1363</v>
      </c>
      <c r="Q66" s="158" t="s">
        <v>1361</v>
      </c>
      <c r="R66" s="162"/>
      <c r="S66" s="157" t="str">
        <f t="shared" si="1"/>
        <v>001-500-000079990</v>
      </c>
      <c r="T66" s="163">
        <v>101789246</v>
      </c>
      <c r="U66" s="164" t="s">
        <v>1276</v>
      </c>
    </row>
    <row r="67" spans="1:21" ht="20">
      <c r="A67">
        <v>62</v>
      </c>
      <c r="B67" s="156">
        <v>45831</v>
      </c>
      <c r="C67" s="157" t="s">
        <v>1166</v>
      </c>
      <c r="D67" s="157" t="s">
        <v>1348</v>
      </c>
      <c r="E67" s="158">
        <v>40466111</v>
      </c>
      <c r="F67" s="74" t="str">
        <f t="shared" si="0"/>
        <v>C 910 NEGRA CAMPANA (110V-60HZ) C/KIT</v>
      </c>
      <c r="G67" s="157" t="s">
        <v>1401</v>
      </c>
      <c r="H67" s="158" t="s">
        <v>23</v>
      </c>
      <c r="I67" s="158" t="s">
        <v>1361</v>
      </c>
      <c r="J67" s="158" t="s">
        <v>1362</v>
      </c>
      <c r="K67" s="159">
        <v>45842</v>
      </c>
      <c r="L67" s="160" t="s">
        <v>1117</v>
      </c>
      <c r="M67" s="160" t="s">
        <v>1058</v>
      </c>
      <c r="N67" s="157">
        <v>995135323</v>
      </c>
      <c r="O67" s="161">
        <v>20</v>
      </c>
      <c r="P67" s="158" t="s">
        <v>1363</v>
      </c>
      <c r="Q67" s="158" t="s">
        <v>1361</v>
      </c>
      <c r="R67" s="162"/>
      <c r="S67" s="157" t="str">
        <f t="shared" si="1"/>
        <v>001-500-000079990</v>
      </c>
      <c r="T67" s="163">
        <v>101789246</v>
      </c>
      <c r="U67" s="164" t="s">
        <v>1276</v>
      </c>
    </row>
    <row r="68" spans="1:21" ht="20">
      <c r="A68">
        <v>63</v>
      </c>
      <c r="B68" s="156">
        <v>45840</v>
      </c>
      <c r="C68" s="157" t="s">
        <v>1173</v>
      </c>
      <c r="D68" s="157" t="s">
        <v>1349</v>
      </c>
      <c r="E68" s="158">
        <v>40466241</v>
      </c>
      <c r="F68" s="74" t="str">
        <f t="shared" si="0"/>
        <v>C 9310 INOX CAMPANA (110V-60HZ) C/KIT</v>
      </c>
      <c r="G68" s="157" t="s">
        <v>1277</v>
      </c>
      <c r="H68" s="158" t="s">
        <v>23</v>
      </c>
      <c r="I68" s="158" t="s">
        <v>1361</v>
      </c>
      <c r="J68" s="158" t="s">
        <v>1362</v>
      </c>
      <c r="K68" s="159">
        <v>45842</v>
      </c>
      <c r="L68" s="160" t="s">
        <v>1118</v>
      </c>
      <c r="M68" s="160" t="s">
        <v>1119</v>
      </c>
      <c r="N68" s="157">
        <v>985530098</v>
      </c>
      <c r="O68" s="161">
        <v>20</v>
      </c>
      <c r="P68" s="158" t="s">
        <v>1363</v>
      </c>
      <c r="Q68" s="158" t="s">
        <v>1361</v>
      </c>
      <c r="R68" s="162"/>
      <c r="S68" s="157" t="str">
        <f t="shared" si="1"/>
        <v>016-902-000504877</v>
      </c>
      <c r="T68" s="163">
        <v>152054549</v>
      </c>
      <c r="U68" s="164" t="s">
        <v>1278</v>
      </c>
    </row>
    <row r="69" spans="1:21" ht="20">
      <c r="A69">
        <v>64</v>
      </c>
      <c r="B69" s="156">
        <v>45840</v>
      </c>
      <c r="C69" s="157" t="s">
        <v>1173</v>
      </c>
      <c r="D69" s="157" t="s">
        <v>1350</v>
      </c>
      <c r="E69" s="158">
        <v>112580058</v>
      </c>
      <c r="F69" s="74" t="str">
        <f t="shared" ref="F69:F88" si="2">VLOOKUP(E69,PROD,2,FALSE)</f>
        <v>GBC 95030 KBB BK COCINA GAS</v>
      </c>
      <c r="G69" s="157" t="s">
        <v>1402</v>
      </c>
      <c r="H69" s="158" t="s">
        <v>23</v>
      </c>
      <c r="I69" s="158" t="s">
        <v>1361</v>
      </c>
      <c r="J69" s="158" t="s">
        <v>1362</v>
      </c>
      <c r="K69" s="159">
        <v>45842</v>
      </c>
      <c r="L69" s="160" t="s">
        <v>1118</v>
      </c>
      <c r="M69" s="160" t="s">
        <v>1119</v>
      </c>
      <c r="N69" s="157">
        <v>985530098</v>
      </c>
      <c r="O69" s="161">
        <v>20</v>
      </c>
      <c r="P69" s="158" t="s">
        <v>1363</v>
      </c>
      <c r="Q69" s="158" t="s">
        <v>1361</v>
      </c>
      <c r="R69" s="162"/>
      <c r="S69" s="157" t="str">
        <f t="shared" si="1"/>
        <v>016-902-000515443</v>
      </c>
      <c r="T69" s="163">
        <v>152054549</v>
      </c>
      <c r="U69" s="164" t="s">
        <v>1278</v>
      </c>
    </row>
    <row r="70" spans="1:21" ht="20">
      <c r="A70">
        <v>65</v>
      </c>
      <c r="B70" s="156">
        <v>45539</v>
      </c>
      <c r="C70" s="157" t="s">
        <v>1152</v>
      </c>
      <c r="D70" s="157" t="s">
        <v>1351</v>
      </c>
      <c r="E70" s="158">
        <v>112950020</v>
      </c>
      <c r="F70" s="74" t="str">
        <f t="shared" si="2"/>
        <v>DVN 74030 TCL BK CAMPANA (110V-60HZ) C/KIT</v>
      </c>
      <c r="G70" s="157" t="s">
        <v>1279</v>
      </c>
      <c r="H70" s="158" t="s">
        <v>23</v>
      </c>
      <c r="I70" s="158" t="s">
        <v>1361</v>
      </c>
      <c r="J70" s="158" t="s">
        <v>1362</v>
      </c>
      <c r="K70" s="159">
        <v>45842</v>
      </c>
      <c r="L70" s="160" t="s">
        <v>1120</v>
      </c>
      <c r="M70" s="160" t="s">
        <v>1121</v>
      </c>
      <c r="N70" s="157">
        <v>98780919</v>
      </c>
      <c r="O70" s="161">
        <v>20</v>
      </c>
      <c r="P70" s="158" t="s">
        <v>1363</v>
      </c>
      <c r="Q70" s="158" t="s">
        <v>1361</v>
      </c>
      <c r="R70" s="162"/>
      <c r="S70" s="157" t="str">
        <f t="shared" si="1"/>
        <v>037-101-000000718</v>
      </c>
      <c r="T70" s="163">
        <v>105775803</v>
      </c>
      <c r="U70" s="164" t="s">
        <v>1280</v>
      </c>
    </row>
    <row r="71" spans="1:21" ht="20">
      <c r="A71">
        <v>66</v>
      </c>
      <c r="B71" s="156">
        <v>45539</v>
      </c>
      <c r="C71" s="157" t="s">
        <v>1152</v>
      </c>
      <c r="D71" s="157" t="s">
        <v>1351</v>
      </c>
      <c r="E71" s="158">
        <v>112570211</v>
      </c>
      <c r="F71" s="74" t="str">
        <f t="shared" si="2"/>
        <v>GBC 75-G1 GBA BM COCINA GAS</v>
      </c>
      <c r="G71" s="157" t="s">
        <v>1403</v>
      </c>
      <c r="H71" s="158" t="s">
        <v>23</v>
      </c>
      <c r="I71" s="158" t="s">
        <v>1361</v>
      </c>
      <c r="J71" s="158" t="s">
        <v>1362</v>
      </c>
      <c r="K71" s="159">
        <v>45842</v>
      </c>
      <c r="L71" s="160" t="s">
        <v>1120</v>
      </c>
      <c r="M71" s="160" t="s">
        <v>1121</v>
      </c>
      <c r="N71" s="157">
        <v>98780919</v>
      </c>
      <c r="O71" s="161">
        <v>20</v>
      </c>
      <c r="P71" s="158" t="s">
        <v>1363</v>
      </c>
      <c r="Q71" s="158" t="s">
        <v>1361</v>
      </c>
      <c r="R71" s="162"/>
      <c r="S71" s="157" t="str">
        <f t="shared" si="1"/>
        <v>037-101-000000718</v>
      </c>
      <c r="T71" s="163">
        <v>105775803</v>
      </c>
      <c r="U71" s="164" t="s">
        <v>1280</v>
      </c>
    </row>
    <row r="72" spans="1:21" ht="20">
      <c r="A72">
        <v>67</v>
      </c>
      <c r="B72" s="156">
        <v>45832</v>
      </c>
      <c r="C72" s="157" t="s">
        <v>1166</v>
      </c>
      <c r="D72" s="157" t="s">
        <v>1352</v>
      </c>
      <c r="E72" s="158">
        <v>40446702</v>
      </c>
      <c r="F72" s="74" t="str">
        <f t="shared" si="2"/>
        <v>GFH 55 INOX CAMPANA (110V-60HZ) C/KIT</v>
      </c>
      <c r="G72" s="157" t="s">
        <v>1281</v>
      </c>
      <c r="H72" s="158" t="s">
        <v>23</v>
      </c>
      <c r="I72" s="158" t="s">
        <v>1361</v>
      </c>
      <c r="J72" s="158" t="s">
        <v>1362</v>
      </c>
      <c r="K72" s="159">
        <v>45842</v>
      </c>
      <c r="L72" s="160" t="s">
        <v>1122</v>
      </c>
      <c r="M72" s="160" t="s">
        <v>1123</v>
      </c>
      <c r="N72" s="157">
        <v>987469784</v>
      </c>
      <c r="O72" s="161">
        <v>20</v>
      </c>
      <c r="P72" s="158" t="s">
        <v>1363</v>
      </c>
      <c r="Q72" s="158" t="s">
        <v>1361</v>
      </c>
      <c r="R72" s="162"/>
      <c r="S72" s="157" t="str">
        <f t="shared" ref="S72:S88" si="3">D72</f>
        <v>001-500-000074471</v>
      </c>
      <c r="T72" s="163">
        <v>104086616</v>
      </c>
      <c r="U72" s="164" t="s">
        <v>1282</v>
      </c>
    </row>
    <row r="73" spans="1:21" ht="20">
      <c r="A73">
        <v>68</v>
      </c>
      <c r="B73" s="156">
        <v>45828</v>
      </c>
      <c r="C73" s="157" t="s">
        <v>1166</v>
      </c>
      <c r="D73" s="157" t="s">
        <v>1353</v>
      </c>
      <c r="E73" s="158">
        <v>112510035</v>
      </c>
      <c r="F73" s="74" t="str">
        <f t="shared" si="2"/>
        <v>IZF 64440 MSP BK COCINA INDUCCION</v>
      </c>
      <c r="G73" s="157" t="s">
        <v>1404</v>
      </c>
      <c r="H73" s="158" t="s">
        <v>23</v>
      </c>
      <c r="I73" s="158" t="s">
        <v>1361</v>
      </c>
      <c r="J73" s="158" t="s">
        <v>1362</v>
      </c>
      <c r="K73" s="159">
        <v>45842</v>
      </c>
      <c r="L73" s="160" t="s">
        <v>1122</v>
      </c>
      <c r="M73" s="160" t="s">
        <v>1123</v>
      </c>
      <c r="N73" s="157">
        <v>987469784</v>
      </c>
      <c r="O73" s="161">
        <v>20</v>
      </c>
      <c r="P73" s="158" t="s">
        <v>1363</v>
      </c>
      <c r="Q73" s="158" t="s">
        <v>1361</v>
      </c>
      <c r="R73" s="162"/>
      <c r="S73" s="157" t="str">
        <f t="shared" si="3"/>
        <v>001-500-000074378</v>
      </c>
      <c r="T73" s="163">
        <v>104086616</v>
      </c>
      <c r="U73" s="164" t="s">
        <v>1282</v>
      </c>
    </row>
    <row r="74" spans="1:21" ht="20">
      <c r="A74">
        <v>69</v>
      </c>
      <c r="B74" s="156">
        <v>45771</v>
      </c>
      <c r="C74" s="157" t="s">
        <v>1173</v>
      </c>
      <c r="D74" s="157" t="s">
        <v>1354</v>
      </c>
      <c r="E74" s="158">
        <v>112610071</v>
      </c>
      <c r="F74" s="74" t="str">
        <f t="shared" si="2"/>
        <v>GSC 64320 XBA IX (LAT) COCINA INOX</v>
      </c>
      <c r="G74" s="157" t="s">
        <v>1283</v>
      </c>
      <c r="H74" s="158" t="s">
        <v>23</v>
      </c>
      <c r="I74" s="158" t="s">
        <v>1361</v>
      </c>
      <c r="J74" s="158" t="s">
        <v>1362</v>
      </c>
      <c r="K74" s="159">
        <v>45842</v>
      </c>
      <c r="L74" s="160" t="s">
        <v>1124</v>
      </c>
      <c r="M74" s="160" t="s">
        <v>1125</v>
      </c>
      <c r="N74" s="157">
        <v>998480125</v>
      </c>
      <c r="O74" s="161">
        <v>20</v>
      </c>
      <c r="P74" s="158" t="s">
        <v>1363</v>
      </c>
      <c r="Q74" s="158" t="s">
        <v>1361</v>
      </c>
      <c r="R74" s="162"/>
      <c r="S74" s="157" t="str">
        <f t="shared" si="3"/>
        <v>043-903-000069244</v>
      </c>
      <c r="T74" s="163">
        <v>102304621</v>
      </c>
      <c r="U74" s="164" t="s">
        <v>1284</v>
      </c>
    </row>
    <row r="75" spans="1:21" ht="20">
      <c r="A75">
        <v>70</v>
      </c>
      <c r="B75" s="156">
        <v>45771</v>
      </c>
      <c r="C75" s="157" t="s">
        <v>1173</v>
      </c>
      <c r="D75" s="157" t="s">
        <v>1354</v>
      </c>
      <c r="E75" s="158">
        <v>40590835</v>
      </c>
      <c r="F75" s="74" t="str">
        <f t="shared" si="2"/>
        <v>MWG 14X - MICROONDAS</v>
      </c>
      <c r="G75" s="157" t="s">
        <v>1405</v>
      </c>
      <c r="H75" s="158" t="s">
        <v>23</v>
      </c>
      <c r="I75" s="158" t="s">
        <v>1361</v>
      </c>
      <c r="J75" s="158" t="s">
        <v>1362</v>
      </c>
      <c r="K75" s="159">
        <v>45842</v>
      </c>
      <c r="L75" s="160" t="s">
        <v>1124</v>
      </c>
      <c r="M75" s="160" t="s">
        <v>1125</v>
      </c>
      <c r="N75" s="157">
        <v>998480125</v>
      </c>
      <c r="O75" s="161">
        <v>20</v>
      </c>
      <c r="P75" s="158" t="s">
        <v>1363</v>
      </c>
      <c r="Q75" s="158" t="s">
        <v>1361</v>
      </c>
      <c r="R75" s="162"/>
      <c r="S75" s="157" t="str">
        <f t="shared" si="3"/>
        <v>043-903-000069244</v>
      </c>
      <c r="T75" s="163">
        <v>102304621</v>
      </c>
      <c r="U75" s="164" t="s">
        <v>1284</v>
      </c>
    </row>
    <row r="76" spans="1:21" ht="20">
      <c r="A76">
        <v>71</v>
      </c>
      <c r="B76" s="156">
        <v>45741</v>
      </c>
      <c r="C76" s="157" t="s">
        <v>1186</v>
      </c>
      <c r="D76" s="157" t="s">
        <v>1355</v>
      </c>
      <c r="E76" s="158">
        <v>112500047</v>
      </c>
      <c r="F76" s="74" t="str">
        <f t="shared" si="2"/>
        <v>IZF 99700 MST COCINA INDUCCION</v>
      </c>
      <c r="G76" s="157" t="s">
        <v>1294</v>
      </c>
      <c r="H76" s="158" t="s">
        <v>23</v>
      </c>
      <c r="I76" s="158" t="s">
        <v>1361</v>
      </c>
      <c r="J76" s="158" t="s">
        <v>1362</v>
      </c>
      <c r="K76" s="159">
        <v>45847</v>
      </c>
      <c r="L76" s="160" t="s">
        <v>1132</v>
      </c>
      <c r="M76" s="160" t="s">
        <v>1107</v>
      </c>
      <c r="N76" s="157">
        <v>984272334</v>
      </c>
      <c r="O76" s="161">
        <v>20</v>
      </c>
      <c r="P76" s="158" t="s">
        <v>1363</v>
      </c>
      <c r="Q76" s="158" t="s">
        <v>1361</v>
      </c>
      <c r="R76" s="162"/>
      <c r="S76" s="157" t="str">
        <f t="shared" si="3"/>
        <v>006-002-0000157725</v>
      </c>
      <c r="T76" s="163">
        <v>104162245</v>
      </c>
      <c r="U76" s="164" t="s">
        <v>1295</v>
      </c>
    </row>
    <row r="77" spans="1:21" ht="20">
      <c r="A77">
        <v>72</v>
      </c>
      <c r="B77" s="156">
        <v>45741</v>
      </c>
      <c r="C77" s="157" t="s">
        <v>1186</v>
      </c>
      <c r="D77" s="157" t="s">
        <v>1355</v>
      </c>
      <c r="E77" s="158">
        <v>40782127</v>
      </c>
      <c r="F77" s="74" t="str">
        <f t="shared" si="2"/>
        <v>DW8 57 FIM PANELABLE LAVAVAJILLAS</v>
      </c>
      <c r="G77" s="157" t="s">
        <v>1406</v>
      </c>
      <c r="H77" s="158" t="s">
        <v>23</v>
      </c>
      <c r="I77" s="158" t="s">
        <v>1361</v>
      </c>
      <c r="J77" s="158" t="s">
        <v>1362</v>
      </c>
      <c r="K77" s="159">
        <v>45847</v>
      </c>
      <c r="L77" s="160" t="s">
        <v>1132</v>
      </c>
      <c r="M77" s="160" t="s">
        <v>1107</v>
      </c>
      <c r="N77" s="157">
        <v>984272334</v>
      </c>
      <c r="O77" s="161">
        <v>20</v>
      </c>
      <c r="P77" s="158" t="s">
        <v>1363</v>
      </c>
      <c r="Q77" s="158" t="s">
        <v>1361</v>
      </c>
      <c r="R77" s="162"/>
      <c r="S77" s="157" t="str">
        <f t="shared" si="3"/>
        <v>006-002-0000157725</v>
      </c>
      <c r="T77" s="163">
        <v>104162245</v>
      </c>
      <c r="U77" s="164" t="s">
        <v>1295</v>
      </c>
    </row>
    <row r="78" spans="1:21" ht="20">
      <c r="A78">
        <v>73</v>
      </c>
      <c r="B78" s="156">
        <v>45661</v>
      </c>
      <c r="C78" s="157" t="s">
        <v>1173</v>
      </c>
      <c r="D78" s="157" t="s">
        <v>1356</v>
      </c>
      <c r="E78" s="158">
        <v>111000051</v>
      </c>
      <c r="F78" s="74" t="str">
        <f t="shared" si="2"/>
        <v>HLB 8416 "AIR FRY" - HORNO ELEC</v>
      </c>
      <c r="G78" s="157" t="s">
        <v>1296</v>
      </c>
      <c r="H78" s="158" t="s">
        <v>23</v>
      </c>
      <c r="I78" s="158" t="s">
        <v>1361</v>
      </c>
      <c r="J78" s="158" t="s">
        <v>1362</v>
      </c>
      <c r="K78" s="159">
        <v>45847</v>
      </c>
      <c r="L78" s="160" t="s">
        <v>1133</v>
      </c>
      <c r="M78" s="160" t="s">
        <v>1134</v>
      </c>
      <c r="N78" s="157">
        <v>995728851</v>
      </c>
      <c r="O78" s="161">
        <v>15</v>
      </c>
      <c r="P78" s="158" t="s">
        <v>1363</v>
      </c>
      <c r="Q78" s="158" t="s">
        <v>1361</v>
      </c>
      <c r="R78" s="162"/>
      <c r="S78" s="157" t="str">
        <f t="shared" si="3"/>
        <v>043-904-000056971</v>
      </c>
      <c r="T78" s="163">
        <v>101419281</v>
      </c>
      <c r="U78" s="164" t="s">
        <v>1297</v>
      </c>
    </row>
    <row r="79" spans="1:21" ht="20">
      <c r="A79">
        <v>74</v>
      </c>
      <c r="B79" s="156">
        <v>45661</v>
      </c>
      <c r="C79" s="157" t="s">
        <v>1173</v>
      </c>
      <c r="D79" s="157" t="s">
        <v>1357</v>
      </c>
      <c r="E79" s="158">
        <v>40584202</v>
      </c>
      <c r="F79" s="74" t="str">
        <f t="shared" si="2"/>
        <v>ML 820 BIS - MICROONDAS</v>
      </c>
      <c r="G79" s="157" t="s">
        <v>1407</v>
      </c>
      <c r="H79" s="158" t="s">
        <v>23</v>
      </c>
      <c r="I79" s="158" t="s">
        <v>1361</v>
      </c>
      <c r="J79" s="158" t="s">
        <v>1362</v>
      </c>
      <c r="K79" s="159">
        <v>45847</v>
      </c>
      <c r="L79" s="160" t="s">
        <v>1133</v>
      </c>
      <c r="M79" s="160" t="s">
        <v>1134</v>
      </c>
      <c r="N79" s="157">
        <v>995728851</v>
      </c>
      <c r="O79" s="161">
        <v>15</v>
      </c>
      <c r="P79" s="158" t="s">
        <v>1363</v>
      </c>
      <c r="Q79" s="158" t="s">
        <v>1361</v>
      </c>
      <c r="R79" s="162"/>
      <c r="S79" s="157" t="str">
        <f t="shared" si="3"/>
        <v>043-904-000017727</v>
      </c>
      <c r="T79" s="163">
        <v>101419281</v>
      </c>
      <c r="U79" s="164" t="s">
        <v>1297</v>
      </c>
    </row>
    <row r="80" spans="1:21" ht="20">
      <c r="A80">
        <v>75</v>
      </c>
      <c r="B80" s="156">
        <v>45661</v>
      </c>
      <c r="C80" s="157" t="s">
        <v>1173</v>
      </c>
      <c r="D80" s="157" t="s">
        <v>1356</v>
      </c>
      <c r="E80" s="158">
        <v>112580058</v>
      </c>
      <c r="F80" s="74" t="str">
        <f t="shared" si="2"/>
        <v>GBC 95030 KBB BK COCINA GAS</v>
      </c>
      <c r="G80" s="157" t="s">
        <v>1408</v>
      </c>
      <c r="H80" s="158" t="s">
        <v>23</v>
      </c>
      <c r="I80" s="158" t="s">
        <v>1361</v>
      </c>
      <c r="J80" s="158" t="s">
        <v>1362</v>
      </c>
      <c r="K80" s="159">
        <v>45847</v>
      </c>
      <c r="L80" s="160" t="s">
        <v>1133</v>
      </c>
      <c r="M80" s="160" t="s">
        <v>1134</v>
      </c>
      <c r="N80" s="157">
        <v>995728851</v>
      </c>
      <c r="O80" s="161">
        <v>15</v>
      </c>
      <c r="P80" s="158" t="s">
        <v>1363</v>
      </c>
      <c r="Q80" s="158" t="s">
        <v>1361</v>
      </c>
      <c r="R80" s="162"/>
      <c r="S80" s="157" t="str">
        <f t="shared" si="3"/>
        <v>043-904-000056971</v>
      </c>
      <c r="T80" s="163">
        <v>101419281</v>
      </c>
      <c r="U80" s="164" t="s">
        <v>1297</v>
      </c>
    </row>
    <row r="81" spans="1:21" ht="20">
      <c r="A81">
        <v>76</v>
      </c>
      <c r="B81" s="156">
        <v>45661</v>
      </c>
      <c r="C81" s="157" t="s">
        <v>1173</v>
      </c>
      <c r="D81" s="157" t="s">
        <v>1356</v>
      </c>
      <c r="E81" s="158">
        <v>40466111</v>
      </c>
      <c r="F81" s="74" t="str">
        <f t="shared" si="2"/>
        <v>C 910 NEGRA CAMPANA (110V-60HZ) C/KIT</v>
      </c>
      <c r="G81" s="157" t="s">
        <v>1409</v>
      </c>
      <c r="H81" s="158" t="s">
        <v>23</v>
      </c>
      <c r="I81" s="158" t="s">
        <v>1361</v>
      </c>
      <c r="J81" s="158" t="s">
        <v>1362</v>
      </c>
      <c r="K81" s="159">
        <v>45847</v>
      </c>
      <c r="L81" s="160" t="s">
        <v>1133</v>
      </c>
      <c r="M81" s="160" t="s">
        <v>1134</v>
      </c>
      <c r="N81" s="157">
        <v>995728851</v>
      </c>
      <c r="O81" s="161">
        <v>15</v>
      </c>
      <c r="P81" s="158" t="s">
        <v>1363</v>
      </c>
      <c r="Q81" s="158" t="s">
        <v>1361</v>
      </c>
      <c r="R81" s="162"/>
      <c r="S81" s="157" t="str">
        <f t="shared" si="3"/>
        <v>043-904-000056971</v>
      </c>
      <c r="T81" s="163">
        <v>101419281</v>
      </c>
      <c r="U81" s="164" t="s">
        <v>1297</v>
      </c>
    </row>
    <row r="82" spans="1:21" ht="20">
      <c r="A82">
        <v>77</v>
      </c>
      <c r="B82" s="156">
        <v>45820</v>
      </c>
      <c r="C82" s="157" t="s">
        <v>1152</v>
      </c>
      <c r="D82" s="157" t="s">
        <v>1358</v>
      </c>
      <c r="E82" s="158">
        <v>111000078</v>
      </c>
      <c r="F82" s="74" t="str">
        <f t="shared" si="2"/>
        <v>HLB 8400 FBK HORNO ELEC</v>
      </c>
      <c r="G82" s="157" t="s">
        <v>1298</v>
      </c>
      <c r="H82" s="158" t="s">
        <v>23</v>
      </c>
      <c r="I82" s="158" t="s">
        <v>1361</v>
      </c>
      <c r="J82" s="158" t="s">
        <v>1362</v>
      </c>
      <c r="K82" s="159">
        <v>45848</v>
      </c>
      <c r="L82" s="160" t="s">
        <v>1135</v>
      </c>
      <c r="M82" s="160" t="s">
        <v>1069</v>
      </c>
      <c r="N82" s="157">
        <v>999666320</v>
      </c>
      <c r="O82" s="161">
        <v>20</v>
      </c>
      <c r="P82" s="158" t="s">
        <v>1363</v>
      </c>
      <c r="Q82" s="158" t="s">
        <v>1361</v>
      </c>
      <c r="R82" s="162"/>
      <c r="S82" s="157" t="str">
        <f t="shared" si="3"/>
        <v>040-103-0000014079</v>
      </c>
      <c r="T82" s="163">
        <v>1400516868</v>
      </c>
      <c r="U82" s="164" t="s">
        <v>1299</v>
      </c>
    </row>
    <row r="83" spans="1:21" ht="20">
      <c r="A83">
        <v>78</v>
      </c>
      <c r="B83" s="156">
        <v>45820</v>
      </c>
      <c r="C83" s="157" t="s">
        <v>1152</v>
      </c>
      <c r="D83" s="157" t="s">
        <v>1358</v>
      </c>
      <c r="E83" s="158">
        <v>112030019</v>
      </c>
      <c r="F83" s="74" t="str">
        <f t="shared" si="2"/>
        <v>ML 8220 BIS FBK- MICROONDAS</v>
      </c>
      <c r="G83" s="157" t="s">
        <v>1410</v>
      </c>
      <c r="H83" s="158" t="s">
        <v>23</v>
      </c>
      <c r="I83" s="158" t="s">
        <v>1361</v>
      </c>
      <c r="J83" s="158" t="s">
        <v>1362</v>
      </c>
      <c r="K83" s="159">
        <v>45848</v>
      </c>
      <c r="L83" s="160" t="s">
        <v>1135</v>
      </c>
      <c r="M83" s="160" t="s">
        <v>1069</v>
      </c>
      <c r="N83" s="157">
        <v>999666320</v>
      </c>
      <c r="O83" s="161">
        <v>20</v>
      </c>
      <c r="P83" s="158" t="s">
        <v>1363</v>
      </c>
      <c r="Q83" s="158" t="s">
        <v>1361</v>
      </c>
      <c r="R83" s="162"/>
      <c r="S83" s="157" t="str">
        <f t="shared" si="3"/>
        <v>040-103-0000014079</v>
      </c>
      <c r="T83" s="163">
        <v>1400516868</v>
      </c>
      <c r="U83" s="164" t="s">
        <v>1299</v>
      </c>
    </row>
    <row r="84" spans="1:21" ht="20">
      <c r="A84">
        <v>79</v>
      </c>
      <c r="B84" s="156">
        <v>44673</v>
      </c>
      <c r="C84" s="157" t="s">
        <v>1300</v>
      </c>
      <c r="D84" s="157" t="s">
        <v>1359</v>
      </c>
      <c r="E84" s="158">
        <v>111040006</v>
      </c>
      <c r="F84" s="74" t="str">
        <f t="shared" si="2"/>
        <v>HSB 750 G SS HORNO A GAS</v>
      </c>
      <c r="G84" s="157" t="s">
        <v>1301</v>
      </c>
      <c r="H84" s="158" t="s">
        <v>23</v>
      </c>
      <c r="I84" s="158" t="s">
        <v>1361</v>
      </c>
      <c r="J84" s="158" t="s">
        <v>1362</v>
      </c>
      <c r="K84" s="159">
        <v>45849</v>
      </c>
      <c r="L84" s="160" t="s">
        <v>1136</v>
      </c>
      <c r="M84" s="160" t="s">
        <v>1137</v>
      </c>
      <c r="N84" s="157">
        <v>990307165</v>
      </c>
      <c r="O84" s="161">
        <v>20</v>
      </c>
      <c r="P84" s="158" t="s">
        <v>1363</v>
      </c>
      <c r="Q84" s="158" t="s">
        <v>1361</v>
      </c>
      <c r="R84" s="162"/>
      <c r="S84" s="157" t="str">
        <f t="shared" si="3"/>
        <v>001-500-000041118</v>
      </c>
      <c r="T84" s="163">
        <v>10419539</v>
      </c>
      <c r="U84" s="164" t="s">
        <v>1302</v>
      </c>
    </row>
    <row r="85" spans="1:21" ht="20">
      <c r="A85">
        <v>80</v>
      </c>
      <c r="B85" s="156">
        <v>44673</v>
      </c>
      <c r="C85" s="157" t="s">
        <v>1300</v>
      </c>
      <c r="D85" s="157" t="s">
        <v>1359</v>
      </c>
      <c r="E85" s="158">
        <v>40590835</v>
      </c>
      <c r="F85" s="74" t="str">
        <f t="shared" si="2"/>
        <v>MWG 14X - MICROONDAS</v>
      </c>
      <c r="G85" s="157" t="s">
        <v>1411</v>
      </c>
      <c r="H85" s="158" t="s">
        <v>23</v>
      </c>
      <c r="I85" s="158" t="s">
        <v>1361</v>
      </c>
      <c r="J85" s="158" t="s">
        <v>1362</v>
      </c>
      <c r="K85" s="159">
        <v>45849</v>
      </c>
      <c r="L85" s="160" t="s">
        <v>1136</v>
      </c>
      <c r="M85" s="160" t="s">
        <v>1137</v>
      </c>
      <c r="N85" s="157">
        <v>990307165</v>
      </c>
      <c r="O85" s="161">
        <v>20</v>
      </c>
      <c r="P85" s="158" t="s">
        <v>1363</v>
      </c>
      <c r="Q85" s="158" t="s">
        <v>1361</v>
      </c>
      <c r="R85" s="162"/>
      <c r="S85" s="157" t="str">
        <f t="shared" si="3"/>
        <v>001-500-000041118</v>
      </c>
      <c r="T85" s="163">
        <v>10419539</v>
      </c>
      <c r="U85" s="164" t="s">
        <v>1302</v>
      </c>
    </row>
    <row r="86" spans="1:21" ht="20">
      <c r="A86">
        <v>81</v>
      </c>
      <c r="B86" s="156">
        <v>45834</v>
      </c>
      <c r="C86" s="157" t="s">
        <v>1141</v>
      </c>
      <c r="D86" s="157" t="s">
        <v>1360</v>
      </c>
      <c r="E86" s="158">
        <v>40466241</v>
      </c>
      <c r="F86" s="74" t="str">
        <f t="shared" si="2"/>
        <v>C 9310 INOX CAMPANA (110V-60HZ) C/KIT</v>
      </c>
      <c r="G86" s="157" t="s">
        <v>1303</v>
      </c>
      <c r="H86" s="158" t="s">
        <v>23</v>
      </c>
      <c r="I86" s="158" t="s">
        <v>1361</v>
      </c>
      <c r="J86" s="158" t="s">
        <v>1362</v>
      </c>
      <c r="K86" s="159">
        <v>45849</v>
      </c>
      <c r="L86" s="160" t="s">
        <v>1138</v>
      </c>
      <c r="M86" s="160" t="s">
        <v>1046</v>
      </c>
      <c r="N86" s="157">
        <v>99569882</v>
      </c>
      <c r="O86" s="161">
        <v>15</v>
      </c>
      <c r="P86" s="158" t="s">
        <v>1363</v>
      </c>
      <c r="Q86" s="158" t="s">
        <v>1361</v>
      </c>
      <c r="R86" s="162"/>
      <c r="S86" s="157" t="str">
        <f t="shared" si="3"/>
        <v>007-006-000138285</v>
      </c>
      <c r="T86" s="163">
        <v>301531265</v>
      </c>
      <c r="U86" s="164" t="s">
        <v>1304</v>
      </c>
    </row>
    <row r="87" spans="1:21" ht="20">
      <c r="A87">
        <v>82</v>
      </c>
      <c r="B87" s="156">
        <v>45834</v>
      </c>
      <c r="C87" s="157" t="s">
        <v>1141</v>
      </c>
      <c r="D87" s="157" t="s">
        <v>1360</v>
      </c>
      <c r="E87" s="158">
        <v>111040006</v>
      </c>
      <c r="F87" s="74" t="str">
        <f t="shared" si="2"/>
        <v>HSB 750 G SS HORNO A GAS</v>
      </c>
      <c r="G87" s="157" t="s">
        <v>1412</v>
      </c>
      <c r="H87" s="158" t="s">
        <v>23</v>
      </c>
      <c r="I87" s="158" t="s">
        <v>1361</v>
      </c>
      <c r="J87" s="158" t="s">
        <v>1362</v>
      </c>
      <c r="K87" s="159">
        <v>45849</v>
      </c>
      <c r="L87" s="160" t="s">
        <v>1138</v>
      </c>
      <c r="M87" s="160" t="s">
        <v>1046</v>
      </c>
      <c r="N87" s="157">
        <v>99569882</v>
      </c>
      <c r="O87" s="161">
        <v>15</v>
      </c>
      <c r="P87" s="158" t="s">
        <v>1363</v>
      </c>
      <c r="Q87" s="158" t="s">
        <v>1361</v>
      </c>
      <c r="R87" s="162"/>
      <c r="S87" s="157" t="str">
        <f t="shared" si="3"/>
        <v>007-006-000138285</v>
      </c>
      <c r="T87" s="163">
        <v>301531265</v>
      </c>
      <c r="U87" s="164" t="s">
        <v>1304</v>
      </c>
    </row>
    <row r="88" spans="1:21" ht="20">
      <c r="A88">
        <v>83</v>
      </c>
      <c r="B88" s="156">
        <v>45834</v>
      </c>
      <c r="C88" s="157" t="s">
        <v>1141</v>
      </c>
      <c r="D88" s="157" t="s">
        <v>1360</v>
      </c>
      <c r="E88" s="158">
        <v>112610068</v>
      </c>
      <c r="F88" s="74" t="str">
        <f t="shared" si="2"/>
        <v>GSC 95330 XBA IX (LAT) COCINA INOX</v>
      </c>
      <c r="G88" s="157" t="s">
        <v>1413</v>
      </c>
      <c r="H88" s="158" t="s">
        <v>23</v>
      </c>
      <c r="I88" s="158" t="s">
        <v>1361</v>
      </c>
      <c r="J88" s="158" t="s">
        <v>1362</v>
      </c>
      <c r="K88" s="159">
        <v>45849</v>
      </c>
      <c r="L88" s="160" t="s">
        <v>1138</v>
      </c>
      <c r="M88" s="160" t="s">
        <v>1046</v>
      </c>
      <c r="N88" s="157">
        <v>99569882</v>
      </c>
      <c r="O88" s="161">
        <v>15</v>
      </c>
      <c r="P88" s="158" t="s">
        <v>1363</v>
      </c>
      <c r="Q88" s="158" t="s">
        <v>1361</v>
      </c>
      <c r="R88" s="162"/>
      <c r="S88" s="157" t="str">
        <f t="shared" si="3"/>
        <v>007-006-000138285</v>
      </c>
      <c r="T88" s="163">
        <v>301531265</v>
      </c>
      <c r="U88" s="164" t="s">
        <v>1304</v>
      </c>
    </row>
    <row r="89" spans="1:21" ht="20">
      <c r="A89">
        <v>84</v>
      </c>
      <c r="B89" s="156">
        <v>45842</v>
      </c>
      <c r="C89" s="157" t="s">
        <v>1173</v>
      </c>
      <c r="D89" s="157" t="s">
        <v>1453</v>
      </c>
      <c r="E89" s="158">
        <v>112580027</v>
      </c>
      <c r="F89" s="74" t="str">
        <f t="shared" ref="F89:F112" si="4">VLOOKUP(E89,PROD,2,FALSE)</f>
        <v>GBC 75030 KBB CRISTAL COCINA GAS</v>
      </c>
      <c r="G89" s="157" t="s">
        <v>1454</v>
      </c>
      <c r="H89" s="158" t="s">
        <v>23</v>
      </c>
      <c r="I89" s="158" t="s">
        <v>1361</v>
      </c>
      <c r="J89" s="158" t="s">
        <v>1362</v>
      </c>
      <c r="K89" s="159">
        <v>45849</v>
      </c>
      <c r="L89" s="160" t="s">
        <v>1456</v>
      </c>
      <c r="M89" s="160" t="s">
        <v>1037</v>
      </c>
      <c r="N89" s="157">
        <v>987610325</v>
      </c>
      <c r="O89" s="161">
        <v>20</v>
      </c>
      <c r="P89" s="158" t="s">
        <v>1363</v>
      </c>
      <c r="Q89" s="158" t="s">
        <v>1361</v>
      </c>
      <c r="R89" s="162"/>
      <c r="S89" s="157" t="str">
        <f t="shared" ref="S89:S108" si="5">D89</f>
        <v>093-902-000055207</v>
      </c>
      <c r="T89" s="163">
        <v>1706833702</v>
      </c>
      <c r="U89" s="164" t="s">
        <v>1457</v>
      </c>
    </row>
    <row r="90" spans="1:21" ht="20">
      <c r="A90">
        <v>85</v>
      </c>
      <c r="B90" s="156">
        <v>45842</v>
      </c>
      <c r="C90" s="157" t="s">
        <v>1173</v>
      </c>
      <c r="D90" s="157" t="s">
        <v>1453</v>
      </c>
      <c r="E90" s="158">
        <v>40467320</v>
      </c>
      <c r="F90" s="74" t="str">
        <f t="shared" si="4"/>
        <v>C 7310 INOX CAMPANA (110V-60HZ) C/KIT</v>
      </c>
      <c r="G90" s="157" t="s">
        <v>1455</v>
      </c>
      <c r="H90" s="158" t="s">
        <v>23</v>
      </c>
      <c r="I90" s="158" t="s">
        <v>1361</v>
      </c>
      <c r="J90" s="158" t="s">
        <v>1362</v>
      </c>
      <c r="K90" s="159">
        <v>45849</v>
      </c>
      <c r="L90" s="160" t="s">
        <v>1456</v>
      </c>
      <c r="M90" s="160" t="s">
        <v>1037</v>
      </c>
      <c r="N90" s="157">
        <v>987610325</v>
      </c>
      <c r="O90" s="161">
        <v>20</v>
      </c>
      <c r="P90" s="158" t="s">
        <v>1363</v>
      </c>
      <c r="Q90" s="158" t="s">
        <v>1361</v>
      </c>
      <c r="R90" s="162"/>
      <c r="S90" s="157" t="str">
        <f t="shared" ref="S90" si="6">D90</f>
        <v>093-902-000055207</v>
      </c>
      <c r="T90" s="163">
        <v>1706833702</v>
      </c>
      <c r="U90" s="164" t="s">
        <v>1457</v>
      </c>
    </row>
    <row r="91" spans="1:21" ht="20">
      <c r="A91">
        <v>86</v>
      </c>
      <c r="B91" s="156">
        <v>45842</v>
      </c>
      <c r="C91" s="157" t="s">
        <v>1152</v>
      </c>
      <c r="D91" s="157" t="s">
        <v>1458</v>
      </c>
      <c r="E91" s="158">
        <v>112580027</v>
      </c>
      <c r="F91" s="74" t="str">
        <f t="shared" si="4"/>
        <v>GBC 75030 KBB CRISTAL COCINA GAS</v>
      </c>
      <c r="G91" s="157" t="s">
        <v>1459</v>
      </c>
      <c r="H91" s="158" t="s">
        <v>23</v>
      </c>
      <c r="I91" s="158" t="s">
        <v>1361</v>
      </c>
      <c r="J91" s="158" t="s">
        <v>1362</v>
      </c>
      <c r="K91" s="159">
        <v>45852</v>
      </c>
      <c r="L91" s="160" t="s">
        <v>1461</v>
      </c>
      <c r="M91" s="160" t="s">
        <v>1462</v>
      </c>
      <c r="N91" s="157">
        <v>984909332</v>
      </c>
      <c r="O91" s="161">
        <v>20</v>
      </c>
      <c r="P91" s="158" t="s">
        <v>1363</v>
      </c>
      <c r="Q91" s="158" t="s">
        <v>1361</v>
      </c>
      <c r="R91" s="162"/>
      <c r="S91" s="157" t="str">
        <f t="shared" si="5"/>
        <v>040-104-000012165</v>
      </c>
      <c r="T91" s="163">
        <v>106619570</v>
      </c>
      <c r="U91" s="164" t="s">
        <v>1463</v>
      </c>
    </row>
    <row r="92" spans="1:21" ht="20">
      <c r="A92">
        <v>87</v>
      </c>
      <c r="B92" s="156">
        <v>45842</v>
      </c>
      <c r="C92" s="157" t="s">
        <v>1152</v>
      </c>
      <c r="D92" s="157" t="s">
        <v>1458</v>
      </c>
      <c r="E92" s="158">
        <v>40782127</v>
      </c>
      <c r="F92" s="74" t="str">
        <f t="shared" si="4"/>
        <v>DW8 57 FIM PANELABLE LAVAVAJILLAS</v>
      </c>
      <c r="G92" s="157" t="s">
        <v>1460</v>
      </c>
      <c r="H92" s="158" t="s">
        <v>23</v>
      </c>
      <c r="I92" s="158" t="s">
        <v>1361</v>
      </c>
      <c r="J92" s="158" t="s">
        <v>1362</v>
      </c>
      <c r="K92" s="159">
        <v>45852</v>
      </c>
      <c r="L92" s="160" t="s">
        <v>1461</v>
      </c>
      <c r="M92" s="160" t="s">
        <v>1462</v>
      </c>
      <c r="N92" s="157">
        <v>984909332</v>
      </c>
      <c r="O92" s="161">
        <v>20</v>
      </c>
      <c r="P92" s="158" t="s">
        <v>1363</v>
      </c>
      <c r="Q92" s="158" t="s">
        <v>1361</v>
      </c>
      <c r="R92" s="162"/>
      <c r="S92" s="157" t="str">
        <f t="shared" ref="S92" si="7">D92</f>
        <v>040-104-000012165</v>
      </c>
      <c r="T92" s="163">
        <v>106619570</v>
      </c>
      <c r="U92" s="164" t="s">
        <v>1463</v>
      </c>
    </row>
    <row r="93" spans="1:21" ht="20">
      <c r="A93">
        <v>88</v>
      </c>
      <c r="B93" s="156">
        <v>45761</v>
      </c>
      <c r="C93" s="157" t="s">
        <v>1166</v>
      </c>
      <c r="D93" s="157" t="s">
        <v>1506</v>
      </c>
      <c r="E93" s="158">
        <v>112580058</v>
      </c>
      <c r="F93" s="74" t="str">
        <f t="shared" si="4"/>
        <v>GBC 95030 KBB BK COCINA GAS</v>
      </c>
      <c r="G93" s="157" t="s">
        <v>1507</v>
      </c>
      <c r="H93" s="158" t="s">
        <v>23</v>
      </c>
      <c r="I93" s="158" t="s">
        <v>1361</v>
      </c>
      <c r="J93" s="158" t="s">
        <v>1362</v>
      </c>
      <c r="K93" s="159">
        <v>45852</v>
      </c>
      <c r="L93" s="160" t="s">
        <v>1516</v>
      </c>
      <c r="M93" s="160" t="s">
        <v>1517</v>
      </c>
      <c r="N93" s="157">
        <v>989739803</v>
      </c>
      <c r="O93" s="161">
        <v>15</v>
      </c>
      <c r="P93" s="158" t="s">
        <v>1363</v>
      </c>
      <c r="Q93" s="158" t="s">
        <v>1361</v>
      </c>
      <c r="R93" s="162"/>
      <c r="S93" s="157" t="str">
        <f t="shared" si="5"/>
        <v>001-500-000072404</v>
      </c>
      <c r="T93" s="163">
        <v>100888932</v>
      </c>
      <c r="U93" s="164" t="s">
        <v>1518</v>
      </c>
    </row>
    <row r="94" spans="1:21" ht="20">
      <c r="A94">
        <v>89</v>
      </c>
      <c r="B94" s="156">
        <v>45761</v>
      </c>
      <c r="C94" s="157" t="s">
        <v>1166</v>
      </c>
      <c r="D94" s="157" t="s">
        <v>1508</v>
      </c>
      <c r="E94" s="158">
        <v>111000051</v>
      </c>
      <c r="F94" s="74" t="str">
        <f t="shared" si="4"/>
        <v>HLB 8416 "AIR FRY" - HORNO ELEC</v>
      </c>
      <c r="G94" s="157" t="s">
        <v>1509</v>
      </c>
      <c r="H94" s="158" t="s">
        <v>23</v>
      </c>
      <c r="I94" s="158" t="s">
        <v>1361</v>
      </c>
      <c r="J94" s="158" t="s">
        <v>1362</v>
      </c>
      <c r="K94" s="159">
        <v>45852</v>
      </c>
      <c r="L94" s="160" t="s">
        <v>1516</v>
      </c>
      <c r="M94" s="160" t="s">
        <v>1517</v>
      </c>
      <c r="N94" s="157">
        <v>989739803</v>
      </c>
      <c r="O94" s="161">
        <v>15</v>
      </c>
      <c r="P94" s="158" t="s">
        <v>1363</v>
      </c>
      <c r="Q94" s="158" t="s">
        <v>1361</v>
      </c>
      <c r="R94" s="162"/>
      <c r="S94" s="157" t="str">
        <f t="shared" ref="S94:S97" si="8">D94</f>
        <v>001-500-000071799</v>
      </c>
      <c r="T94" s="163">
        <v>100888932</v>
      </c>
      <c r="U94" s="164" t="s">
        <v>1518</v>
      </c>
    </row>
    <row r="95" spans="1:21" ht="20">
      <c r="A95">
        <v>90</v>
      </c>
      <c r="B95" s="156">
        <v>45761</v>
      </c>
      <c r="C95" s="157" t="s">
        <v>1166</v>
      </c>
      <c r="D95" s="157" t="s">
        <v>1510</v>
      </c>
      <c r="E95" s="158">
        <v>113620002</v>
      </c>
      <c r="F95" s="74" t="str">
        <f t="shared" si="4"/>
        <v>RVC 10008 GBK VINERA</v>
      </c>
      <c r="G95" s="157" t="s">
        <v>1511</v>
      </c>
      <c r="H95" s="158" t="s">
        <v>23</v>
      </c>
      <c r="I95" s="158" t="s">
        <v>1361</v>
      </c>
      <c r="J95" s="158" t="s">
        <v>1362</v>
      </c>
      <c r="K95" s="159">
        <v>45852</v>
      </c>
      <c r="L95" s="160" t="s">
        <v>1516</v>
      </c>
      <c r="M95" s="160" t="s">
        <v>1517</v>
      </c>
      <c r="N95" s="157">
        <v>989739803</v>
      </c>
      <c r="O95" s="161">
        <v>15</v>
      </c>
      <c r="P95" s="158" t="s">
        <v>1363</v>
      </c>
      <c r="Q95" s="158" t="s">
        <v>1361</v>
      </c>
      <c r="R95" s="162"/>
      <c r="S95" s="157" t="str">
        <f t="shared" si="8"/>
        <v>001-500-000074173</v>
      </c>
      <c r="T95" s="163">
        <v>100888932</v>
      </c>
      <c r="U95" s="164" t="s">
        <v>1518</v>
      </c>
    </row>
    <row r="96" spans="1:21" ht="20">
      <c r="A96">
        <v>91</v>
      </c>
      <c r="B96" s="156">
        <v>45761</v>
      </c>
      <c r="C96" s="157" t="s">
        <v>1166</v>
      </c>
      <c r="D96" s="157" t="s">
        <v>1512</v>
      </c>
      <c r="E96" s="158">
        <v>40483182</v>
      </c>
      <c r="F96" s="74" t="str">
        <f t="shared" si="4"/>
        <v>CUERPO DPL ISLA 1180</v>
      </c>
      <c r="G96" s="157" t="s">
        <v>1513</v>
      </c>
      <c r="H96" s="158" t="s">
        <v>23</v>
      </c>
      <c r="I96" s="158" t="s">
        <v>1361</v>
      </c>
      <c r="J96" s="158" t="s">
        <v>1362</v>
      </c>
      <c r="K96" s="159">
        <v>45852</v>
      </c>
      <c r="L96" s="160" t="s">
        <v>1516</v>
      </c>
      <c r="M96" s="160" t="s">
        <v>1517</v>
      </c>
      <c r="N96" s="157">
        <v>989739803</v>
      </c>
      <c r="O96" s="161">
        <v>30</v>
      </c>
      <c r="P96" s="158" t="s">
        <v>1363</v>
      </c>
      <c r="Q96" s="158" t="s">
        <v>1361</v>
      </c>
      <c r="R96" s="162"/>
      <c r="S96" s="157" t="str">
        <f t="shared" si="8"/>
        <v>001-500-000073476</v>
      </c>
      <c r="T96" s="163">
        <v>100888932</v>
      </c>
      <c r="U96" s="164" t="s">
        <v>1518</v>
      </c>
    </row>
    <row r="97" spans="1:21" ht="20">
      <c r="A97">
        <v>92</v>
      </c>
      <c r="B97" s="156">
        <v>45761</v>
      </c>
      <c r="C97" s="157" t="s">
        <v>1186</v>
      </c>
      <c r="D97" s="157" t="s">
        <v>1514</v>
      </c>
      <c r="E97" s="158">
        <v>40584012</v>
      </c>
      <c r="F97" s="74" t="str">
        <f t="shared" si="4"/>
        <v>MS 620 BIS - MICROONDAS</v>
      </c>
      <c r="G97" s="157" t="s">
        <v>1515</v>
      </c>
      <c r="H97" s="158" t="s">
        <v>23</v>
      </c>
      <c r="I97" s="158" t="s">
        <v>1361</v>
      </c>
      <c r="J97" s="158" t="s">
        <v>1362</v>
      </c>
      <c r="K97" s="159">
        <v>45852</v>
      </c>
      <c r="L97" s="160" t="s">
        <v>1516</v>
      </c>
      <c r="M97" s="160" t="s">
        <v>1517</v>
      </c>
      <c r="N97" s="157">
        <v>989739803</v>
      </c>
      <c r="O97" s="161">
        <v>15</v>
      </c>
      <c r="P97" s="158" t="s">
        <v>1363</v>
      </c>
      <c r="Q97" s="158" t="s">
        <v>1361</v>
      </c>
      <c r="R97" s="162"/>
      <c r="S97" s="157" t="str">
        <f t="shared" si="8"/>
        <v>006-002-000157766</v>
      </c>
      <c r="T97" s="163">
        <v>100888932</v>
      </c>
      <c r="U97" s="164" t="s">
        <v>1518</v>
      </c>
    </row>
    <row r="98" spans="1:21" ht="20">
      <c r="A98">
        <v>93</v>
      </c>
      <c r="B98" s="156">
        <v>45834</v>
      </c>
      <c r="C98" s="157" t="s">
        <v>1166</v>
      </c>
      <c r="D98" s="157" t="s">
        <v>1519</v>
      </c>
      <c r="E98" s="158">
        <v>112580017</v>
      </c>
      <c r="F98" s="74" t="str">
        <f t="shared" si="4"/>
        <v>GBC 64000 KBB CRISTAL COCINA GAS</v>
      </c>
      <c r="G98" s="157" t="s">
        <v>1520</v>
      </c>
      <c r="H98" s="158" t="s">
        <v>23</v>
      </c>
      <c r="I98" s="158" t="s">
        <v>1361</v>
      </c>
      <c r="J98" s="158" t="s">
        <v>1362</v>
      </c>
      <c r="K98" s="159">
        <v>45854</v>
      </c>
      <c r="L98" s="160" t="s">
        <v>1523</v>
      </c>
      <c r="M98" s="160" t="s">
        <v>1524</v>
      </c>
      <c r="N98" s="157">
        <v>996480012</v>
      </c>
      <c r="O98" s="161">
        <v>15</v>
      </c>
      <c r="P98" s="158" t="s">
        <v>1363</v>
      </c>
      <c r="Q98" s="158" t="s">
        <v>1361</v>
      </c>
      <c r="R98" s="162"/>
      <c r="S98" s="157" t="str">
        <f t="shared" si="5"/>
        <v>001-502-000000345</v>
      </c>
      <c r="T98" s="163">
        <v>1726067992</v>
      </c>
      <c r="U98" s="164" t="s">
        <v>1525</v>
      </c>
    </row>
    <row r="99" spans="1:21" ht="20">
      <c r="A99">
        <v>94</v>
      </c>
      <c r="B99" s="156">
        <v>45834</v>
      </c>
      <c r="C99" s="157" t="s">
        <v>1166</v>
      </c>
      <c r="D99" s="157" t="s">
        <v>1519</v>
      </c>
      <c r="E99" s="158">
        <v>111010040</v>
      </c>
      <c r="F99" s="74" t="str">
        <f t="shared" si="4"/>
        <v>HSB 610 NEGRO HORNO ELEC</v>
      </c>
      <c r="G99" s="157" t="s">
        <v>1521</v>
      </c>
      <c r="H99" s="158" t="s">
        <v>23</v>
      </c>
      <c r="I99" s="158" t="s">
        <v>1361</v>
      </c>
      <c r="J99" s="158" t="s">
        <v>1362</v>
      </c>
      <c r="K99" s="159">
        <v>45854</v>
      </c>
      <c r="L99" s="160" t="s">
        <v>1523</v>
      </c>
      <c r="M99" s="160" t="s">
        <v>1524</v>
      </c>
      <c r="N99" s="157">
        <v>996480012</v>
      </c>
      <c r="O99" s="161">
        <v>15</v>
      </c>
      <c r="P99" s="158" t="s">
        <v>1363</v>
      </c>
      <c r="Q99" s="158" t="s">
        <v>1361</v>
      </c>
      <c r="R99" s="162"/>
      <c r="S99" s="157" t="str">
        <f t="shared" ref="S99:S100" si="9">D99</f>
        <v>001-502-000000345</v>
      </c>
      <c r="T99" s="163">
        <v>1726067992</v>
      </c>
      <c r="U99" s="164" t="s">
        <v>1525</v>
      </c>
    </row>
    <row r="100" spans="1:21" ht="20">
      <c r="A100">
        <v>95</v>
      </c>
      <c r="B100" s="156">
        <v>45834</v>
      </c>
      <c r="C100" s="157" t="s">
        <v>1166</v>
      </c>
      <c r="D100" s="157" t="s">
        <v>1519</v>
      </c>
      <c r="E100" s="158">
        <v>40466241</v>
      </c>
      <c r="F100" s="74" t="str">
        <f t="shared" si="4"/>
        <v>C 9310 INOX CAMPANA (110V-60HZ) C/KIT</v>
      </c>
      <c r="G100" s="157" t="s">
        <v>1522</v>
      </c>
      <c r="H100" s="158" t="s">
        <v>23</v>
      </c>
      <c r="I100" s="158" t="s">
        <v>1361</v>
      </c>
      <c r="J100" s="158" t="s">
        <v>1362</v>
      </c>
      <c r="K100" s="159">
        <v>45854</v>
      </c>
      <c r="L100" s="160" t="s">
        <v>1523</v>
      </c>
      <c r="M100" s="160" t="s">
        <v>1524</v>
      </c>
      <c r="N100" s="157">
        <v>996480012</v>
      </c>
      <c r="O100" s="161">
        <v>15</v>
      </c>
      <c r="P100" s="158" t="s">
        <v>1363</v>
      </c>
      <c r="Q100" s="158" t="s">
        <v>1361</v>
      </c>
      <c r="R100" s="162"/>
      <c r="S100" s="157" t="str">
        <f t="shared" si="9"/>
        <v>001-502-000000345</v>
      </c>
      <c r="T100" s="163">
        <v>1726067992</v>
      </c>
      <c r="U100" s="164" t="s">
        <v>1525</v>
      </c>
    </row>
    <row r="101" spans="1:21" ht="20">
      <c r="A101">
        <v>96</v>
      </c>
      <c r="B101" s="156">
        <v>45764</v>
      </c>
      <c r="C101" s="157" t="s">
        <v>1166</v>
      </c>
      <c r="D101" s="157" t="s">
        <v>1610</v>
      </c>
      <c r="E101" s="158">
        <v>112580058</v>
      </c>
      <c r="F101" s="74" t="str">
        <f t="shared" si="4"/>
        <v>GBC 95030 KBB BK COCINA GAS</v>
      </c>
      <c r="G101" s="157" t="s">
        <v>1611</v>
      </c>
      <c r="H101" s="158" t="s">
        <v>23</v>
      </c>
      <c r="I101" s="158" t="s">
        <v>1361</v>
      </c>
      <c r="J101" s="158" t="s">
        <v>1362</v>
      </c>
      <c r="K101" s="159">
        <v>45854</v>
      </c>
      <c r="L101" s="160" t="s">
        <v>1612</v>
      </c>
      <c r="M101" s="160" t="s">
        <v>1046</v>
      </c>
      <c r="N101" s="157">
        <v>984881496</v>
      </c>
      <c r="O101" s="161">
        <v>15</v>
      </c>
      <c r="P101" s="158" t="s">
        <v>1363</v>
      </c>
      <c r="Q101" s="158" t="s">
        <v>1361</v>
      </c>
      <c r="R101" s="162"/>
      <c r="S101" s="157" t="str">
        <f t="shared" si="5"/>
        <v>001-502-000000228</v>
      </c>
      <c r="T101" s="163" t="s">
        <v>1628</v>
      </c>
      <c r="U101" s="164" t="s">
        <v>1613</v>
      </c>
    </row>
    <row r="102" spans="1:21" ht="20">
      <c r="A102">
        <v>97</v>
      </c>
      <c r="B102" s="156">
        <v>45764</v>
      </c>
      <c r="C102" s="157" t="s">
        <v>1173</v>
      </c>
      <c r="D102" s="157" t="s">
        <v>1614</v>
      </c>
      <c r="E102" s="158">
        <v>112510036</v>
      </c>
      <c r="F102" s="74" t="str">
        <f t="shared" si="4"/>
        <v>IZC 32310 MSP BK COCINA MODULAR INDUCCION</v>
      </c>
      <c r="G102" s="157" t="s">
        <v>1615</v>
      </c>
      <c r="H102" s="158" t="s">
        <v>23</v>
      </c>
      <c r="I102" s="158" t="s">
        <v>1361</v>
      </c>
      <c r="J102" s="158" t="s">
        <v>1362</v>
      </c>
      <c r="K102" s="159">
        <v>45854</v>
      </c>
      <c r="L102" s="160" t="s">
        <v>1612</v>
      </c>
      <c r="M102" s="160" t="s">
        <v>1046</v>
      </c>
      <c r="N102" s="157">
        <v>984881496</v>
      </c>
      <c r="O102" s="161">
        <v>15</v>
      </c>
      <c r="P102" s="158" t="s">
        <v>1363</v>
      </c>
      <c r="Q102" s="158" t="s">
        <v>1361</v>
      </c>
      <c r="R102" s="162"/>
      <c r="S102" s="157" t="str">
        <f t="shared" ref="S102:S107" si="10">D102</f>
        <v>043-903-000075582</v>
      </c>
      <c r="T102" s="163" t="s">
        <v>1628</v>
      </c>
      <c r="U102" s="164" t="s">
        <v>1613</v>
      </c>
    </row>
    <row r="103" spans="1:21" ht="20">
      <c r="A103">
        <v>98</v>
      </c>
      <c r="B103" s="156">
        <v>45764</v>
      </c>
      <c r="C103" s="157" t="s">
        <v>1166</v>
      </c>
      <c r="D103" s="157" t="s">
        <v>1610</v>
      </c>
      <c r="E103" s="158">
        <v>112030008</v>
      </c>
      <c r="F103" s="74" t="str">
        <f t="shared" si="4"/>
        <v>ML 8220 BIS - MICROONDAS</v>
      </c>
      <c r="G103" s="157" t="s">
        <v>1617</v>
      </c>
      <c r="H103" s="158" t="s">
        <v>23</v>
      </c>
      <c r="I103" s="158" t="s">
        <v>1361</v>
      </c>
      <c r="J103" s="158" t="s">
        <v>1362</v>
      </c>
      <c r="K103" s="159">
        <v>45854</v>
      </c>
      <c r="L103" s="160" t="s">
        <v>1612</v>
      </c>
      <c r="M103" s="160" t="s">
        <v>1046</v>
      </c>
      <c r="N103" s="157">
        <v>984881496</v>
      </c>
      <c r="O103" s="161">
        <v>15</v>
      </c>
      <c r="P103" s="158" t="s">
        <v>1363</v>
      </c>
      <c r="Q103" s="158" t="s">
        <v>1361</v>
      </c>
      <c r="R103" s="162"/>
      <c r="S103" s="157" t="str">
        <f t="shared" si="10"/>
        <v>001-502-000000228</v>
      </c>
      <c r="T103" s="163" t="s">
        <v>1628</v>
      </c>
      <c r="U103" s="164" t="s">
        <v>1613</v>
      </c>
    </row>
    <row r="104" spans="1:21" ht="20">
      <c r="A104">
        <v>99</v>
      </c>
      <c r="B104" s="156">
        <v>45764</v>
      </c>
      <c r="C104" s="157" t="s">
        <v>1166</v>
      </c>
      <c r="D104" s="157" t="s">
        <v>1610</v>
      </c>
      <c r="E104" s="158">
        <v>111000078</v>
      </c>
      <c r="F104" s="74" t="str">
        <f t="shared" si="4"/>
        <v>HLB 8400 FBK HORNO ELEC</v>
      </c>
      <c r="G104" s="157" t="s">
        <v>1618</v>
      </c>
      <c r="H104" s="158" t="s">
        <v>23</v>
      </c>
      <c r="I104" s="158" t="s">
        <v>1361</v>
      </c>
      <c r="J104" s="158" t="s">
        <v>1362</v>
      </c>
      <c r="K104" s="159">
        <v>45854</v>
      </c>
      <c r="L104" s="160" t="s">
        <v>1612</v>
      </c>
      <c r="M104" s="160" t="s">
        <v>1046</v>
      </c>
      <c r="N104" s="157">
        <v>984881496</v>
      </c>
      <c r="O104" s="161">
        <v>15</v>
      </c>
      <c r="P104" s="158" t="s">
        <v>1363</v>
      </c>
      <c r="Q104" s="158" t="s">
        <v>1361</v>
      </c>
      <c r="R104" s="162"/>
      <c r="S104" s="157" t="str">
        <f t="shared" si="10"/>
        <v>001-502-000000228</v>
      </c>
      <c r="T104" s="163" t="s">
        <v>1628</v>
      </c>
      <c r="U104" s="164" t="s">
        <v>1613</v>
      </c>
    </row>
    <row r="105" spans="1:21" ht="20">
      <c r="A105">
        <v>100</v>
      </c>
      <c r="B105" s="156">
        <v>45764</v>
      </c>
      <c r="C105" s="157" t="s">
        <v>1166</v>
      </c>
      <c r="D105" s="157" t="s">
        <v>1610</v>
      </c>
      <c r="E105" s="158">
        <v>40782127</v>
      </c>
      <c r="F105" s="74" t="str">
        <f t="shared" si="4"/>
        <v>DW8 57 FIM PANELABLE LAVAVAJILLAS</v>
      </c>
      <c r="G105" s="157" t="s">
        <v>1619</v>
      </c>
      <c r="H105" s="158" t="s">
        <v>23</v>
      </c>
      <c r="I105" s="158" t="s">
        <v>1361</v>
      </c>
      <c r="J105" s="158" t="s">
        <v>1362</v>
      </c>
      <c r="K105" s="159">
        <v>45854</v>
      </c>
      <c r="L105" s="160" t="s">
        <v>1612</v>
      </c>
      <c r="M105" s="160" t="s">
        <v>1046</v>
      </c>
      <c r="N105" s="157">
        <v>984881496</v>
      </c>
      <c r="O105" s="161">
        <v>15</v>
      </c>
      <c r="P105" s="158" t="s">
        <v>1363</v>
      </c>
      <c r="Q105" s="158" t="s">
        <v>1361</v>
      </c>
      <c r="R105" s="162"/>
      <c r="S105" s="157" t="str">
        <f t="shared" si="10"/>
        <v>001-502-000000228</v>
      </c>
      <c r="T105" s="163" t="s">
        <v>1628</v>
      </c>
      <c r="U105" s="164" t="s">
        <v>1613</v>
      </c>
    </row>
    <row r="106" spans="1:21" ht="20">
      <c r="A106">
        <v>101</v>
      </c>
      <c r="B106" s="156">
        <v>45764</v>
      </c>
      <c r="C106" s="157" t="s">
        <v>1173</v>
      </c>
      <c r="D106" s="157" t="s">
        <v>1616</v>
      </c>
      <c r="E106" s="158">
        <v>40446712</v>
      </c>
      <c r="F106" s="74" t="str">
        <f t="shared" si="4"/>
        <v>GFH 73 INOX CAMPANA (110V-60HZ) C/KIT</v>
      </c>
      <c r="G106" s="157" t="s">
        <v>1620</v>
      </c>
      <c r="H106" s="158" t="s">
        <v>23</v>
      </c>
      <c r="I106" s="158" t="s">
        <v>1361</v>
      </c>
      <c r="J106" s="158" t="s">
        <v>1362</v>
      </c>
      <c r="K106" s="159">
        <v>45854</v>
      </c>
      <c r="L106" s="160" t="s">
        <v>1612</v>
      </c>
      <c r="M106" s="160" t="s">
        <v>1046</v>
      </c>
      <c r="N106" s="157">
        <v>984881496</v>
      </c>
      <c r="O106" s="161">
        <v>15</v>
      </c>
      <c r="P106" s="158" t="s">
        <v>1363</v>
      </c>
      <c r="Q106" s="158" t="s">
        <v>1361</v>
      </c>
      <c r="R106" s="162"/>
      <c r="S106" s="157" t="str">
        <f t="shared" si="10"/>
        <v>043-502-000074746</v>
      </c>
      <c r="T106" s="163" t="s">
        <v>1628</v>
      </c>
      <c r="U106" s="164" t="s">
        <v>1613</v>
      </c>
    </row>
    <row r="107" spans="1:21" ht="20">
      <c r="A107">
        <v>102</v>
      </c>
      <c r="B107" s="156">
        <v>45764</v>
      </c>
      <c r="C107" s="157" t="s">
        <v>1166</v>
      </c>
      <c r="D107" s="157" t="s">
        <v>1610</v>
      </c>
      <c r="E107" s="158">
        <v>113430051</v>
      </c>
      <c r="F107" s="74" t="str">
        <f t="shared" si="4"/>
        <v>RMF 77960 GBK MX REFRIGERADORA</v>
      </c>
      <c r="G107" s="157" t="s">
        <v>1621</v>
      </c>
      <c r="H107" s="158" t="s">
        <v>23</v>
      </c>
      <c r="I107" s="158" t="s">
        <v>1361</v>
      </c>
      <c r="J107" s="158" t="s">
        <v>1362</v>
      </c>
      <c r="K107" s="159">
        <v>45854</v>
      </c>
      <c r="L107" s="160" t="s">
        <v>1612</v>
      </c>
      <c r="M107" s="160" t="s">
        <v>1046</v>
      </c>
      <c r="N107" s="157">
        <v>984881496</v>
      </c>
      <c r="O107" s="161">
        <v>15</v>
      </c>
      <c r="P107" s="158" t="s">
        <v>1363</v>
      </c>
      <c r="Q107" s="158" t="s">
        <v>1361</v>
      </c>
      <c r="R107" s="162"/>
      <c r="S107" s="157" t="str">
        <f t="shared" si="10"/>
        <v>001-502-000000228</v>
      </c>
      <c r="T107" s="163" t="s">
        <v>1628</v>
      </c>
      <c r="U107" s="164" t="s">
        <v>1613</v>
      </c>
    </row>
    <row r="108" spans="1:21" ht="20">
      <c r="A108">
        <v>103</v>
      </c>
      <c r="B108" s="156">
        <v>45769</v>
      </c>
      <c r="C108" s="157" t="s">
        <v>1166</v>
      </c>
      <c r="D108" s="157" t="s">
        <v>1622</v>
      </c>
      <c r="E108" s="158">
        <v>112580058</v>
      </c>
      <c r="F108" s="74" t="str">
        <f t="shared" si="4"/>
        <v>GBC 95030 KBB BK COCINA GAS</v>
      </c>
      <c r="G108" s="157" t="s">
        <v>1623</v>
      </c>
      <c r="H108" s="158" t="s">
        <v>23</v>
      </c>
      <c r="I108" s="158" t="s">
        <v>1361</v>
      </c>
      <c r="J108" s="158" t="s">
        <v>1362</v>
      </c>
      <c r="K108" s="159">
        <v>45855</v>
      </c>
      <c r="L108" s="160" t="s">
        <v>1626</v>
      </c>
      <c r="M108" s="160" t="s">
        <v>1627</v>
      </c>
      <c r="N108" s="157">
        <v>72818600</v>
      </c>
      <c r="O108" s="161">
        <v>15</v>
      </c>
      <c r="P108" s="158" t="s">
        <v>1363</v>
      </c>
      <c r="Q108" s="158" t="s">
        <v>1361</v>
      </c>
      <c r="R108" s="162"/>
      <c r="S108" s="157" t="str">
        <f t="shared" si="5"/>
        <v>001-500-000072652</v>
      </c>
      <c r="T108" s="163">
        <v>101298701</v>
      </c>
      <c r="U108" s="164" t="s">
        <v>1629</v>
      </c>
    </row>
    <row r="109" spans="1:21" ht="20">
      <c r="A109">
        <v>104</v>
      </c>
      <c r="B109" s="156">
        <v>45769</v>
      </c>
      <c r="C109" s="157" t="s">
        <v>1166</v>
      </c>
      <c r="D109" s="157" t="s">
        <v>1622</v>
      </c>
      <c r="E109" s="158">
        <v>112030019</v>
      </c>
      <c r="F109" s="74" t="str">
        <f t="shared" si="4"/>
        <v>ML 8220 BIS FBK- MICROONDAS</v>
      </c>
      <c r="G109" s="157" t="s">
        <v>1624</v>
      </c>
      <c r="H109" s="158" t="s">
        <v>23</v>
      </c>
      <c r="I109" s="158" t="s">
        <v>1361</v>
      </c>
      <c r="J109" s="158" t="s">
        <v>1362</v>
      </c>
      <c r="K109" s="159">
        <v>45855</v>
      </c>
      <c r="L109" s="160" t="s">
        <v>1626</v>
      </c>
      <c r="M109" s="160" t="s">
        <v>1627</v>
      </c>
      <c r="N109" s="157">
        <v>72818600</v>
      </c>
      <c r="O109" s="161">
        <v>15</v>
      </c>
      <c r="P109" s="158" t="s">
        <v>1363</v>
      </c>
      <c r="Q109" s="158" t="s">
        <v>1361</v>
      </c>
      <c r="R109" s="162"/>
      <c r="S109" s="157" t="str">
        <f t="shared" ref="S109:S110" si="11">D109</f>
        <v>001-500-000072652</v>
      </c>
      <c r="T109" s="163">
        <v>101298701</v>
      </c>
      <c r="U109" s="164" t="s">
        <v>1629</v>
      </c>
    </row>
    <row r="110" spans="1:21" ht="20">
      <c r="A110">
        <v>105</v>
      </c>
      <c r="B110" s="156">
        <v>45769</v>
      </c>
      <c r="C110" s="157" t="s">
        <v>1166</v>
      </c>
      <c r="D110" s="157" t="s">
        <v>1622</v>
      </c>
      <c r="E110" s="158">
        <v>111000051</v>
      </c>
      <c r="F110" s="74" t="str">
        <f t="shared" si="4"/>
        <v>HLB 8416 "AIR FRY" - HORNO ELEC</v>
      </c>
      <c r="G110" s="157" t="s">
        <v>1625</v>
      </c>
      <c r="H110" s="158" t="s">
        <v>23</v>
      </c>
      <c r="I110" s="158" t="s">
        <v>1361</v>
      </c>
      <c r="J110" s="158" t="s">
        <v>1362</v>
      </c>
      <c r="K110" s="159">
        <v>45855</v>
      </c>
      <c r="L110" s="160" t="s">
        <v>1626</v>
      </c>
      <c r="M110" s="160" t="s">
        <v>1627</v>
      </c>
      <c r="N110" s="157">
        <v>72818600</v>
      </c>
      <c r="O110" s="161">
        <v>15</v>
      </c>
      <c r="P110" s="158" t="s">
        <v>1363</v>
      </c>
      <c r="Q110" s="158" t="s">
        <v>1361</v>
      </c>
      <c r="R110" s="162"/>
      <c r="S110" s="157" t="str">
        <f t="shared" si="11"/>
        <v>001-500-000072652</v>
      </c>
      <c r="T110" s="163">
        <v>101298701</v>
      </c>
      <c r="U110" s="164" t="s">
        <v>1629</v>
      </c>
    </row>
    <row r="111" spans="1:21" ht="20">
      <c r="A111">
        <v>106</v>
      </c>
      <c r="B111" s="156">
        <v>45779</v>
      </c>
      <c r="C111" s="157" t="s">
        <v>1300</v>
      </c>
      <c r="D111" s="157" t="s">
        <v>1630</v>
      </c>
      <c r="E111" s="158">
        <v>112950021</v>
      </c>
      <c r="F111" s="74" t="str">
        <f t="shared" si="4"/>
        <v>DVN 94030 TCL BK CAMPANA (110V-60HZ) C/KIT</v>
      </c>
      <c r="G111" s="157" t="s">
        <v>1631</v>
      </c>
      <c r="H111" s="158" t="s">
        <v>23</v>
      </c>
      <c r="I111" s="158" t="s">
        <v>1361</v>
      </c>
      <c r="J111" s="158" t="s">
        <v>1362</v>
      </c>
      <c r="K111" s="159">
        <v>45856</v>
      </c>
      <c r="L111" s="160" t="s">
        <v>1637</v>
      </c>
      <c r="M111" s="160" t="s">
        <v>1638</v>
      </c>
      <c r="N111" s="157">
        <v>999745484</v>
      </c>
      <c r="O111" s="161">
        <v>15</v>
      </c>
      <c r="P111" s="158" t="s">
        <v>1363</v>
      </c>
      <c r="Q111" s="158" t="s">
        <v>1361</v>
      </c>
      <c r="R111" s="162"/>
      <c r="S111" s="157" t="str">
        <f>D111</f>
        <v>001-500-000072960</v>
      </c>
      <c r="T111" s="163">
        <v>101795144</v>
      </c>
      <c r="U111" s="164" t="s">
        <v>1639</v>
      </c>
    </row>
    <row r="112" spans="1:21" ht="20">
      <c r="A112">
        <v>107</v>
      </c>
      <c r="B112" s="156">
        <v>45779</v>
      </c>
      <c r="C112" s="157" t="s">
        <v>1300</v>
      </c>
      <c r="D112" s="157" t="s">
        <v>1630</v>
      </c>
      <c r="E112" s="158">
        <v>111000078</v>
      </c>
      <c r="F112" s="74" t="str">
        <f t="shared" si="4"/>
        <v>HLB 8400 FBK HORNO ELEC</v>
      </c>
      <c r="G112" s="157" t="s">
        <v>1632</v>
      </c>
      <c r="H112" s="158" t="s">
        <v>23</v>
      </c>
      <c r="I112" s="158" t="s">
        <v>1361</v>
      </c>
      <c r="J112" s="158" t="s">
        <v>1362</v>
      </c>
      <c r="K112" s="159">
        <v>45856</v>
      </c>
      <c r="L112" s="160" t="s">
        <v>1637</v>
      </c>
      <c r="M112" s="160" t="s">
        <v>1638</v>
      </c>
      <c r="N112" s="157">
        <v>999745484</v>
      </c>
      <c r="O112" s="161">
        <v>15</v>
      </c>
      <c r="P112" s="158" t="s">
        <v>1363</v>
      </c>
      <c r="Q112" s="158" t="s">
        <v>1361</v>
      </c>
      <c r="R112" s="162"/>
      <c r="S112" s="157" t="str">
        <f t="shared" ref="S112:S116" si="12">D112</f>
        <v>001-500-000072960</v>
      </c>
      <c r="T112" s="163">
        <v>101795144</v>
      </c>
      <c r="U112" s="164" t="s">
        <v>1639</v>
      </c>
    </row>
    <row r="113" spans="1:21" ht="20">
      <c r="A113">
        <v>108</v>
      </c>
      <c r="B113" s="156">
        <v>45779</v>
      </c>
      <c r="C113" s="157" t="s">
        <v>1300</v>
      </c>
      <c r="D113" s="157" t="s">
        <v>1630</v>
      </c>
      <c r="E113" s="158">
        <v>112030019</v>
      </c>
      <c r="F113" s="74" t="str">
        <f t="shared" ref="F113:F116" si="13">VLOOKUP(E113,PROD,2,FALSE)</f>
        <v>ML 8220 BIS FBK- MICROONDAS</v>
      </c>
      <c r="G113" s="157" t="s">
        <v>1633</v>
      </c>
      <c r="H113" s="158" t="s">
        <v>23</v>
      </c>
      <c r="I113" s="158" t="s">
        <v>1361</v>
      </c>
      <c r="J113" s="158" t="s">
        <v>1362</v>
      </c>
      <c r="K113" s="159">
        <v>45856</v>
      </c>
      <c r="L113" s="160" t="s">
        <v>1637</v>
      </c>
      <c r="M113" s="160" t="s">
        <v>1638</v>
      </c>
      <c r="N113" s="157">
        <v>999745484</v>
      </c>
      <c r="O113" s="161">
        <v>15</v>
      </c>
      <c r="P113" s="158" t="s">
        <v>1363</v>
      </c>
      <c r="Q113" s="158" t="s">
        <v>1361</v>
      </c>
      <c r="R113" s="162"/>
      <c r="S113" s="157" t="str">
        <f t="shared" si="12"/>
        <v>001-500-000072960</v>
      </c>
      <c r="T113" s="163">
        <v>101795144</v>
      </c>
      <c r="U113" s="164" t="s">
        <v>1639</v>
      </c>
    </row>
    <row r="114" spans="1:21" ht="20">
      <c r="A114">
        <v>109</v>
      </c>
      <c r="B114" s="156">
        <v>45779</v>
      </c>
      <c r="C114" s="157" t="s">
        <v>1300</v>
      </c>
      <c r="D114" s="157" t="s">
        <v>1630</v>
      </c>
      <c r="E114" s="158">
        <v>40782127</v>
      </c>
      <c r="F114" s="74" t="str">
        <f t="shared" si="13"/>
        <v>DW8 57 FIM PANELABLE LAVAVAJILLAS</v>
      </c>
      <c r="G114" s="157" t="s">
        <v>1634</v>
      </c>
      <c r="H114" s="158" t="s">
        <v>23</v>
      </c>
      <c r="I114" s="158" t="s">
        <v>1361</v>
      </c>
      <c r="J114" s="158" t="s">
        <v>1362</v>
      </c>
      <c r="K114" s="159">
        <v>45856</v>
      </c>
      <c r="L114" s="160" t="s">
        <v>1637</v>
      </c>
      <c r="M114" s="160" t="s">
        <v>1638</v>
      </c>
      <c r="N114" s="157">
        <v>999745484</v>
      </c>
      <c r="O114" s="161">
        <v>15</v>
      </c>
      <c r="P114" s="158" t="s">
        <v>1363</v>
      </c>
      <c r="Q114" s="158" t="s">
        <v>1361</v>
      </c>
      <c r="R114" s="162"/>
      <c r="S114" s="157" t="str">
        <f t="shared" si="12"/>
        <v>001-500-000072960</v>
      </c>
      <c r="T114" s="163">
        <v>101795144</v>
      </c>
      <c r="U114" s="164" t="s">
        <v>1639</v>
      </c>
    </row>
    <row r="115" spans="1:21" ht="20">
      <c r="A115">
        <v>110</v>
      </c>
      <c r="B115" s="156">
        <v>45779</v>
      </c>
      <c r="C115" s="157" t="s">
        <v>1300</v>
      </c>
      <c r="D115" s="157" t="s">
        <v>1630</v>
      </c>
      <c r="E115" s="158">
        <v>112580058</v>
      </c>
      <c r="F115" s="74" t="str">
        <f t="shared" si="13"/>
        <v>GBC 95030 KBB BK COCINA GAS</v>
      </c>
      <c r="G115" s="188" t="s">
        <v>1635</v>
      </c>
      <c r="H115" s="189" t="s">
        <v>23</v>
      </c>
      <c r="I115" s="189" t="s">
        <v>1361</v>
      </c>
      <c r="J115" s="189" t="s">
        <v>1362</v>
      </c>
      <c r="K115" s="159">
        <v>45856</v>
      </c>
      <c r="L115" s="160" t="s">
        <v>1637</v>
      </c>
      <c r="M115" s="160" t="s">
        <v>1638</v>
      </c>
      <c r="N115" s="157">
        <v>999745484</v>
      </c>
      <c r="O115" s="161">
        <v>15</v>
      </c>
      <c r="P115" s="158" t="s">
        <v>1363</v>
      </c>
      <c r="Q115" s="158" t="s">
        <v>1361</v>
      </c>
      <c r="R115" s="162"/>
      <c r="S115" s="157" t="str">
        <f t="shared" si="12"/>
        <v>001-500-000072960</v>
      </c>
      <c r="T115" s="163">
        <v>101795144</v>
      </c>
      <c r="U115" s="164" t="s">
        <v>1639</v>
      </c>
    </row>
    <row r="116" spans="1:21" ht="20">
      <c r="A116">
        <v>111</v>
      </c>
      <c r="B116" s="156">
        <v>45779</v>
      </c>
      <c r="C116" s="157" t="s">
        <v>1300</v>
      </c>
      <c r="D116" s="157" t="s">
        <v>1630</v>
      </c>
      <c r="E116" s="158">
        <v>113430051</v>
      </c>
      <c r="F116" s="74" t="str">
        <f t="shared" si="13"/>
        <v>RMF 77960 GBK MX REFRIGERADORA</v>
      </c>
      <c r="G116" s="157" t="s">
        <v>1636</v>
      </c>
      <c r="H116" s="158" t="s">
        <v>23</v>
      </c>
      <c r="I116" s="158" t="s">
        <v>1361</v>
      </c>
      <c r="J116" s="158" t="s">
        <v>1362</v>
      </c>
      <c r="K116" s="159">
        <v>45856</v>
      </c>
      <c r="L116" s="160" t="s">
        <v>1637</v>
      </c>
      <c r="M116" s="160" t="s">
        <v>1638</v>
      </c>
      <c r="N116" s="157">
        <v>999745484</v>
      </c>
      <c r="O116" s="161">
        <v>15</v>
      </c>
      <c r="P116" s="158" t="s">
        <v>1363</v>
      </c>
      <c r="Q116" s="158" t="s">
        <v>1361</v>
      </c>
      <c r="R116" s="162"/>
      <c r="S116" s="157" t="str">
        <f t="shared" si="12"/>
        <v>001-500-000072960</v>
      </c>
      <c r="T116" s="163">
        <v>101795144</v>
      </c>
      <c r="U116" s="164" t="s">
        <v>1639</v>
      </c>
    </row>
    <row r="117" spans="1:21" ht="20">
      <c r="A117">
        <v>112</v>
      </c>
      <c r="B117" s="156">
        <v>45825</v>
      </c>
      <c r="C117" s="157" t="s">
        <v>1186</v>
      </c>
      <c r="D117" s="157" t="s">
        <v>1655</v>
      </c>
      <c r="E117" s="158">
        <v>112500047</v>
      </c>
      <c r="F117" s="74" t="str">
        <f t="shared" ref="F117:F120" si="14">VLOOKUP(E117,PROD,2,FALSE)</f>
        <v>IZF 99700 MST COCINA INDUCCION</v>
      </c>
      <c r="G117" s="157" t="s">
        <v>1657</v>
      </c>
      <c r="H117" s="158" t="s">
        <v>23</v>
      </c>
      <c r="I117" s="158" t="s">
        <v>1361</v>
      </c>
      <c r="J117" s="158" t="s">
        <v>1362</v>
      </c>
      <c r="K117" s="159">
        <v>45856</v>
      </c>
      <c r="L117" s="160" t="s">
        <v>1661</v>
      </c>
      <c r="M117" s="160" t="s">
        <v>1662</v>
      </c>
      <c r="N117" s="157">
        <v>997803227</v>
      </c>
      <c r="O117" s="161">
        <v>15</v>
      </c>
      <c r="P117" s="158" t="s">
        <v>1363</v>
      </c>
      <c r="Q117" s="158" t="s">
        <v>1361</v>
      </c>
      <c r="R117" s="162"/>
      <c r="S117" s="157" t="str">
        <f t="shared" ref="S117" si="15">D117</f>
        <v>006-002-000158156</v>
      </c>
      <c r="T117" s="165" t="s">
        <v>1663</v>
      </c>
      <c r="U117" s="164" t="s">
        <v>1664</v>
      </c>
    </row>
    <row r="118" spans="1:21" ht="20">
      <c r="A118">
        <v>113</v>
      </c>
      <c r="B118" s="156">
        <v>45825</v>
      </c>
      <c r="C118" s="157" t="s">
        <v>1186</v>
      </c>
      <c r="D118" s="157" t="s">
        <v>1655</v>
      </c>
      <c r="E118" s="158">
        <v>112950021</v>
      </c>
      <c r="F118" s="74" t="str">
        <f t="shared" si="14"/>
        <v>DVN 94030 TCL BK CAMPANA (110V-60HZ) C/KIT</v>
      </c>
      <c r="G118" s="157" t="s">
        <v>1658</v>
      </c>
      <c r="H118" s="158" t="s">
        <v>23</v>
      </c>
      <c r="I118" s="158" t="s">
        <v>1361</v>
      </c>
      <c r="J118" s="158" t="s">
        <v>1362</v>
      </c>
      <c r="K118" s="159">
        <v>45856</v>
      </c>
      <c r="L118" s="160" t="s">
        <v>1661</v>
      </c>
      <c r="M118" s="160" t="s">
        <v>1662</v>
      </c>
      <c r="N118" s="157">
        <v>997803227</v>
      </c>
      <c r="O118" s="161">
        <v>15</v>
      </c>
      <c r="P118" s="158" t="s">
        <v>1363</v>
      </c>
      <c r="Q118" s="158" t="s">
        <v>1361</v>
      </c>
      <c r="R118" s="162"/>
      <c r="S118" s="157" t="str">
        <f t="shared" ref="S118:S120" si="16">D118</f>
        <v>006-002-000158156</v>
      </c>
      <c r="T118" s="165" t="s">
        <v>1663</v>
      </c>
      <c r="U118" s="164" t="s">
        <v>1664</v>
      </c>
    </row>
    <row r="119" spans="1:21" ht="20">
      <c r="A119">
        <v>114</v>
      </c>
      <c r="B119" s="156">
        <v>45825</v>
      </c>
      <c r="C119" s="157" t="s">
        <v>1152</v>
      </c>
      <c r="D119" s="157" t="s">
        <v>1656</v>
      </c>
      <c r="E119" s="158">
        <v>114270008</v>
      </c>
      <c r="F119" s="74" t="str">
        <f t="shared" si="14"/>
        <v>LAVAVAJILLAS DFI 46900 120 60 WH</v>
      </c>
      <c r="G119" s="188" t="s">
        <v>1659</v>
      </c>
      <c r="H119" s="189" t="s">
        <v>23</v>
      </c>
      <c r="I119" s="189" t="s">
        <v>1361</v>
      </c>
      <c r="J119" s="189" t="s">
        <v>1362</v>
      </c>
      <c r="K119" s="159">
        <v>45856</v>
      </c>
      <c r="L119" s="160" t="s">
        <v>1661</v>
      </c>
      <c r="M119" s="160" t="s">
        <v>1662</v>
      </c>
      <c r="N119" s="157">
        <v>997803227</v>
      </c>
      <c r="O119" s="161">
        <v>15</v>
      </c>
      <c r="P119" s="158" t="s">
        <v>1363</v>
      </c>
      <c r="Q119" s="158" t="s">
        <v>1361</v>
      </c>
      <c r="R119" s="162"/>
      <c r="S119" s="157" t="str">
        <f t="shared" si="16"/>
        <v>040-103--000014153</v>
      </c>
      <c r="T119" s="165" t="s">
        <v>1663</v>
      </c>
      <c r="U119" s="164" t="s">
        <v>1664</v>
      </c>
    </row>
    <row r="120" spans="1:21" ht="20">
      <c r="A120">
        <v>115</v>
      </c>
      <c r="B120" s="156">
        <v>45825</v>
      </c>
      <c r="C120" s="157" t="s">
        <v>1152</v>
      </c>
      <c r="D120" s="157" t="s">
        <v>1656</v>
      </c>
      <c r="E120" s="158">
        <v>111000051</v>
      </c>
      <c r="F120" s="74" t="str">
        <f t="shared" si="14"/>
        <v>HLB 8416 "AIR FRY" - HORNO ELEC</v>
      </c>
      <c r="G120" s="157" t="s">
        <v>1660</v>
      </c>
      <c r="H120" s="158" t="s">
        <v>23</v>
      </c>
      <c r="I120" s="158" t="s">
        <v>1361</v>
      </c>
      <c r="J120" s="158" t="s">
        <v>1362</v>
      </c>
      <c r="K120" s="159">
        <v>45856</v>
      </c>
      <c r="L120" s="160" t="s">
        <v>1661</v>
      </c>
      <c r="M120" s="160" t="s">
        <v>1662</v>
      </c>
      <c r="N120" s="157">
        <v>997803227</v>
      </c>
      <c r="O120" s="161">
        <v>15</v>
      </c>
      <c r="P120" s="158" t="s">
        <v>1363</v>
      </c>
      <c r="Q120" s="158" t="s">
        <v>1361</v>
      </c>
      <c r="R120" s="162"/>
      <c r="S120" s="157" t="str">
        <f t="shared" si="16"/>
        <v>040-103--000014153</v>
      </c>
      <c r="T120" s="165" t="s">
        <v>1663</v>
      </c>
      <c r="U120" s="164" t="s">
        <v>1664</v>
      </c>
    </row>
    <row r="124" spans="1:21">
      <c r="O124" s="167">
        <f>SUM(O6:O123)</f>
        <v>2005</v>
      </c>
    </row>
    <row r="129" spans="5:8" ht="20">
      <c r="E129" s="4">
        <v>4</v>
      </c>
      <c r="F129" s="4" t="s">
        <v>997</v>
      </c>
      <c r="G129" s="4">
        <v>30</v>
      </c>
      <c r="H129" s="4">
        <f>E129*G129</f>
        <v>120</v>
      </c>
    </row>
    <row r="130" spans="5:8" ht="20">
      <c r="E130" s="4">
        <v>44</v>
      </c>
      <c r="F130" s="4" t="s">
        <v>997</v>
      </c>
      <c r="G130" s="4">
        <v>20</v>
      </c>
      <c r="H130" s="4">
        <f>E130*G130</f>
        <v>880</v>
      </c>
    </row>
    <row r="131" spans="5:8" ht="20">
      <c r="E131" s="4">
        <v>67</v>
      </c>
      <c r="F131" s="4" t="s">
        <v>997</v>
      </c>
      <c r="G131" s="4">
        <v>15</v>
      </c>
      <c r="H131" s="4">
        <f>E131*G131</f>
        <v>1005</v>
      </c>
    </row>
    <row r="133" spans="5:8" ht="20">
      <c r="E133" s="4">
        <f>SUM(E129:E131)</f>
        <v>115</v>
      </c>
      <c r="F133" s="4"/>
      <c r="G133" s="4"/>
      <c r="H133" s="4">
        <f>SUM(H129:H131)</f>
        <v>2005</v>
      </c>
    </row>
  </sheetData>
  <hyperlinks>
    <hyperlink ref="U6" r:id="rId1" xr:uid="{FD2CE827-B858-E644-934D-777EE52CAD7B}"/>
    <hyperlink ref="U7" r:id="rId2" xr:uid="{FAA6CAAD-12E2-B74F-951F-B86A322A7A91}"/>
    <hyperlink ref="U8" r:id="rId3" xr:uid="{30FC9CFB-FA98-D645-AFAE-D2E4EC63702A}"/>
    <hyperlink ref="U9" r:id="rId4" xr:uid="{62633AD3-EAC2-184E-B583-CC85724E2C75}"/>
    <hyperlink ref="U10" r:id="rId5" xr:uid="{2FD1CD0E-8AFB-B84B-BB7A-76A554FBBF65}"/>
    <hyperlink ref="U11" r:id="rId6" xr:uid="{08605E1F-21B7-3F47-BF86-72F7042A5181}"/>
    <hyperlink ref="U12" r:id="rId7" xr:uid="{83C0AF9A-60FC-4C43-92B7-E3953BE84E94}"/>
    <hyperlink ref="U13" r:id="rId8" xr:uid="{D548257E-8AF0-5549-962B-E79D6EAEAA9E}"/>
    <hyperlink ref="U14" r:id="rId9" xr:uid="{B3C0E671-DF32-5849-B103-FAC29FA16BF1}"/>
    <hyperlink ref="U15" r:id="rId10" xr:uid="{61C70BC4-2528-ED44-992C-1D90B22110A8}"/>
    <hyperlink ref="U16" r:id="rId11" xr:uid="{D3917222-5A16-9F4E-8A44-5E0D888C2C5C}"/>
    <hyperlink ref="U17" r:id="rId12" xr:uid="{7D3DBAAE-B585-FE47-896D-D588113C52E8}"/>
    <hyperlink ref="U18" r:id="rId13" xr:uid="{43B02E5C-E5C7-2243-BDB6-A7F59C25784C}"/>
    <hyperlink ref="U19" r:id="rId14" xr:uid="{F0C265C4-21FA-7040-9565-003EA255DBE0}"/>
    <hyperlink ref="U20" r:id="rId15" xr:uid="{C56035F6-E8FC-4D47-A74D-6ABE897AD84E}"/>
    <hyperlink ref="U21" r:id="rId16" xr:uid="{24183E76-6888-D74B-A27C-FF93C0138337}"/>
    <hyperlink ref="U22" r:id="rId17" xr:uid="{0E223D7A-FE01-E744-8855-1A78ACBA70B0}"/>
    <hyperlink ref="U23" r:id="rId18" xr:uid="{A9F22676-12CB-2947-AFF1-DA52CB7A8E9A}"/>
    <hyperlink ref="U24" r:id="rId19" xr:uid="{D66F9DB4-BC59-ED47-B093-F9B1FE1C4075}"/>
    <hyperlink ref="U25" r:id="rId20" xr:uid="{B8ECEAF2-DA44-9C47-8976-8183AB270B66}"/>
    <hyperlink ref="U26" r:id="rId21" xr:uid="{FA815EA3-DA04-F74E-8EAC-4E2B3BB54B8B}"/>
    <hyperlink ref="U27" r:id="rId22" xr:uid="{978BCBFD-73A5-F44D-9A2F-CE8549410B02}"/>
    <hyperlink ref="U28" r:id="rId23" xr:uid="{B577F378-A8CF-7A4C-BCDD-977179E9B751}"/>
    <hyperlink ref="U29" r:id="rId24" xr:uid="{B0656C8C-AA4C-2D48-B84D-BE2BDBF3BFED}"/>
    <hyperlink ref="U30" r:id="rId25" xr:uid="{1A4C00CD-336F-7A43-9340-35DAAADBD587}"/>
    <hyperlink ref="U31" r:id="rId26" xr:uid="{D6449196-BF43-2143-9360-DAEFC7B388CD}"/>
    <hyperlink ref="U32" r:id="rId27" xr:uid="{B15D861D-4033-0445-BC91-B779D4F86FB5}"/>
    <hyperlink ref="U33" r:id="rId28" xr:uid="{60204CA2-5E4D-D342-A456-45A233E216C5}"/>
    <hyperlink ref="U34" r:id="rId29" xr:uid="{2AE3C46A-DA1F-3543-946E-A15011911BC8}"/>
    <hyperlink ref="U35" r:id="rId30" xr:uid="{5B4F6AD6-12C5-2540-BD21-2805332E9EB6}"/>
    <hyperlink ref="U36" r:id="rId31" xr:uid="{FD3A0BB9-0EA3-354E-8C48-8726E4AD6848}"/>
    <hyperlink ref="U37" r:id="rId32" xr:uid="{9005DBFD-FB6E-C14C-8F9B-EF1991F02AF3}"/>
    <hyperlink ref="U38" r:id="rId33" xr:uid="{7F4F2520-E622-6F47-94CB-B89CDD05E419}"/>
    <hyperlink ref="U39" r:id="rId34" xr:uid="{E59BED96-7E3F-4F43-B1E3-E9F7FC6BA9D0}"/>
    <hyperlink ref="U40" r:id="rId35" xr:uid="{C9C49251-8982-6C4E-9726-588C9A6E55CB}"/>
    <hyperlink ref="U41" r:id="rId36" xr:uid="{B384BFE5-7428-6643-B834-ED7DE1D0FAA6}"/>
    <hyperlink ref="U42" r:id="rId37" xr:uid="{8D760699-899C-5E48-A4FA-8FC9219B458B}"/>
    <hyperlink ref="U43" r:id="rId38" xr:uid="{6470F704-D1AE-744E-A9B5-120BC0D6A444}"/>
    <hyperlink ref="U44" r:id="rId39" xr:uid="{545BC5CF-8280-7643-BC81-5D6A4888851A}"/>
    <hyperlink ref="U45" r:id="rId40" xr:uid="{9BA20B48-DB1F-7D42-89E9-01B4F5C865F0}"/>
    <hyperlink ref="U46" r:id="rId41" xr:uid="{8AE61ADB-6818-AD49-9051-53D1E2BCB9FE}"/>
    <hyperlink ref="U47" r:id="rId42" xr:uid="{FEE89ED7-E0FD-7041-829B-50E94E1A643D}"/>
    <hyperlink ref="U48" r:id="rId43" xr:uid="{F34A8348-C2B0-EA4D-867C-718A316C3893}"/>
    <hyperlink ref="U49" r:id="rId44" xr:uid="{86748A43-CBE2-6B44-833E-DD1C6FA71575}"/>
    <hyperlink ref="U50" r:id="rId45" xr:uid="{322A54FF-9A55-0846-BBE3-1A47E943E455}"/>
    <hyperlink ref="U51" r:id="rId46" xr:uid="{DD1F88DE-8F37-E346-A217-469E2EC62621}"/>
    <hyperlink ref="U52" r:id="rId47" xr:uid="{D8247A5C-9EA6-C846-91B8-A1CAE967AB88}"/>
    <hyperlink ref="U53" r:id="rId48" xr:uid="{2361EA4A-FE69-8146-BD83-61523283906C}"/>
    <hyperlink ref="U54" r:id="rId49" xr:uid="{5D63FCBA-8BD9-C648-8522-55AFE3FE6EE6}"/>
    <hyperlink ref="U55" r:id="rId50" xr:uid="{86721A3A-69FD-3D45-BEE3-33968A68F870}"/>
    <hyperlink ref="U56" r:id="rId51" xr:uid="{776B560F-0D05-E14F-85A7-FDD3EE7B5665}"/>
    <hyperlink ref="U57" r:id="rId52" xr:uid="{B801ADE3-AF42-704F-8D19-8E1B13788E36}"/>
    <hyperlink ref="U58" r:id="rId53" xr:uid="{983317A9-071B-134B-BF4C-60F6AC174663}"/>
    <hyperlink ref="U59" r:id="rId54" xr:uid="{CFE36416-DFA6-5E4D-A3BD-777ABE4A810F}"/>
    <hyperlink ref="U60" r:id="rId55" xr:uid="{6881E371-2381-9048-A41A-2F34861E15D9}"/>
    <hyperlink ref="U61" r:id="rId56" xr:uid="{60348E8E-CDDA-2942-A5E1-16D5DCCA0C3C}"/>
    <hyperlink ref="U62" r:id="rId57" xr:uid="{ACE09663-FE0F-7947-8847-3038A28AA3CF}"/>
    <hyperlink ref="U63" r:id="rId58" xr:uid="{37CAB36E-3737-6245-B77C-24F458E82404}"/>
    <hyperlink ref="U64" r:id="rId59" xr:uid="{0FEE5A70-5B5A-6042-B19F-C8C7B3138490}"/>
    <hyperlink ref="U65" r:id="rId60" xr:uid="{BB40B40A-9DA3-B641-A5DE-4681F8D2797E}"/>
    <hyperlink ref="U66" r:id="rId61" xr:uid="{B12E24A9-81E5-A945-90ED-4AC90BB53FA0}"/>
    <hyperlink ref="U67" r:id="rId62" xr:uid="{F1DA44F2-6800-B141-8076-0AA8772E07E2}"/>
    <hyperlink ref="U68" r:id="rId63" xr:uid="{628881F1-2AFB-2048-A923-D479415F88B0}"/>
    <hyperlink ref="U69" r:id="rId64" xr:uid="{9C0118AD-8F32-EA46-B429-48F3667FF593}"/>
    <hyperlink ref="U70" r:id="rId65" xr:uid="{8FF92E9E-3B06-8546-BB09-F760B5B49C5C}"/>
    <hyperlink ref="U71" r:id="rId66" xr:uid="{7D4162FA-1BC3-2A47-9451-1288975E9582}"/>
    <hyperlink ref="U72" r:id="rId67" xr:uid="{EAF4A717-AB56-3446-B241-74F62338D270}"/>
    <hyperlink ref="U73" r:id="rId68" xr:uid="{BB09C7F9-D4F5-AE48-9B7F-C236926262A3}"/>
    <hyperlink ref="U74" r:id="rId69" xr:uid="{441514E8-903F-6547-AFBE-27F185E536C2}"/>
    <hyperlink ref="U75" r:id="rId70" xr:uid="{89072200-CB21-E147-A5B8-CFDE2A243A65}"/>
    <hyperlink ref="U76" r:id="rId71" xr:uid="{1E983010-30D7-E94D-8B0D-17BA428A05D8}"/>
    <hyperlink ref="U77" r:id="rId72" xr:uid="{0A8C5166-8992-CB4C-8E2D-0D547E6A4632}"/>
    <hyperlink ref="U78" r:id="rId73" xr:uid="{B87189C3-95F4-3B41-88BE-248C35515001}"/>
    <hyperlink ref="U79" r:id="rId74" xr:uid="{B2748CAC-4EAB-664D-9D14-1096874C0E51}"/>
    <hyperlink ref="U80" r:id="rId75" xr:uid="{58325F71-AF25-C948-BD2E-3ABC672810DC}"/>
    <hyperlink ref="U81" r:id="rId76" xr:uid="{B36B67B3-67FE-A641-975D-B932CFA411F3}"/>
    <hyperlink ref="U82" r:id="rId77" xr:uid="{2026C1D6-A401-E24C-9112-48A468091F1A}"/>
    <hyperlink ref="U83" r:id="rId78" xr:uid="{0375744A-33DC-924D-B9DE-DADD7E4DB257}"/>
    <hyperlink ref="U84" r:id="rId79" xr:uid="{F47D2CFD-FFFD-B64C-9E50-A195BAC65B3F}"/>
    <hyperlink ref="U85" r:id="rId80" xr:uid="{8699E82F-3EE4-8843-A113-2893B2161431}"/>
    <hyperlink ref="U86" r:id="rId81" xr:uid="{40C290B8-B188-3B41-8F65-BC18672F2DDD}"/>
    <hyperlink ref="U87" r:id="rId82" xr:uid="{94B548CC-C0E2-AA4D-AF9E-7170B27FF801}"/>
    <hyperlink ref="U88" r:id="rId83" xr:uid="{4FC66C03-2BB1-D240-AED8-B088ED1605FA}"/>
    <hyperlink ref="U89" r:id="rId84" xr:uid="{A62FCC2A-57B8-A448-9D2A-DB84B213347D}"/>
    <hyperlink ref="U90" r:id="rId85" xr:uid="{023C3816-F436-7F43-9769-FFF0DC2579A9}"/>
    <hyperlink ref="U91" r:id="rId86" xr:uid="{1DA9C68C-445B-3141-A264-A8AA6A3FA537}"/>
    <hyperlink ref="U92" r:id="rId87" xr:uid="{99BC8F07-0305-0C4A-A193-7B2BE1C691EC}"/>
    <hyperlink ref="U93" r:id="rId88" xr:uid="{CE2847A6-8988-2B40-81A6-1F5823ACFFD2}"/>
    <hyperlink ref="U94" r:id="rId89" xr:uid="{B4EACBEC-A88B-3447-ABB1-CB35C1D9F9E0}"/>
    <hyperlink ref="U95" r:id="rId90" xr:uid="{A7BF09B6-B647-564D-BB38-AC8A2921F764}"/>
    <hyperlink ref="U96" r:id="rId91" xr:uid="{F152AA77-8DF3-8044-885A-691EF2E35F9A}"/>
    <hyperlink ref="U97" r:id="rId92" xr:uid="{77DCA452-55DD-A84D-8DCE-1DFE08DB65B3}"/>
    <hyperlink ref="U98" r:id="rId93" xr:uid="{CB1A59E2-733C-6846-A515-05959760D27B}"/>
    <hyperlink ref="U99" r:id="rId94" xr:uid="{392E5F2B-B58A-1E42-867D-DBEC96430768}"/>
    <hyperlink ref="U100" r:id="rId95" xr:uid="{16DBFC04-7E02-C740-A7AE-5D309E507A7E}"/>
    <hyperlink ref="U101" r:id="rId96" xr:uid="{EAC762D7-853C-7B4B-85C8-9FA8A82498CA}"/>
    <hyperlink ref="U102" r:id="rId97" xr:uid="{3F401DBB-DE7F-9C4C-8546-14F61A497230}"/>
    <hyperlink ref="U103" r:id="rId98" xr:uid="{33206479-62E8-544E-92C7-6A5EF6E07932}"/>
    <hyperlink ref="U104" r:id="rId99" xr:uid="{9DBED103-B2ED-D741-BF0E-60043FCF3EF6}"/>
    <hyperlink ref="U105" r:id="rId100" xr:uid="{85FBE7FF-C2C0-B548-B93A-C37CE3BDA96A}"/>
    <hyperlink ref="U106" r:id="rId101" xr:uid="{37B7E723-B613-B04F-9ED3-22D8A2F48163}"/>
    <hyperlink ref="U107" r:id="rId102" xr:uid="{2FD7EFAB-298E-0242-907D-FC29EDC561DE}"/>
    <hyperlink ref="U108" r:id="rId103" xr:uid="{7BCBBF35-8B41-D940-9AB1-833AD98250F4}"/>
    <hyperlink ref="U109" r:id="rId104" xr:uid="{05623F22-C6A9-FB4A-9FD6-D1A141E7FA0A}"/>
    <hyperlink ref="U110" r:id="rId105" xr:uid="{F14E492B-C232-F84A-BF1A-6A284D5D4CDC}"/>
    <hyperlink ref="U111" r:id="rId106" xr:uid="{C1631F45-3B11-8C40-9A6B-DFB8E021E92C}"/>
    <hyperlink ref="U112" r:id="rId107" xr:uid="{C4CA5178-608E-214F-9807-CD18EF4B72A1}"/>
    <hyperlink ref="U113" r:id="rId108" xr:uid="{42A66F95-AF87-0240-8B06-60ED262873C1}"/>
    <hyperlink ref="U114" r:id="rId109" xr:uid="{19D889D1-4D33-8641-9847-9BCB47842623}"/>
    <hyperlink ref="U115" r:id="rId110" xr:uid="{B941CBE7-5ECD-7749-8F8C-66EFF45CDABE}"/>
    <hyperlink ref="U116" r:id="rId111" xr:uid="{0A5C7E1B-0DC7-B34C-B385-67D5D7566589}"/>
    <hyperlink ref="U117" r:id="rId112" xr:uid="{6F188816-4397-534A-A0F8-362C9EF516AC}"/>
    <hyperlink ref="U118" r:id="rId113" xr:uid="{28E0AE6A-9193-0D4D-93C5-3AFCF6A99995}"/>
    <hyperlink ref="U119" r:id="rId114" xr:uid="{A91136D0-7B30-2F4D-832F-6E445C93759B}"/>
    <hyperlink ref="U120" r:id="rId115" xr:uid="{4FA507CA-DA0C-ED44-A072-87EEA4F91663}"/>
  </hyperlinks>
  <pageMargins left="0.7" right="0.7" top="0.75" bottom="0.75" header="0.3" footer="0.3"/>
  <ignoredErrors>
    <ignoredError sqref="T101:T107" numberStoredAsText="1"/>
  </ignoredErrors>
  <drawing r:id="rId1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BD57-2936-4228-B239-D2DBE3128350}">
  <dimension ref="A2:U16"/>
  <sheetViews>
    <sheetView workbookViewId="0">
      <selection activeCell="F29" sqref="F29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2.6640625" customWidth="1"/>
    <col min="5" max="5" width="16.5" customWidth="1"/>
    <col min="6" max="6" width="36" customWidth="1"/>
    <col min="7" max="7" width="17.33203125" bestFit="1" customWidth="1"/>
    <col min="10" max="10" width="10.1640625" customWidth="1"/>
    <col min="11" max="11" width="12.33203125" customWidth="1"/>
    <col min="12" max="12" width="28.5" customWidth="1"/>
    <col min="13" max="13" width="25.83203125" customWidth="1"/>
    <col min="16" max="16" width="25.6640625" customWidth="1"/>
    <col min="17" max="17" width="12.33203125" customWidth="1"/>
    <col min="18" max="18" width="10.83203125" customWidth="1"/>
    <col min="19" max="19" width="23.6640625" customWidth="1"/>
    <col min="20" max="20" width="22" customWidth="1"/>
    <col min="21" max="21" width="30.5" customWidth="1"/>
  </cols>
  <sheetData>
    <row r="2" spans="1:21" ht="18"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1" ht="18">
      <c r="A3" s="75"/>
      <c r="B3" s="76"/>
      <c r="C3" s="77" t="s">
        <v>988</v>
      </c>
      <c r="D3" s="78"/>
      <c r="E3" s="79"/>
      <c r="F3" s="78"/>
      <c r="G3" s="80"/>
      <c r="H3" s="78"/>
      <c r="I3" s="78"/>
      <c r="J3" s="78"/>
      <c r="K3" s="81"/>
      <c r="L3" s="81"/>
      <c r="M3" s="78"/>
      <c r="N3" s="78"/>
      <c r="O3" s="82"/>
      <c r="P3" s="78"/>
      <c r="Q3" s="78"/>
      <c r="R3" s="78"/>
      <c r="S3" s="78"/>
      <c r="T3" s="78"/>
      <c r="U3" s="83"/>
    </row>
    <row r="4" spans="1:21" ht="18">
      <c r="A4" s="75"/>
      <c r="B4" s="76"/>
      <c r="C4" s="84" t="s">
        <v>989</v>
      </c>
      <c r="D4" s="78"/>
      <c r="E4" s="78"/>
      <c r="F4" s="78"/>
      <c r="G4" s="80"/>
      <c r="H4" s="78"/>
      <c r="I4" s="78" t="s">
        <v>990</v>
      </c>
      <c r="J4" s="78"/>
      <c r="K4" s="81"/>
      <c r="L4" s="81"/>
      <c r="M4" s="78" t="s">
        <v>1414</v>
      </c>
      <c r="N4" s="78"/>
      <c r="O4" s="82"/>
      <c r="P4" s="78"/>
      <c r="Q4" s="85"/>
      <c r="R4" s="78"/>
      <c r="S4" s="78"/>
      <c r="T4" s="86"/>
      <c r="U4" s="87">
        <v>45809</v>
      </c>
    </row>
    <row r="5" spans="1:21" s="3" customFormat="1" ht="41.25" customHeight="1">
      <c r="A5" s="88"/>
      <c r="B5" s="89" t="s">
        <v>969</v>
      </c>
      <c r="C5" s="89" t="s">
        <v>970</v>
      </c>
      <c r="D5" s="89" t="s">
        <v>971</v>
      </c>
      <c r="E5" s="89" t="s">
        <v>972</v>
      </c>
      <c r="F5" s="89" t="s">
        <v>973</v>
      </c>
      <c r="G5" s="89" t="s">
        <v>974</v>
      </c>
      <c r="H5" s="89" t="s">
        <v>975</v>
      </c>
      <c r="I5" s="89" t="s">
        <v>976</v>
      </c>
      <c r="J5" s="89" t="s">
        <v>977</v>
      </c>
      <c r="K5" s="90" t="s">
        <v>991</v>
      </c>
      <c r="L5" s="90" t="s">
        <v>979</v>
      </c>
      <c r="M5" s="90" t="s">
        <v>980</v>
      </c>
      <c r="N5" s="90" t="s">
        <v>981</v>
      </c>
      <c r="O5" s="91" t="s">
        <v>982</v>
      </c>
      <c r="P5" s="90" t="s">
        <v>992</v>
      </c>
      <c r="Q5" s="90" t="s">
        <v>993</v>
      </c>
      <c r="R5" s="92" t="s">
        <v>994</v>
      </c>
      <c r="S5" s="92" t="s">
        <v>21</v>
      </c>
      <c r="T5" s="93" t="s">
        <v>985</v>
      </c>
      <c r="U5" s="90" t="s">
        <v>995</v>
      </c>
    </row>
    <row r="6" spans="1:21" ht="20">
      <c r="A6" s="186">
        <v>1</v>
      </c>
      <c r="B6" s="228">
        <v>45827</v>
      </c>
      <c r="C6" s="229" t="s">
        <v>1145</v>
      </c>
      <c r="D6" s="230" t="s">
        <v>1526</v>
      </c>
      <c r="E6" s="231">
        <v>111570003</v>
      </c>
      <c r="F6" s="232" t="s">
        <v>1527</v>
      </c>
      <c r="G6" s="230" t="s">
        <v>1177</v>
      </c>
      <c r="H6" s="233" t="s">
        <v>987</v>
      </c>
      <c r="I6" s="234" t="s">
        <v>1361</v>
      </c>
      <c r="J6" s="234" t="s">
        <v>1362</v>
      </c>
      <c r="K6" s="228">
        <v>45828</v>
      </c>
      <c r="L6" s="229" t="s">
        <v>1053</v>
      </c>
      <c r="M6" s="229" t="s">
        <v>1054</v>
      </c>
      <c r="N6" s="235">
        <v>996081837</v>
      </c>
      <c r="O6" s="236">
        <v>29</v>
      </c>
      <c r="P6" s="229" t="s">
        <v>1433</v>
      </c>
      <c r="Q6" s="229" t="s">
        <v>1142</v>
      </c>
      <c r="R6" s="237"/>
      <c r="S6" s="237" t="str">
        <f>D6</f>
        <v>043-902-000053437</v>
      </c>
      <c r="T6" s="238" t="s">
        <v>1179</v>
      </c>
      <c r="U6" s="239" t="s">
        <v>1178</v>
      </c>
    </row>
    <row r="7" spans="1:21" ht="20">
      <c r="A7" s="186">
        <v>2</v>
      </c>
      <c r="B7" s="228">
        <v>45828</v>
      </c>
      <c r="C7" s="229" t="s">
        <v>1145</v>
      </c>
      <c r="D7" s="230" t="s">
        <v>1528</v>
      </c>
      <c r="E7" s="231">
        <v>111570002</v>
      </c>
      <c r="F7" s="232" t="s">
        <v>1527</v>
      </c>
      <c r="G7" s="230" t="s">
        <v>1164</v>
      </c>
      <c r="H7" s="233" t="s">
        <v>987</v>
      </c>
      <c r="I7" s="234" t="s">
        <v>1361</v>
      </c>
      <c r="J7" s="234" t="s">
        <v>1362</v>
      </c>
      <c r="K7" s="228">
        <v>45828</v>
      </c>
      <c r="L7" s="229" t="s">
        <v>1045</v>
      </c>
      <c r="M7" s="229" t="s">
        <v>1046</v>
      </c>
      <c r="N7" s="235">
        <v>993696069</v>
      </c>
      <c r="O7" s="236">
        <v>29</v>
      </c>
      <c r="P7" s="229" t="s">
        <v>1433</v>
      </c>
      <c r="Q7" s="229" t="s">
        <v>1142</v>
      </c>
      <c r="R7" s="237"/>
      <c r="S7" s="237" t="str">
        <f>D7</f>
        <v>043-905-000070922</v>
      </c>
      <c r="T7" s="240">
        <v>101144533</v>
      </c>
      <c r="U7" s="239" t="s">
        <v>1165</v>
      </c>
    </row>
    <row r="8" spans="1:21" ht="20">
      <c r="A8" s="186">
        <v>3</v>
      </c>
      <c r="B8" s="228">
        <v>45840</v>
      </c>
      <c r="C8" s="229" t="s">
        <v>1145</v>
      </c>
      <c r="D8" s="230" t="s">
        <v>1529</v>
      </c>
      <c r="E8" s="231">
        <v>111570002</v>
      </c>
      <c r="F8" s="232" t="s">
        <v>1530</v>
      </c>
      <c r="G8" s="230" t="s">
        <v>1267</v>
      </c>
      <c r="H8" s="233" t="s">
        <v>987</v>
      </c>
      <c r="I8" s="234" t="s">
        <v>1361</v>
      </c>
      <c r="J8" s="234" t="s">
        <v>1362</v>
      </c>
      <c r="K8" s="228">
        <v>45840</v>
      </c>
      <c r="L8" s="229" t="s">
        <v>1109</v>
      </c>
      <c r="M8" s="229" t="s">
        <v>1110</v>
      </c>
      <c r="N8" s="235">
        <v>964154449</v>
      </c>
      <c r="O8" s="236">
        <v>29</v>
      </c>
      <c r="P8" s="229" t="s">
        <v>1433</v>
      </c>
      <c r="Q8" s="229" t="s">
        <v>1142</v>
      </c>
      <c r="R8" s="237"/>
      <c r="S8" s="237" t="str">
        <f t="shared" ref="S8:S10" si="0">D8</f>
        <v>043-906-000046965</v>
      </c>
      <c r="T8" s="240">
        <v>104217799</v>
      </c>
      <c r="U8" s="239" t="s">
        <v>1268</v>
      </c>
    </row>
    <row r="9" spans="1:21" ht="20">
      <c r="A9" s="186">
        <v>4</v>
      </c>
      <c r="B9" s="228">
        <v>45845</v>
      </c>
      <c r="C9" s="229" t="s">
        <v>1290</v>
      </c>
      <c r="D9" s="230" t="s">
        <v>23</v>
      </c>
      <c r="E9" s="231">
        <v>111570002</v>
      </c>
      <c r="F9" s="232" t="s">
        <v>1530</v>
      </c>
      <c r="G9" s="230" t="s">
        <v>1291</v>
      </c>
      <c r="H9" s="233" t="s">
        <v>987</v>
      </c>
      <c r="I9" s="234" t="s">
        <v>1361</v>
      </c>
      <c r="J9" s="234" t="s">
        <v>1362</v>
      </c>
      <c r="K9" s="228">
        <v>45845</v>
      </c>
      <c r="L9" s="229" t="s">
        <v>1130</v>
      </c>
      <c r="M9" s="229" t="s">
        <v>1131</v>
      </c>
      <c r="N9" s="235">
        <v>963539762</v>
      </c>
      <c r="O9" s="236">
        <v>29</v>
      </c>
      <c r="P9" s="229" t="s">
        <v>1451</v>
      </c>
      <c r="Q9" s="229" t="s">
        <v>1142</v>
      </c>
      <c r="R9" s="237"/>
      <c r="S9" s="237" t="str">
        <f t="shared" si="0"/>
        <v>SAP</v>
      </c>
      <c r="T9" s="240">
        <v>105195536</v>
      </c>
      <c r="U9" s="239" t="s">
        <v>1292</v>
      </c>
    </row>
    <row r="10" spans="1:21" ht="20">
      <c r="A10" s="186">
        <v>5</v>
      </c>
      <c r="B10" s="228">
        <v>45845</v>
      </c>
      <c r="C10" s="229" t="s">
        <v>1290</v>
      </c>
      <c r="D10" s="230" t="s">
        <v>23</v>
      </c>
      <c r="E10" s="231">
        <v>111570002</v>
      </c>
      <c r="F10" s="232" t="s">
        <v>1530</v>
      </c>
      <c r="G10" s="230" t="s">
        <v>1293</v>
      </c>
      <c r="H10" s="233" t="s">
        <v>987</v>
      </c>
      <c r="I10" s="234" t="s">
        <v>1361</v>
      </c>
      <c r="J10" s="234" t="s">
        <v>1362</v>
      </c>
      <c r="K10" s="241">
        <v>45845</v>
      </c>
      <c r="L10" s="229" t="s">
        <v>1130</v>
      </c>
      <c r="M10" s="229" t="s">
        <v>1131</v>
      </c>
      <c r="N10" s="235">
        <v>963539762</v>
      </c>
      <c r="O10" s="236">
        <v>29</v>
      </c>
      <c r="P10" s="229" t="s">
        <v>1451</v>
      </c>
      <c r="Q10" s="229" t="s">
        <v>1142</v>
      </c>
      <c r="R10" s="237"/>
      <c r="S10" s="237" t="str">
        <f t="shared" si="0"/>
        <v>SAP</v>
      </c>
      <c r="T10" s="240">
        <v>105195536</v>
      </c>
      <c r="U10" s="239" t="s">
        <v>1292</v>
      </c>
    </row>
    <row r="11" spans="1:21" ht="20">
      <c r="A11" s="186">
        <v>6</v>
      </c>
      <c r="B11" s="228">
        <v>45799</v>
      </c>
      <c r="C11" s="229" t="s">
        <v>1300</v>
      </c>
      <c r="D11" s="230" t="s">
        <v>1531</v>
      </c>
      <c r="E11" s="231">
        <v>111570003</v>
      </c>
      <c r="F11" s="232" t="s">
        <v>1530</v>
      </c>
      <c r="G11" s="230" t="s">
        <v>1532</v>
      </c>
      <c r="H11" s="233" t="s">
        <v>987</v>
      </c>
      <c r="I11" s="234" t="s">
        <v>1361</v>
      </c>
      <c r="J11" s="234" t="s">
        <v>1362</v>
      </c>
      <c r="K11" s="241">
        <v>45855</v>
      </c>
      <c r="L11" s="229" t="s">
        <v>1533</v>
      </c>
      <c r="M11" s="229" t="s">
        <v>1517</v>
      </c>
      <c r="N11" s="235">
        <v>989739803</v>
      </c>
      <c r="O11" s="236">
        <v>29</v>
      </c>
      <c r="P11" s="229" t="s">
        <v>1433</v>
      </c>
      <c r="Q11" s="229" t="s">
        <v>1142</v>
      </c>
      <c r="R11" s="237"/>
      <c r="S11" s="237" t="str">
        <f t="shared" ref="S11" si="1">D11</f>
        <v>001-500-000073652</v>
      </c>
      <c r="T11" s="258">
        <v>100888932</v>
      </c>
      <c r="U11" s="242" t="s">
        <v>1518</v>
      </c>
    </row>
    <row r="12" spans="1:21" ht="20">
      <c r="A12" s="186">
        <v>7</v>
      </c>
      <c r="B12" s="228">
        <v>45856</v>
      </c>
      <c r="C12" s="229" t="s">
        <v>1173</v>
      </c>
      <c r="D12" s="230" t="s">
        <v>1690</v>
      </c>
      <c r="E12" s="231">
        <v>111570002</v>
      </c>
      <c r="F12" s="232" t="s">
        <v>1530</v>
      </c>
      <c r="G12" s="230" t="s">
        <v>1691</v>
      </c>
      <c r="H12" s="233" t="s">
        <v>987</v>
      </c>
      <c r="I12" s="234" t="s">
        <v>1361</v>
      </c>
      <c r="J12" s="234" t="s">
        <v>1362</v>
      </c>
      <c r="K12" s="241">
        <v>45856</v>
      </c>
      <c r="L12" s="229" t="s">
        <v>1692</v>
      </c>
      <c r="M12" s="229" t="s">
        <v>1693</v>
      </c>
      <c r="N12" s="235">
        <v>989974418</v>
      </c>
      <c r="O12" s="236">
        <v>29</v>
      </c>
      <c r="P12" s="229" t="s">
        <v>1433</v>
      </c>
      <c r="Q12" s="229" t="s">
        <v>1142</v>
      </c>
      <c r="R12" s="237"/>
      <c r="S12" s="237" t="str">
        <f t="shared" ref="S12" si="2">D12</f>
        <v>016-907-000262277</v>
      </c>
      <c r="T12" s="257" t="s">
        <v>1695</v>
      </c>
      <c r="U12" s="242" t="s">
        <v>1694</v>
      </c>
    </row>
    <row r="13" spans="1:21">
      <c r="O13" s="94">
        <f>SUM(O6:O12)</f>
        <v>203</v>
      </c>
    </row>
    <row r="16" spans="1:21" ht="20">
      <c r="E16" s="95">
        <v>7</v>
      </c>
      <c r="F16" s="95" t="s">
        <v>996</v>
      </c>
      <c r="G16" s="96">
        <v>29</v>
      </c>
      <c r="H16" s="96">
        <f>G16*E16</f>
        <v>203</v>
      </c>
    </row>
  </sheetData>
  <hyperlinks>
    <hyperlink ref="U6" r:id="rId1" xr:uid="{30396646-51CC-0B47-88D5-5FF6C70DD3DC}"/>
    <hyperlink ref="U7" r:id="rId2" xr:uid="{61BAFF26-D60B-984A-A754-AFCD5E821BCD}"/>
    <hyperlink ref="U8" r:id="rId3" xr:uid="{0E04158C-9484-9D43-B1CE-7AFE4F2421E3}"/>
    <hyperlink ref="U9" r:id="rId4" xr:uid="{855E0F5F-6ED6-2440-824E-793D83F98272}"/>
    <hyperlink ref="U10" r:id="rId5" xr:uid="{ABD1FE19-F18F-9944-9BA1-76B5349B18B0}"/>
    <hyperlink ref="U11" r:id="rId6" xr:uid="{0B81F41E-274F-5E4D-84F8-E1419918D3B9}"/>
    <hyperlink ref="U12" r:id="rId7" xr:uid="{8FF06EED-7F7A-5147-9022-1FE613FAC53C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F17A-8232-4F92-8222-1EEB56996121}">
  <sheetPr filterMode="1">
    <tabColor theme="6" tint="-0.249977111117893"/>
  </sheetPr>
  <dimension ref="A1:B907"/>
  <sheetViews>
    <sheetView workbookViewId="0">
      <selection activeCell="A643" sqref="A643"/>
    </sheetView>
  </sheetViews>
  <sheetFormatPr baseColWidth="10" defaultRowHeight="15"/>
  <cols>
    <col min="2" max="2" width="81.5" bestFit="1" customWidth="1"/>
  </cols>
  <sheetData>
    <row r="1" spans="1:2">
      <c r="A1" t="s">
        <v>32</v>
      </c>
      <c r="B1" t="s">
        <v>33</v>
      </c>
    </row>
    <row r="2" spans="1:2" hidden="1">
      <c r="A2" t="s">
        <v>34</v>
      </c>
      <c r="B2" t="s">
        <v>35</v>
      </c>
    </row>
    <row r="3" spans="1:2" hidden="1">
      <c r="A3">
        <v>915061</v>
      </c>
      <c r="B3" t="s">
        <v>36</v>
      </c>
    </row>
    <row r="4" spans="1:2" hidden="1">
      <c r="A4">
        <v>981061</v>
      </c>
      <c r="B4" t="s">
        <v>37</v>
      </c>
    </row>
    <row r="5" spans="1:2" hidden="1">
      <c r="A5">
        <v>982061</v>
      </c>
      <c r="B5" t="s">
        <v>38</v>
      </c>
    </row>
    <row r="6" spans="1:2" hidden="1">
      <c r="A6">
        <v>1010061</v>
      </c>
      <c r="B6" t="s">
        <v>39</v>
      </c>
    </row>
    <row r="7" spans="1:2" hidden="1">
      <c r="A7">
        <v>1070061</v>
      </c>
      <c r="B7" t="s">
        <v>40</v>
      </c>
    </row>
    <row r="8" spans="1:2" hidden="1">
      <c r="A8">
        <v>1080061</v>
      </c>
      <c r="B8" t="s">
        <v>41</v>
      </c>
    </row>
    <row r="9" spans="1:2" hidden="1">
      <c r="A9">
        <v>8731112</v>
      </c>
      <c r="B9" t="s">
        <v>42</v>
      </c>
    </row>
    <row r="10" spans="1:2" hidden="1">
      <c r="A10">
        <v>10101003</v>
      </c>
      <c r="B10" t="s">
        <v>43</v>
      </c>
    </row>
    <row r="11" spans="1:2" hidden="1">
      <c r="A11">
        <v>10101102</v>
      </c>
      <c r="B11" t="s">
        <v>44</v>
      </c>
    </row>
    <row r="12" spans="1:2" hidden="1">
      <c r="A12">
        <v>10101103</v>
      </c>
      <c r="B12" t="s">
        <v>45</v>
      </c>
    </row>
    <row r="13" spans="1:2" hidden="1">
      <c r="A13">
        <v>10103001</v>
      </c>
      <c r="B13" t="s">
        <v>46</v>
      </c>
    </row>
    <row r="14" spans="1:2" hidden="1">
      <c r="A14">
        <v>10104078</v>
      </c>
      <c r="B14" t="s">
        <v>47</v>
      </c>
    </row>
    <row r="15" spans="1:2" hidden="1">
      <c r="A15">
        <v>10104309</v>
      </c>
      <c r="B15" t="s">
        <v>48</v>
      </c>
    </row>
    <row r="16" spans="1:2" hidden="1">
      <c r="A16">
        <v>10104310</v>
      </c>
      <c r="B16" t="s">
        <v>49</v>
      </c>
    </row>
    <row r="17" spans="1:2" hidden="1">
      <c r="A17">
        <v>10105252</v>
      </c>
      <c r="B17" t="s">
        <v>50</v>
      </c>
    </row>
    <row r="18" spans="1:2" hidden="1">
      <c r="A18">
        <v>10107004</v>
      </c>
      <c r="B18" t="s">
        <v>51</v>
      </c>
    </row>
    <row r="19" spans="1:2" hidden="1">
      <c r="A19">
        <v>10107015</v>
      </c>
      <c r="B19" t="s">
        <v>52</v>
      </c>
    </row>
    <row r="20" spans="1:2" hidden="1">
      <c r="A20">
        <v>10107017</v>
      </c>
      <c r="B20" t="s">
        <v>53</v>
      </c>
    </row>
    <row r="21" spans="1:2" hidden="1">
      <c r="A21">
        <v>10108009</v>
      </c>
      <c r="B21" t="s">
        <v>54</v>
      </c>
    </row>
    <row r="22" spans="1:2" hidden="1">
      <c r="A22">
        <v>10108035</v>
      </c>
      <c r="B22" t="s">
        <v>55</v>
      </c>
    </row>
    <row r="23" spans="1:2" hidden="1">
      <c r="A23">
        <v>10110004</v>
      </c>
      <c r="B23" t="s">
        <v>56</v>
      </c>
    </row>
    <row r="24" spans="1:2" hidden="1">
      <c r="A24">
        <v>10111005</v>
      </c>
      <c r="B24" t="s">
        <v>57</v>
      </c>
    </row>
    <row r="25" spans="1:2" hidden="1">
      <c r="A25">
        <v>10118002</v>
      </c>
      <c r="B25" t="s">
        <v>58</v>
      </c>
    </row>
    <row r="26" spans="1:2" hidden="1">
      <c r="A26">
        <v>10118004</v>
      </c>
      <c r="B26" t="s">
        <v>59</v>
      </c>
    </row>
    <row r="27" spans="1:2" hidden="1">
      <c r="A27">
        <v>10118005</v>
      </c>
      <c r="B27" t="s">
        <v>60</v>
      </c>
    </row>
    <row r="28" spans="1:2" hidden="1">
      <c r="A28">
        <v>10119007</v>
      </c>
      <c r="B28" t="s">
        <v>61</v>
      </c>
    </row>
    <row r="29" spans="1:2" hidden="1">
      <c r="A29">
        <v>10119011</v>
      </c>
      <c r="B29" t="s">
        <v>62</v>
      </c>
    </row>
    <row r="30" spans="1:2" hidden="1">
      <c r="A30">
        <v>10119013</v>
      </c>
      <c r="B30" t="s">
        <v>63</v>
      </c>
    </row>
    <row r="31" spans="1:2" hidden="1">
      <c r="A31">
        <v>10119021</v>
      </c>
      <c r="B31" t="s">
        <v>64</v>
      </c>
    </row>
    <row r="32" spans="1:2" hidden="1">
      <c r="A32">
        <v>10119038</v>
      </c>
      <c r="B32" t="s">
        <v>65</v>
      </c>
    </row>
    <row r="33" spans="1:2" hidden="1">
      <c r="A33">
        <v>10119080</v>
      </c>
      <c r="B33" t="s">
        <v>66</v>
      </c>
    </row>
    <row r="34" spans="1:2" hidden="1">
      <c r="A34">
        <v>10119081</v>
      </c>
      <c r="B34" t="s">
        <v>67</v>
      </c>
    </row>
    <row r="35" spans="1:2" hidden="1">
      <c r="A35">
        <v>10120025</v>
      </c>
      <c r="B35" t="s">
        <v>68</v>
      </c>
    </row>
    <row r="36" spans="1:2" hidden="1">
      <c r="A36">
        <v>10120028</v>
      </c>
      <c r="B36" t="s">
        <v>69</v>
      </c>
    </row>
    <row r="37" spans="1:2" hidden="1">
      <c r="A37">
        <v>10120098</v>
      </c>
      <c r="B37" t="s">
        <v>70</v>
      </c>
    </row>
    <row r="38" spans="1:2" hidden="1">
      <c r="A38">
        <v>10120117</v>
      </c>
      <c r="B38" t="s">
        <v>71</v>
      </c>
    </row>
    <row r="39" spans="1:2" hidden="1">
      <c r="A39">
        <v>10124066</v>
      </c>
      <c r="B39" t="s">
        <v>72</v>
      </c>
    </row>
    <row r="40" spans="1:2" hidden="1">
      <c r="A40">
        <v>10125003</v>
      </c>
      <c r="B40" t="s">
        <v>73</v>
      </c>
    </row>
    <row r="41" spans="1:2" hidden="1">
      <c r="A41">
        <v>10125004</v>
      </c>
      <c r="B41" t="s">
        <v>74</v>
      </c>
    </row>
    <row r="42" spans="1:2" hidden="1">
      <c r="A42">
        <v>10125006</v>
      </c>
      <c r="B42" t="s">
        <v>75</v>
      </c>
    </row>
    <row r="43" spans="1:2" hidden="1">
      <c r="A43">
        <v>10125019</v>
      </c>
      <c r="B43" t="s">
        <v>76</v>
      </c>
    </row>
    <row r="44" spans="1:2" hidden="1">
      <c r="A44">
        <v>10125041</v>
      </c>
      <c r="B44" t="s">
        <v>77</v>
      </c>
    </row>
    <row r="45" spans="1:2" hidden="1">
      <c r="A45">
        <v>10125042</v>
      </c>
      <c r="B45" t="s">
        <v>78</v>
      </c>
    </row>
    <row r="46" spans="1:2" hidden="1">
      <c r="A46">
        <v>10125047</v>
      </c>
      <c r="B46" t="s">
        <v>79</v>
      </c>
    </row>
    <row r="47" spans="1:2" hidden="1">
      <c r="A47">
        <v>10125048</v>
      </c>
      <c r="B47" t="s">
        <v>80</v>
      </c>
    </row>
    <row r="48" spans="1:2" hidden="1">
      <c r="A48">
        <v>10125073</v>
      </c>
      <c r="B48" t="s">
        <v>81</v>
      </c>
    </row>
    <row r="49" spans="1:2" hidden="1">
      <c r="A49">
        <v>10125077</v>
      </c>
      <c r="B49" t="s">
        <v>82</v>
      </c>
    </row>
    <row r="50" spans="1:2" hidden="1">
      <c r="A50">
        <v>10125085</v>
      </c>
      <c r="B50" t="s">
        <v>83</v>
      </c>
    </row>
    <row r="51" spans="1:2" hidden="1">
      <c r="A51">
        <v>10125114</v>
      </c>
      <c r="B51" t="s">
        <v>84</v>
      </c>
    </row>
    <row r="52" spans="1:2" hidden="1">
      <c r="A52">
        <v>10125121</v>
      </c>
      <c r="B52" t="s">
        <v>85</v>
      </c>
    </row>
    <row r="53" spans="1:2" hidden="1">
      <c r="A53">
        <v>10125122</v>
      </c>
      <c r="B53" t="s">
        <v>86</v>
      </c>
    </row>
    <row r="54" spans="1:2" hidden="1">
      <c r="A54">
        <v>10125124</v>
      </c>
      <c r="B54" t="s">
        <v>87</v>
      </c>
    </row>
    <row r="55" spans="1:2" hidden="1">
      <c r="A55">
        <v>10125134</v>
      </c>
      <c r="B55" t="s">
        <v>88</v>
      </c>
    </row>
    <row r="56" spans="1:2" hidden="1">
      <c r="A56">
        <v>10125148</v>
      </c>
      <c r="B56" t="s">
        <v>89</v>
      </c>
    </row>
    <row r="57" spans="1:2" hidden="1">
      <c r="A57">
        <v>10125155</v>
      </c>
      <c r="B57" t="s">
        <v>90</v>
      </c>
    </row>
    <row r="58" spans="1:2" hidden="1">
      <c r="A58">
        <v>10125166</v>
      </c>
      <c r="B58" t="s">
        <v>91</v>
      </c>
    </row>
    <row r="59" spans="1:2" hidden="1">
      <c r="A59">
        <v>10131004</v>
      </c>
      <c r="B59" t="s">
        <v>92</v>
      </c>
    </row>
    <row r="60" spans="1:2" hidden="1">
      <c r="A60">
        <v>10131009</v>
      </c>
      <c r="B60" t="s">
        <v>93</v>
      </c>
    </row>
    <row r="61" spans="1:2" hidden="1">
      <c r="A61">
        <v>10131033</v>
      </c>
      <c r="B61" t="s">
        <v>94</v>
      </c>
    </row>
    <row r="62" spans="1:2" hidden="1">
      <c r="A62">
        <v>10133010</v>
      </c>
      <c r="B62" t="s">
        <v>95</v>
      </c>
    </row>
    <row r="63" spans="1:2" hidden="1">
      <c r="A63">
        <v>10133011</v>
      </c>
      <c r="B63" t="s">
        <v>96</v>
      </c>
    </row>
    <row r="64" spans="1:2" hidden="1">
      <c r="A64">
        <v>10135012</v>
      </c>
      <c r="B64" t="s">
        <v>97</v>
      </c>
    </row>
    <row r="65" spans="1:2" hidden="1">
      <c r="A65">
        <v>10135013</v>
      </c>
      <c r="B65" t="s">
        <v>98</v>
      </c>
    </row>
    <row r="66" spans="1:2" hidden="1">
      <c r="A66">
        <v>10135014</v>
      </c>
      <c r="B66" t="s">
        <v>99</v>
      </c>
    </row>
    <row r="67" spans="1:2" hidden="1">
      <c r="A67">
        <v>10135015</v>
      </c>
      <c r="B67" t="s">
        <v>100</v>
      </c>
    </row>
    <row r="68" spans="1:2" hidden="1">
      <c r="A68">
        <v>10135016</v>
      </c>
      <c r="B68" t="s">
        <v>101</v>
      </c>
    </row>
    <row r="69" spans="1:2" hidden="1">
      <c r="A69">
        <v>10135017</v>
      </c>
      <c r="B69" t="s">
        <v>102</v>
      </c>
    </row>
    <row r="70" spans="1:2" hidden="1">
      <c r="A70">
        <v>10135018</v>
      </c>
      <c r="B70" t="s">
        <v>103</v>
      </c>
    </row>
    <row r="71" spans="1:2" hidden="1">
      <c r="A71">
        <v>10135019</v>
      </c>
      <c r="B71" t="s">
        <v>104</v>
      </c>
    </row>
    <row r="72" spans="1:2" hidden="1">
      <c r="A72">
        <v>10136001</v>
      </c>
      <c r="B72" t="s">
        <v>105</v>
      </c>
    </row>
    <row r="73" spans="1:2" hidden="1">
      <c r="A73">
        <v>10138002</v>
      </c>
      <c r="B73" t="s">
        <v>106</v>
      </c>
    </row>
    <row r="74" spans="1:2" hidden="1">
      <c r="A74">
        <v>10138003</v>
      </c>
      <c r="B74" t="s">
        <v>107</v>
      </c>
    </row>
    <row r="75" spans="1:2" hidden="1">
      <c r="A75">
        <v>10138005</v>
      </c>
      <c r="B75" t="s">
        <v>108</v>
      </c>
    </row>
    <row r="76" spans="1:2" hidden="1">
      <c r="A76">
        <v>10138006</v>
      </c>
      <c r="B76" t="s">
        <v>109</v>
      </c>
    </row>
    <row r="77" spans="1:2" hidden="1">
      <c r="A77">
        <v>10138011</v>
      </c>
      <c r="B77" t="s">
        <v>110</v>
      </c>
    </row>
    <row r="78" spans="1:2" hidden="1">
      <c r="A78">
        <v>10181650</v>
      </c>
      <c r="B78" t="s">
        <v>111</v>
      </c>
    </row>
    <row r="79" spans="1:2" hidden="1">
      <c r="A79">
        <v>10181651</v>
      </c>
      <c r="B79" t="s">
        <v>112</v>
      </c>
    </row>
    <row r="80" spans="1:2" hidden="1">
      <c r="A80">
        <v>10181711</v>
      </c>
      <c r="B80" t="s">
        <v>113</v>
      </c>
    </row>
    <row r="81" spans="1:2" hidden="1">
      <c r="A81">
        <v>10184550</v>
      </c>
      <c r="B81" t="s">
        <v>114</v>
      </c>
    </row>
    <row r="82" spans="1:2" hidden="1">
      <c r="A82">
        <v>10184551</v>
      </c>
      <c r="B82" t="s">
        <v>115</v>
      </c>
    </row>
    <row r="83" spans="1:2" hidden="1">
      <c r="A83">
        <v>10184812</v>
      </c>
      <c r="B83" t="s">
        <v>116</v>
      </c>
    </row>
    <row r="84" spans="1:2" hidden="1">
      <c r="A84">
        <v>1019700</v>
      </c>
      <c r="B84" t="s">
        <v>117</v>
      </c>
    </row>
    <row r="85" spans="1:2" hidden="1">
      <c r="A85">
        <v>10204016</v>
      </c>
      <c r="B85" t="s">
        <v>118</v>
      </c>
    </row>
    <row r="86" spans="1:2" hidden="1">
      <c r="A86">
        <v>10204086</v>
      </c>
      <c r="B86" t="s">
        <v>119</v>
      </c>
    </row>
    <row r="87" spans="1:2" hidden="1">
      <c r="A87">
        <v>10204103</v>
      </c>
      <c r="B87" t="s">
        <v>120</v>
      </c>
    </row>
    <row r="88" spans="1:2" hidden="1">
      <c r="A88">
        <v>10204686</v>
      </c>
      <c r="B88" t="s">
        <v>121</v>
      </c>
    </row>
    <row r="89" spans="1:2" hidden="1">
      <c r="A89">
        <v>10205013</v>
      </c>
      <c r="B89" t="s">
        <v>122</v>
      </c>
    </row>
    <row r="90" spans="1:2" hidden="1">
      <c r="A90">
        <v>10205014</v>
      </c>
      <c r="B90" t="s">
        <v>123</v>
      </c>
    </row>
    <row r="91" spans="1:2" hidden="1">
      <c r="A91">
        <v>10205018</v>
      </c>
      <c r="B91" t="s">
        <v>124</v>
      </c>
    </row>
    <row r="92" spans="1:2" hidden="1">
      <c r="A92">
        <v>10205047</v>
      </c>
      <c r="B92" t="s">
        <v>125</v>
      </c>
    </row>
    <row r="93" spans="1:2" hidden="1">
      <c r="A93">
        <v>10205048</v>
      </c>
      <c r="B93" t="s">
        <v>126</v>
      </c>
    </row>
    <row r="94" spans="1:2" hidden="1">
      <c r="A94">
        <v>10205049</v>
      </c>
      <c r="B94" t="s">
        <v>127</v>
      </c>
    </row>
    <row r="95" spans="1:2" hidden="1">
      <c r="A95">
        <v>10205050</v>
      </c>
      <c r="B95" t="s">
        <v>128</v>
      </c>
    </row>
    <row r="96" spans="1:2" hidden="1">
      <c r="A96">
        <v>10206007</v>
      </c>
      <c r="B96" t="s">
        <v>129</v>
      </c>
    </row>
    <row r="97" spans="1:2" hidden="1">
      <c r="A97">
        <v>10206062</v>
      </c>
      <c r="B97" t="s">
        <v>130</v>
      </c>
    </row>
    <row r="98" spans="1:2" hidden="1">
      <c r="A98">
        <v>10206064</v>
      </c>
      <c r="B98" t="s">
        <v>131</v>
      </c>
    </row>
    <row r="99" spans="1:2" hidden="1">
      <c r="A99">
        <v>10208009</v>
      </c>
      <c r="B99" t="s">
        <v>132</v>
      </c>
    </row>
    <row r="100" spans="1:2" hidden="1">
      <c r="A100">
        <v>10208036</v>
      </c>
      <c r="B100" t="s">
        <v>133</v>
      </c>
    </row>
    <row r="101" spans="1:2" hidden="1">
      <c r="A101">
        <v>10208093</v>
      </c>
      <c r="B101" t="s">
        <v>134</v>
      </c>
    </row>
    <row r="102" spans="1:2" hidden="1">
      <c r="A102">
        <v>10209025</v>
      </c>
      <c r="B102" t="s">
        <v>135</v>
      </c>
    </row>
    <row r="103" spans="1:2" hidden="1">
      <c r="A103">
        <v>10209029</v>
      </c>
      <c r="B103" t="s">
        <v>136</v>
      </c>
    </row>
    <row r="104" spans="1:2" hidden="1">
      <c r="A104">
        <v>10209055</v>
      </c>
      <c r="B104" t="s">
        <v>137</v>
      </c>
    </row>
    <row r="105" spans="1:2" hidden="1">
      <c r="A105">
        <v>10210002</v>
      </c>
      <c r="B105" t="s">
        <v>138</v>
      </c>
    </row>
    <row r="106" spans="1:2" hidden="1">
      <c r="A106">
        <v>10210005</v>
      </c>
      <c r="B106" t="s">
        <v>139</v>
      </c>
    </row>
    <row r="107" spans="1:2" hidden="1">
      <c r="A107">
        <v>10210009</v>
      </c>
      <c r="B107" t="s">
        <v>140</v>
      </c>
    </row>
    <row r="108" spans="1:2" hidden="1">
      <c r="A108">
        <v>10210011</v>
      </c>
      <c r="B108" t="s">
        <v>141</v>
      </c>
    </row>
    <row r="109" spans="1:2" hidden="1">
      <c r="A109">
        <v>10210020</v>
      </c>
      <c r="B109" t="s">
        <v>142</v>
      </c>
    </row>
    <row r="110" spans="1:2" hidden="1">
      <c r="A110">
        <v>10210022</v>
      </c>
      <c r="B110" t="s">
        <v>143</v>
      </c>
    </row>
    <row r="111" spans="1:2" hidden="1">
      <c r="A111">
        <v>10210028</v>
      </c>
      <c r="B111" t="s">
        <v>144</v>
      </c>
    </row>
    <row r="112" spans="1:2" hidden="1">
      <c r="A112">
        <v>10210029</v>
      </c>
      <c r="B112" t="s">
        <v>145</v>
      </c>
    </row>
    <row r="113" spans="1:2" hidden="1">
      <c r="A113">
        <v>10210042</v>
      </c>
      <c r="B113" t="s">
        <v>146</v>
      </c>
    </row>
    <row r="114" spans="1:2" hidden="1">
      <c r="A114">
        <v>10210065</v>
      </c>
      <c r="B114" t="s">
        <v>147</v>
      </c>
    </row>
    <row r="115" spans="1:2" hidden="1">
      <c r="A115">
        <v>10210068</v>
      </c>
      <c r="B115" t="s">
        <v>148</v>
      </c>
    </row>
    <row r="116" spans="1:2" hidden="1">
      <c r="A116">
        <v>10210071</v>
      </c>
      <c r="B116" t="s">
        <v>149</v>
      </c>
    </row>
    <row r="117" spans="1:2" hidden="1">
      <c r="A117">
        <v>10210072</v>
      </c>
      <c r="B117" t="s">
        <v>150</v>
      </c>
    </row>
    <row r="118" spans="1:2" hidden="1">
      <c r="A118">
        <v>10210084</v>
      </c>
      <c r="B118" t="s">
        <v>151</v>
      </c>
    </row>
    <row r="119" spans="1:2" hidden="1">
      <c r="A119">
        <v>10210085</v>
      </c>
      <c r="B119" t="s">
        <v>152</v>
      </c>
    </row>
    <row r="120" spans="1:2" hidden="1">
      <c r="A120">
        <v>10210088</v>
      </c>
      <c r="B120" t="s">
        <v>153</v>
      </c>
    </row>
    <row r="121" spans="1:2" hidden="1">
      <c r="A121">
        <v>10210109</v>
      </c>
      <c r="B121" t="s">
        <v>154</v>
      </c>
    </row>
    <row r="122" spans="1:2" hidden="1">
      <c r="A122">
        <v>10210145</v>
      </c>
      <c r="B122" t="s">
        <v>155</v>
      </c>
    </row>
    <row r="123" spans="1:2" hidden="1">
      <c r="A123">
        <v>10210146</v>
      </c>
      <c r="B123" t="s">
        <v>156</v>
      </c>
    </row>
    <row r="124" spans="1:2" hidden="1">
      <c r="A124">
        <v>10210147</v>
      </c>
      <c r="B124" t="s">
        <v>157</v>
      </c>
    </row>
    <row r="125" spans="1:2" hidden="1">
      <c r="A125">
        <v>10210148</v>
      </c>
      <c r="B125" t="s">
        <v>158</v>
      </c>
    </row>
    <row r="126" spans="1:2" hidden="1">
      <c r="A126">
        <v>10210149</v>
      </c>
      <c r="B126" t="s">
        <v>159</v>
      </c>
    </row>
    <row r="127" spans="1:2" hidden="1">
      <c r="A127">
        <v>10210150</v>
      </c>
      <c r="B127" t="s">
        <v>160</v>
      </c>
    </row>
    <row r="128" spans="1:2" hidden="1">
      <c r="A128">
        <v>10210151</v>
      </c>
      <c r="B128" t="s">
        <v>161</v>
      </c>
    </row>
    <row r="129" spans="1:2" hidden="1">
      <c r="A129">
        <v>10210152</v>
      </c>
      <c r="B129" t="s">
        <v>162</v>
      </c>
    </row>
    <row r="130" spans="1:2" hidden="1">
      <c r="A130">
        <v>10210160</v>
      </c>
      <c r="B130" t="s">
        <v>163</v>
      </c>
    </row>
    <row r="131" spans="1:2" hidden="1">
      <c r="A131">
        <v>10210163</v>
      </c>
      <c r="B131" t="s">
        <v>164</v>
      </c>
    </row>
    <row r="132" spans="1:2" hidden="1">
      <c r="A132">
        <v>10210171</v>
      </c>
      <c r="B132" t="s">
        <v>165</v>
      </c>
    </row>
    <row r="133" spans="1:2" hidden="1">
      <c r="A133">
        <v>10210174</v>
      </c>
      <c r="B133" t="s">
        <v>166</v>
      </c>
    </row>
    <row r="134" spans="1:2" hidden="1">
      <c r="A134">
        <v>10210176</v>
      </c>
      <c r="B134" t="s">
        <v>167</v>
      </c>
    </row>
    <row r="135" spans="1:2" hidden="1">
      <c r="A135">
        <v>10210205</v>
      </c>
      <c r="B135" t="s">
        <v>168</v>
      </c>
    </row>
    <row r="136" spans="1:2" hidden="1">
      <c r="A136">
        <v>10307001</v>
      </c>
      <c r="B136" t="s">
        <v>169</v>
      </c>
    </row>
    <row r="137" spans="1:2" hidden="1">
      <c r="A137">
        <v>10307002</v>
      </c>
      <c r="B137" t="s">
        <v>170</v>
      </c>
    </row>
    <row r="138" spans="1:2" hidden="1">
      <c r="A138">
        <v>111000001</v>
      </c>
      <c r="B138" t="s">
        <v>171</v>
      </c>
    </row>
    <row r="139" spans="1:2" hidden="1">
      <c r="A139">
        <v>111000030</v>
      </c>
      <c r="B139" t="s">
        <v>172</v>
      </c>
    </row>
    <row r="140" spans="1:2" hidden="1">
      <c r="A140">
        <v>111000050</v>
      </c>
      <c r="B140" t="s">
        <v>24</v>
      </c>
    </row>
    <row r="141" spans="1:2" hidden="1">
      <c r="A141">
        <v>111000051</v>
      </c>
      <c r="B141" t="s">
        <v>25</v>
      </c>
    </row>
    <row r="142" spans="1:2" hidden="1">
      <c r="A142">
        <v>111000059</v>
      </c>
      <c r="B142" t="s">
        <v>173</v>
      </c>
    </row>
    <row r="143" spans="1:2" hidden="1">
      <c r="A143">
        <v>111000078</v>
      </c>
      <c r="B143" t="s">
        <v>174</v>
      </c>
    </row>
    <row r="144" spans="1:2" hidden="1">
      <c r="A144">
        <v>111000099</v>
      </c>
      <c r="B144" t="s">
        <v>175</v>
      </c>
    </row>
    <row r="145" spans="1:2" hidden="1">
      <c r="A145">
        <v>111010028</v>
      </c>
      <c r="B145" t="s">
        <v>176</v>
      </c>
    </row>
    <row r="146" spans="1:2" hidden="1">
      <c r="A146">
        <v>111010040</v>
      </c>
      <c r="B146" t="s">
        <v>177</v>
      </c>
    </row>
    <row r="147" spans="1:2" hidden="1">
      <c r="A147">
        <v>111010041</v>
      </c>
      <c r="B147" t="s">
        <v>178</v>
      </c>
    </row>
    <row r="148" spans="1:2" hidden="1">
      <c r="A148">
        <v>111010093</v>
      </c>
      <c r="B148" t="s">
        <v>179</v>
      </c>
    </row>
    <row r="149" spans="1:2" hidden="1">
      <c r="A149">
        <v>111010095</v>
      </c>
      <c r="B149" t="s">
        <v>180</v>
      </c>
    </row>
    <row r="150" spans="1:2" hidden="1">
      <c r="A150">
        <v>111010100</v>
      </c>
      <c r="B150" t="s">
        <v>181</v>
      </c>
    </row>
    <row r="151" spans="1:2" hidden="1">
      <c r="A151">
        <v>111020071</v>
      </c>
      <c r="B151" t="s">
        <v>182</v>
      </c>
    </row>
    <row r="152" spans="1:2" hidden="1">
      <c r="A152">
        <v>111020081</v>
      </c>
      <c r="B152" t="s">
        <v>183</v>
      </c>
    </row>
    <row r="153" spans="1:2" hidden="1">
      <c r="A153">
        <v>111020086</v>
      </c>
      <c r="B153" t="s">
        <v>184</v>
      </c>
    </row>
    <row r="154" spans="1:2" hidden="1">
      <c r="A154">
        <v>111030002</v>
      </c>
      <c r="B154" t="s">
        <v>185</v>
      </c>
    </row>
    <row r="155" spans="1:2" hidden="1">
      <c r="A155">
        <v>111040003</v>
      </c>
      <c r="B155" t="s">
        <v>186</v>
      </c>
    </row>
    <row r="156" spans="1:2" hidden="1">
      <c r="A156">
        <v>111040006</v>
      </c>
      <c r="B156" t="s">
        <v>186</v>
      </c>
    </row>
    <row r="157" spans="1:2" hidden="1">
      <c r="A157">
        <v>111040015</v>
      </c>
      <c r="B157" t="s">
        <v>187</v>
      </c>
    </row>
    <row r="158" spans="1:2" hidden="1">
      <c r="A158">
        <v>11107010</v>
      </c>
      <c r="B158" t="s">
        <v>188</v>
      </c>
    </row>
    <row r="159" spans="1:2" hidden="1">
      <c r="A159">
        <v>11107011</v>
      </c>
      <c r="B159" t="s">
        <v>189</v>
      </c>
    </row>
    <row r="160" spans="1:2" hidden="1">
      <c r="A160">
        <v>11107029</v>
      </c>
      <c r="B160" t="s">
        <v>190</v>
      </c>
    </row>
    <row r="161" spans="1:2" hidden="1">
      <c r="A161">
        <v>11107076</v>
      </c>
      <c r="B161" t="s">
        <v>191</v>
      </c>
    </row>
    <row r="162" spans="1:2" hidden="1">
      <c r="A162">
        <v>11110004</v>
      </c>
      <c r="B162" t="s">
        <v>56</v>
      </c>
    </row>
    <row r="163" spans="1:2" hidden="1">
      <c r="A163">
        <v>111160032</v>
      </c>
      <c r="B163" t="s">
        <v>192</v>
      </c>
    </row>
    <row r="164" spans="1:2" hidden="1">
      <c r="A164">
        <v>11119007</v>
      </c>
      <c r="B164" t="s">
        <v>193</v>
      </c>
    </row>
    <row r="165" spans="1:2" hidden="1">
      <c r="A165">
        <v>11119010</v>
      </c>
      <c r="B165" t="s">
        <v>194</v>
      </c>
    </row>
    <row r="166" spans="1:2" hidden="1">
      <c r="A166">
        <v>11119086</v>
      </c>
      <c r="B166" t="s">
        <v>195</v>
      </c>
    </row>
    <row r="167" spans="1:2" hidden="1">
      <c r="A167">
        <v>111200005</v>
      </c>
      <c r="B167" t="s">
        <v>196</v>
      </c>
    </row>
    <row r="168" spans="1:2" hidden="1">
      <c r="A168">
        <v>11120027</v>
      </c>
      <c r="B168" t="s">
        <v>197</v>
      </c>
    </row>
    <row r="169" spans="1:2" hidden="1">
      <c r="A169">
        <v>11120029</v>
      </c>
      <c r="B169" t="s">
        <v>198</v>
      </c>
    </row>
    <row r="170" spans="1:2" hidden="1">
      <c r="A170">
        <v>11120037</v>
      </c>
      <c r="B170" t="s">
        <v>199</v>
      </c>
    </row>
    <row r="171" spans="1:2" hidden="1">
      <c r="A171">
        <v>11120086</v>
      </c>
      <c r="B171" t="s">
        <v>200</v>
      </c>
    </row>
    <row r="172" spans="1:2" hidden="1">
      <c r="A172">
        <v>11120102</v>
      </c>
      <c r="B172" t="s">
        <v>201</v>
      </c>
    </row>
    <row r="173" spans="1:2" hidden="1">
      <c r="A173">
        <v>11120110</v>
      </c>
      <c r="B173" t="s">
        <v>202</v>
      </c>
    </row>
    <row r="174" spans="1:2" hidden="1">
      <c r="A174">
        <v>11120111</v>
      </c>
      <c r="B174" t="s">
        <v>203</v>
      </c>
    </row>
    <row r="175" spans="1:2" hidden="1">
      <c r="A175">
        <v>11120112</v>
      </c>
      <c r="B175" t="s">
        <v>204</v>
      </c>
    </row>
    <row r="176" spans="1:2" hidden="1">
      <c r="A176" t="s">
        <v>205</v>
      </c>
      <c r="B176" t="s">
        <v>206</v>
      </c>
    </row>
    <row r="177" spans="1:2" hidden="1">
      <c r="A177">
        <v>11120113</v>
      </c>
      <c r="B177" t="s">
        <v>207</v>
      </c>
    </row>
    <row r="178" spans="1:2" hidden="1">
      <c r="A178">
        <v>11120114</v>
      </c>
      <c r="B178" t="s">
        <v>208</v>
      </c>
    </row>
    <row r="179" spans="1:2" hidden="1">
      <c r="A179">
        <v>11120115</v>
      </c>
      <c r="B179" t="s">
        <v>209</v>
      </c>
    </row>
    <row r="180" spans="1:2" hidden="1">
      <c r="A180">
        <v>11124030</v>
      </c>
      <c r="B180" t="s">
        <v>210</v>
      </c>
    </row>
    <row r="181" spans="1:2" hidden="1">
      <c r="A181" t="s">
        <v>211</v>
      </c>
      <c r="B181" t="s">
        <v>212</v>
      </c>
    </row>
    <row r="182" spans="1:2" hidden="1">
      <c r="A182">
        <v>11124031</v>
      </c>
      <c r="B182" t="s">
        <v>213</v>
      </c>
    </row>
    <row r="183" spans="1:2" hidden="1">
      <c r="A183" t="s">
        <v>214</v>
      </c>
      <c r="B183" t="s">
        <v>215</v>
      </c>
    </row>
    <row r="184" spans="1:2" hidden="1">
      <c r="A184">
        <v>11124032</v>
      </c>
      <c r="B184" t="s">
        <v>216</v>
      </c>
    </row>
    <row r="185" spans="1:2" hidden="1">
      <c r="A185">
        <v>11124033</v>
      </c>
      <c r="B185" t="s">
        <v>217</v>
      </c>
    </row>
    <row r="186" spans="1:2" hidden="1">
      <c r="A186">
        <v>11124042</v>
      </c>
      <c r="B186" t="s">
        <v>218</v>
      </c>
    </row>
    <row r="187" spans="1:2" hidden="1">
      <c r="A187">
        <v>11124043</v>
      </c>
      <c r="B187" t="s">
        <v>219</v>
      </c>
    </row>
    <row r="188" spans="1:2" hidden="1">
      <c r="A188">
        <v>11124044</v>
      </c>
      <c r="B188" t="s">
        <v>220</v>
      </c>
    </row>
    <row r="189" spans="1:2" hidden="1">
      <c r="A189">
        <v>11127003</v>
      </c>
      <c r="B189" t="s">
        <v>221</v>
      </c>
    </row>
    <row r="190" spans="1:2" hidden="1">
      <c r="A190">
        <v>11133013</v>
      </c>
      <c r="B190" t="s">
        <v>222</v>
      </c>
    </row>
    <row r="191" spans="1:2" hidden="1">
      <c r="A191">
        <v>11133014</v>
      </c>
      <c r="B191" t="s">
        <v>223</v>
      </c>
    </row>
    <row r="192" spans="1:2" hidden="1">
      <c r="A192">
        <v>11138013</v>
      </c>
      <c r="B192" t="s">
        <v>224</v>
      </c>
    </row>
    <row r="193" spans="1:2" hidden="1">
      <c r="A193">
        <v>11138014</v>
      </c>
      <c r="B193" t="s">
        <v>225</v>
      </c>
    </row>
    <row r="194" spans="1:2" hidden="1">
      <c r="A194">
        <v>11138015</v>
      </c>
      <c r="B194" t="s">
        <v>226</v>
      </c>
    </row>
    <row r="195" spans="1:2" hidden="1">
      <c r="A195">
        <v>111490006</v>
      </c>
      <c r="B195" t="s">
        <v>227</v>
      </c>
    </row>
    <row r="196" spans="1:2" hidden="1">
      <c r="A196">
        <v>111570002</v>
      </c>
      <c r="B196" t="s">
        <v>228</v>
      </c>
    </row>
    <row r="197" spans="1:2" hidden="1">
      <c r="A197">
        <v>111570003</v>
      </c>
      <c r="B197" t="s">
        <v>229</v>
      </c>
    </row>
    <row r="198" spans="1:2" hidden="1">
      <c r="A198">
        <v>111580000</v>
      </c>
      <c r="B198" t="s">
        <v>230</v>
      </c>
    </row>
    <row r="199" spans="1:2" hidden="1">
      <c r="A199">
        <v>111630008</v>
      </c>
      <c r="B199" t="s">
        <v>231</v>
      </c>
    </row>
    <row r="200" spans="1:2" hidden="1">
      <c r="A200">
        <v>111630014</v>
      </c>
      <c r="B200" t="s">
        <v>232</v>
      </c>
    </row>
    <row r="201" spans="1:2" hidden="1">
      <c r="A201">
        <v>111910000</v>
      </c>
      <c r="B201" t="s">
        <v>233</v>
      </c>
    </row>
    <row r="202" spans="1:2" hidden="1">
      <c r="A202">
        <v>112030008</v>
      </c>
      <c r="B202" t="s">
        <v>234</v>
      </c>
    </row>
    <row r="203" spans="1:2" hidden="1">
      <c r="A203">
        <v>112030009</v>
      </c>
      <c r="B203" t="s">
        <v>235</v>
      </c>
    </row>
    <row r="204" spans="1:2" hidden="1">
      <c r="A204">
        <v>112030010</v>
      </c>
      <c r="B204" t="s">
        <v>236</v>
      </c>
    </row>
    <row r="205" spans="1:2" hidden="1">
      <c r="A205">
        <v>112030019</v>
      </c>
      <c r="B205" t="s">
        <v>237</v>
      </c>
    </row>
    <row r="206" spans="1:2" hidden="1">
      <c r="A206">
        <v>112030023</v>
      </c>
      <c r="B206" t="s">
        <v>238</v>
      </c>
    </row>
    <row r="207" spans="1:2" hidden="1">
      <c r="A207">
        <v>112070010</v>
      </c>
      <c r="B207" t="s">
        <v>239</v>
      </c>
    </row>
    <row r="208" spans="1:2" hidden="1">
      <c r="A208">
        <v>112500011</v>
      </c>
      <c r="B208" t="s">
        <v>164</v>
      </c>
    </row>
    <row r="209" spans="1:2" hidden="1">
      <c r="A209">
        <v>112500046</v>
      </c>
      <c r="B209" t="s">
        <v>30</v>
      </c>
    </row>
    <row r="210" spans="1:2" hidden="1">
      <c r="A210">
        <v>112500047</v>
      </c>
      <c r="B210" t="s">
        <v>26</v>
      </c>
    </row>
    <row r="211" spans="1:2" hidden="1">
      <c r="A211">
        <v>112500048</v>
      </c>
      <c r="B211" t="s">
        <v>240</v>
      </c>
    </row>
    <row r="212" spans="1:2" hidden="1">
      <c r="A212">
        <v>112500049</v>
      </c>
      <c r="B212" t="s">
        <v>241</v>
      </c>
    </row>
    <row r="213" spans="1:2" hidden="1">
      <c r="A213">
        <v>112500052</v>
      </c>
      <c r="B213" t="s">
        <v>22</v>
      </c>
    </row>
    <row r="214" spans="1:2" hidden="1">
      <c r="A214">
        <v>112500053</v>
      </c>
      <c r="B214" t="s">
        <v>242</v>
      </c>
    </row>
    <row r="215" spans="1:2" hidden="1">
      <c r="A215">
        <v>112510001</v>
      </c>
      <c r="B215" t="s">
        <v>243</v>
      </c>
    </row>
    <row r="216" spans="1:2" hidden="1">
      <c r="A216">
        <v>112510035</v>
      </c>
      <c r="B216" t="s">
        <v>244</v>
      </c>
    </row>
    <row r="217" spans="1:2" hidden="1">
      <c r="A217">
        <v>112510036</v>
      </c>
      <c r="B217" t="s">
        <v>245</v>
      </c>
    </row>
    <row r="218" spans="1:2" hidden="1">
      <c r="A218">
        <v>112520010</v>
      </c>
      <c r="B218" t="s">
        <v>163</v>
      </c>
    </row>
    <row r="219" spans="1:2" hidden="1">
      <c r="A219">
        <v>112520024</v>
      </c>
      <c r="B219" t="s">
        <v>246</v>
      </c>
    </row>
    <row r="220" spans="1:2" hidden="1">
      <c r="A220">
        <v>112520025</v>
      </c>
      <c r="B220" t="s">
        <v>29</v>
      </c>
    </row>
    <row r="221" spans="1:2" hidden="1">
      <c r="A221">
        <v>112570005</v>
      </c>
      <c r="B221" t="s">
        <v>247</v>
      </c>
    </row>
    <row r="222" spans="1:2" hidden="1">
      <c r="A222">
        <v>112570016</v>
      </c>
      <c r="B222" t="s">
        <v>248</v>
      </c>
    </row>
    <row r="223" spans="1:2" hidden="1">
      <c r="A223">
        <v>112570041</v>
      </c>
      <c r="B223" t="s">
        <v>249</v>
      </c>
    </row>
    <row r="224" spans="1:2" hidden="1">
      <c r="A224">
        <v>112570068</v>
      </c>
      <c r="B224" t="s">
        <v>250</v>
      </c>
    </row>
    <row r="225" spans="1:2" hidden="1">
      <c r="A225">
        <v>112570073</v>
      </c>
      <c r="B225" t="s">
        <v>251</v>
      </c>
    </row>
    <row r="226" spans="1:2" hidden="1">
      <c r="A226">
        <v>112570093</v>
      </c>
      <c r="B226" t="s">
        <v>28</v>
      </c>
    </row>
    <row r="227" spans="1:2" hidden="1">
      <c r="A227">
        <v>112570123</v>
      </c>
      <c r="B227" t="s">
        <v>252</v>
      </c>
    </row>
    <row r="228" spans="1:2" hidden="1">
      <c r="A228">
        <v>112570124</v>
      </c>
      <c r="B228" t="s">
        <v>253</v>
      </c>
    </row>
    <row r="229" spans="1:2" hidden="1">
      <c r="A229">
        <v>112570125</v>
      </c>
      <c r="B229" t="s">
        <v>254</v>
      </c>
    </row>
    <row r="230" spans="1:2" hidden="1">
      <c r="A230">
        <v>112570126</v>
      </c>
      <c r="B230" t="s">
        <v>255</v>
      </c>
    </row>
    <row r="231" spans="1:2" hidden="1">
      <c r="A231">
        <v>112570127</v>
      </c>
      <c r="B231" t="s">
        <v>256</v>
      </c>
    </row>
    <row r="232" spans="1:2" hidden="1">
      <c r="A232">
        <v>112570128</v>
      </c>
      <c r="B232" t="s">
        <v>257</v>
      </c>
    </row>
    <row r="233" spans="1:2" hidden="1">
      <c r="A233">
        <v>112570209</v>
      </c>
      <c r="B233" t="s">
        <v>258</v>
      </c>
    </row>
    <row r="234" spans="1:2" hidden="1">
      <c r="A234">
        <v>112570211</v>
      </c>
      <c r="B234" t="s">
        <v>259</v>
      </c>
    </row>
    <row r="235" spans="1:2" hidden="1">
      <c r="A235">
        <v>112570238</v>
      </c>
      <c r="B235" t="s">
        <v>260</v>
      </c>
    </row>
    <row r="236" spans="1:2" hidden="1">
      <c r="A236">
        <v>112570242</v>
      </c>
      <c r="B236" t="s">
        <v>261</v>
      </c>
    </row>
    <row r="237" spans="1:2" hidden="1">
      <c r="A237">
        <v>112570244</v>
      </c>
      <c r="B237" t="s">
        <v>262</v>
      </c>
    </row>
    <row r="238" spans="1:2" hidden="1">
      <c r="A238">
        <v>112570246</v>
      </c>
      <c r="B238" t="s">
        <v>263</v>
      </c>
    </row>
    <row r="239" spans="1:2" hidden="1">
      <c r="A239">
        <v>112580017</v>
      </c>
      <c r="B239" t="s">
        <v>264</v>
      </c>
    </row>
    <row r="240" spans="1:2" hidden="1">
      <c r="A240">
        <v>112580027</v>
      </c>
      <c r="B240" t="s">
        <v>265</v>
      </c>
    </row>
    <row r="241" spans="1:2" hidden="1">
      <c r="A241">
        <v>112580058</v>
      </c>
      <c r="B241" t="s">
        <v>266</v>
      </c>
    </row>
    <row r="242" spans="1:2" hidden="1">
      <c r="A242">
        <v>112600000</v>
      </c>
      <c r="B242" t="s">
        <v>267</v>
      </c>
    </row>
    <row r="243" spans="1:2" hidden="1">
      <c r="A243">
        <v>112600001</v>
      </c>
      <c r="B243" t="s">
        <v>268</v>
      </c>
    </row>
    <row r="244" spans="1:2" hidden="1">
      <c r="A244">
        <v>112610067</v>
      </c>
      <c r="B244" t="s">
        <v>269</v>
      </c>
    </row>
    <row r="245" spans="1:2" hidden="1">
      <c r="A245">
        <v>112610068</v>
      </c>
      <c r="B245" t="s">
        <v>270</v>
      </c>
    </row>
    <row r="246" spans="1:2" hidden="1">
      <c r="A246">
        <v>112610069</v>
      </c>
      <c r="B246" t="s">
        <v>271</v>
      </c>
    </row>
    <row r="247" spans="1:2" hidden="1">
      <c r="A247">
        <v>112610070</v>
      </c>
      <c r="B247" t="s">
        <v>272</v>
      </c>
    </row>
    <row r="248" spans="1:2" hidden="1">
      <c r="A248">
        <v>112610071</v>
      </c>
      <c r="B248" t="s">
        <v>273</v>
      </c>
    </row>
    <row r="249" spans="1:2" hidden="1">
      <c r="A249">
        <v>112620016</v>
      </c>
      <c r="B249" t="s">
        <v>274</v>
      </c>
    </row>
    <row r="250" spans="1:2" hidden="1">
      <c r="A250">
        <v>112660000</v>
      </c>
      <c r="B250" t="s">
        <v>275</v>
      </c>
    </row>
    <row r="251" spans="1:2" hidden="1">
      <c r="A251">
        <v>112730000</v>
      </c>
      <c r="B251" t="s">
        <v>276</v>
      </c>
    </row>
    <row r="252" spans="1:2" hidden="1">
      <c r="A252">
        <v>112890000</v>
      </c>
      <c r="B252" t="s">
        <v>277</v>
      </c>
    </row>
    <row r="253" spans="1:2" hidden="1">
      <c r="A253">
        <v>112910007</v>
      </c>
      <c r="B253" t="s">
        <v>278</v>
      </c>
    </row>
    <row r="254" spans="1:2" hidden="1">
      <c r="A254">
        <v>112930022</v>
      </c>
      <c r="B254" t="s">
        <v>279</v>
      </c>
    </row>
    <row r="255" spans="1:2" hidden="1">
      <c r="A255">
        <v>112930023</v>
      </c>
      <c r="B255" t="s">
        <v>280</v>
      </c>
    </row>
    <row r="256" spans="1:2" hidden="1">
      <c r="A256">
        <v>112930045</v>
      </c>
      <c r="B256" t="s">
        <v>281</v>
      </c>
    </row>
    <row r="257" spans="1:2" hidden="1">
      <c r="A257">
        <v>112930047</v>
      </c>
      <c r="B257" t="s">
        <v>282</v>
      </c>
    </row>
    <row r="258" spans="1:2" hidden="1">
      <c r="A258">
        <v>112930048</v>
      </c>
      <c r="B258" t="s">
        <v>283</v>
      </c>
    </row>
    <row r="259" spans="1:2" hidden="1">
      <c r="A259">
        <v>112930049</v>
      </c>
      <c r="B259" t="s">
        <v>284</v>
      </c>
    </row>
    <row r="260" spans="1:2" hidden="1">
      <c r="A260">
        <v>112930063</v>
      </c>
      <c r="B260" t="s">
        <v>285</v>
      </c>
    </row>
    <row r="261" spans="1:2" hidden="1">
      <c r="A261">
        <v>112930068</v>
      </c>
      <c r="B261" t="s">
        <v>286</v>
      </c>
    </row>
    <row r="262" spans="1:2" hidden="1">
      <c r="A262">
        <v>112930076</v>
      </c>
      <c r="B262" t="s">
        <v>287</v>
      </c>
    </row>
    <row r="263" spans="1:2" hidden="1">
      <c r="A263">
        <v>112950019</v>
      </c>
      <c r="B263" t="s">
        <v>288</v>
      </c>
    </row>
    <row r="264" spans="1:2" hidden="1">
      <c r="A264">
        <v>112950020</v>
      </c>
      <c r="B264" t="s">
        <v>289</v>
      </c>
    </row>
    <row r="265" spans="1:2" hidden="1">
      <c r="A265">
        <v>112950021</v>
      </c>
      <c r="B265" t="s">
        <v>290</v>
      </c>
    </row>
    <row r="266" spans="1:2" hidden="1">
      <c r="A266">
        <v>112960004</v>
      </c>
      <c r="B266" t="s">
        <v>291</v>
      </c>
    </row>
    <row r="267" spans="1:2" hidden="1">
      <c r="A267">
        <v>112970010</v>
      </c>
      <c r="B267" t="s">
        <v>292</v>
      </c>
    </row>
    <row r="268" spans="1:2" hidden="1">
      <c r="A268">
        <v>113100004</v>
      </c>
      <c r="B268" t="s">
        <v>293</v>
      </c>
    </row>
    <row r="269" spans="1:2" hidden="1">
      <c r="A269">
        <v>113120009</v>
      </c>
      <c r="B269" t="s">
        <v>294</v>
      </c>
    </row>
    <row r="270" spans="1:2" hidden="1">
      <c r="A270">
        <v>113120010</v>
      </c>
      <c r="B270" t="s">
        <v>295</v>
      </c>
    </row>
    <row r="271" spans="1:2" hidden="1">
      <c r="A271">
        <v>113290025</v>
      </c>
      <c r="B271" t="s">
        <v>296</v>
      </c>
    </row>
    <row r="272" spans="1:2" hidden="1">
      <c r="A272">
        <v>113290044</v>
      </c>
      <c r="B272" t="s">
        <v>297</v>
      </c>
    </row>
    <row r="273" spans="1:2" hidden="1">
      <c r="A273">
        <v>113430016</v>
      </c>
      <c r="B273" t="s">
        <v>298</v>
      </c>
    </row>
    <row r="274" spans="1:2" hidden="1">
      <c r="A274">
        <v>113430018</v>
      </c>
      <c r="B274" t="s">
        <v>299</v>
      </c>
    </row>
    <row r="275" spans="1:2" hidden="1">
      <c r="A275">
        <v>113430051</v>
      </c>
      <c r="B275" t="s">
        <v>300</v>
      </c>
    </row>
    <row r="276" spans="1:2" hidden="1">
      <c r="A276">
        <v>113430073</v>
      </c>
      <c r="B276" t="s">
        <v>301</v>
      </c>
    </row>
    <row r="277" spans="1:2" hidden="1">
      <c r="A277">
        <v>113600014</v>
      </c>
      <c r="B277" t="s">
        <v>302</v>
      </c>
    </row>
    <row r="278" spans="1:2" hidden="1">
      <c r="A278">
        <v>113600015</v>
      </c>
      <c r="B278" t="s">
        <v>303</v>
      </c>
    </row>
    <row r="279" spans="1:2" hidden="1">
      <c r="A279">
        <v>113600016</v>
      </c>
      <c r="B279" t="s">
        <v>304</v>
      </c>
    </row>
    <row r="280" spans="1:2" hidden="1">
      <c r="A280">
        <v>113600017</v>
      </c>
      <c r="B280" t="s">
        <v>305</v>
      </c>
    </row>
    <row r="281" spans="1:2" hidden="1">
      <c r="A281">
        <v>113610005</v>
      </c>
      <c r="B281" t="s">
        <v>306</v>
      </c>
    </row>
    <row r="282" spans="1:2" hidden="1">
      <c r="A282">
        <v>113620002</v>
      </c>
      <c r="B282" t="s">
        <v>307</v>
      </c>
    </row>
    <row r="283" spans="1:2" hidden="1">
      <c r="A283">
        <v>114270004</v>
      </c>
      <c r="B283" t="s">
        <v>308</v>
      </c>
    </row>
    <row r="284" spans="1:2" hidden="1">
      <c r="A284">
        <v>114270008</v>
      </c>
      <c r="B284" t="s">
        <v>309</v>
      </c>
    </row>
    <row r="285" spans="1:2" hidden="1">
      <c r="A285">
        <v>114300004</v>
      </c>
      <c r="B285" t="s">
        <v>310</v>
      </c>
    </row>
    <row r="286" spans="1:2" hidden="1">
      <c r="A286">
        <v>115000004</v>
      </c>
      <c r="B286" t="s">
        <v>311</v>
      </c>
    </row>
    <row r="287" spans="1:2" hidden="1">
      <c r="A287">
        <v>115000005</v>
      </c>
      <c r="B287" t="s">
        <v>312</v>
      </c>
    </row>
    <row r="288" spans="1:2" hidden="1">
      <c r="A288">
        <v>115000007</v>
      </c>
      <c r="B288" t="s">
        <v>313</v>
      </c>
    </row>
    <row r="289" spans="1:2" hidden="1">
      <c r="A289">
        <v>115000008</v>
      </c>
      <c r="B289" t="s">
        <v>314</v>
      </c>
    </row>
    <row r="290" spans="1:2" hidden="1">
      <c r="A290">
        <v>115000018</v>
      </c>
      <c r="B290" t="s">
        <v>315</v>
      </c>
    </row>
    <row r="291" spans="1:2" hidden="1">
      <c r="A291">
        <v>115000020</v>
      </c>
      <c r="B291" t="s">
        <v>316</v>
      </c>
    </row>
    <row r="292" spans="1:2" hidden="1">
      <c r="A292">
        <v>115000022</v>
      </c>
      <c r="B292" t="s">
        <v>317</v>
      </c>
    </row>
    <row r="293" spans="1:2" hidden="1">
      <c r="A293">
        <v>115000025</v>
      </c>
      <c r="B293" t="s">
        <v>318</v>
      </c>
    </row>
    <row r="294" spans="1:2" hidden="1">
      <c r="A294">
        <v>115000046</v>
      </c>
      <c r="B294" t="s">
        <v>319</v>
      </c>
    </row>
    <row r="295" spans="1:2" hidden="1">
      <c r="A295">
        <v>115000047</v>
      </c>
      <c r="B295" t="s">
        <v>320</v>
      </c>
    </row>
    <row r="296" spans="1:2" hidden="1">
      <c r="A296">
        <v>115000048</v>
      </c>
      <c r="B296" t="s">
        <v>321</v>
      </c>
    </row>
    <row r="297" spans="1:2" hidden="1">
      <c r="A297">
        <v>115000052</v>
      </c>
      <c r="B297" t="s">
        <v>322</v>
      </c>
    </row>
    <row r="298" spans="1:2" hidden="1">
      <c r="A298">
        <v>115000054</v>
      </c>
      <c r="B298" t="s">
        <v>323</v>
      </c>
    </row>
    <row r="299" spans="1:2" hidden="1">
      <c r="A299">
        <v>115000055</v>
      </c>
      <c r="B299" t="s">
        <v>324</v>
      </c>
    </row>
    <row r="300" spans="1:2" hidden="1">
      <c r="A300">
        <v>115000056</v>
      </c>
      <c r="B300" t="s">
        <v>325</v>
      </c>
    </row>
    <row r="301" spans="1:2" hidden="1">
      <c r="A301">
        <v>115000057</v>
      </c>
      <c r="B301" t="s">
        <v>326</v>
      </c>
    </row>
    <row r="302" spans="1:2" hidden="1">
      <c r="A302">
        <v>115000075</v>
      </c>
      <c r="B302" t="s">
        <v>327</v>
      </c>
    </row>
    <row r="303" spans="1:2" hidden="1">
      <c r="A303">
        <v>115000081</v>
      </c>
      <c r="B303" t="s">
        <v>328</v>
      </c>
    </row>
    <row r="304" spans="1:2" hidden="1">
      <c r="A304">
        <v>115000082</v>
      </c>
      <c r="B304" t="s">
        <v>329</v>
      </c>
    </row>
    <row r="305" spans="1:2" hidden="1">
      <c r="A305">
        <v>115000083</v>
      </c>
      <c r="B305" t="s">
        <v>330</v>
      </c>
    </row>
    <row r="306" spans="1:2" hidden="1">
      <c r="A306">
        <v>115000088</v>
      </c>
      <c r="B306" t="s">
        <v>331</v>
      </c>
    </row>
    <row r="307" spans="1:2" hidden="1">
      <c r="A307">
        <v>115010029</v>
      </c>
      <c r="B307" t="s">
        <v>332</v>
      </c>
    </row>
    <row r="308" spans="1:2" hidden="1">
      <c r="A308">
        <v>115010031</v>
      </c>
      <c r="B308" t="s">
        <v>333</v>
      </c>
    </row>
    <row r="309" spans="1:2" hidden="1">
      <c r="A309">
        <v>115010046</v>
      </c>
      <c r="B309" t="s">
        <v>334</v>
      </c>
    </row>
    <row r="310" spans="1:2" hidden="1">
      <c r="A310">
        <v>115020012</v>
      </c>
      <c r="B310" t="s">
        <v>335</v>
      </c>
    </row>
    <row r="311" spans="1:2" hidden="1">
      <c r="A311">
        <v>115020025</v>
      </c>
      <c r="B311" t="s">
        <v>336</v>
      </c>
    </row>
    <row r="312" spans="1:2" hidden="1">
      <c r="A312">
        <v>115030007</v>
      </c>
      <c r="B312" t="s">
        <v>337</v>
      </c>
    </row>
    <row r="313" spans="1:2" hidden="1">
      <c r="A313">
        <v>115030012</v>
      </c>
      <c r="B313" t="s">
        <v>338</v>
      </c>
    </row>
    <row r="314" spans="1:2" hidden="1">
      <c r="A314">
        <v>115030016</v>
      </c>
      <c r="B314" t="s">
        <v>339</v>
      </c>
    </row>
    <row r="315" spans="1:2" hidden="1">
      <c r="A315">
        <v>115030017</v>
      </c>
      <c r="B315" t="s">
        <v>340</v>
      </c>
    </row>
    <row r="316" spans="1:2" hidden="1">
      <c r="A316">
        <v>115030024</v>
      </c>
      <c r="B316" t="s">
        <v>341</v>
      </c>
    </row>
    <row r="317" spans="1:2" hidden="1">
      <c r="A317">
        <v>115030026</v>
      </c>
      <c r="B317" t="s">
        <v>342</v>
      </c>
    </row>
    <row r="318" spans="1:2" hidden="1">
      <c r="A318">
        <v>115040008</v>
      </c>
      <c r="B318" t="s">
        <v>343</v>
      </c>
    </row>
    <row r="319" spans="1:2" hidden="1">
      <c r="A319">
        <v>115050000</v>
      </c>
      <c r="B319" t="s">
        <v>344</v>
      </c>
    </row>
    <row r="320" spans="1:2" hidden="1">
      <c r="A320">
        <v>115050005</v>
      </c>
      <c r="B320" t="s">
        <v>345</v>
      </c>
    </row>
    <row r="321" spans="1:2" hidden="1">
      <c r="A321">
        <v>115050014</v>
      </c>
      <c r="B321" t="s">
        <v>346</v>
      </c>
    </row>
    <row r="322" spans="1:2" hidden="1">
      <c r="A322">
        <v>115100011</v>
      </c>
      <c r="B322" t="s">
        <v>347</v>
      </c>
    </row>
    <row r="323" spans="1:2" hidden="1">
      <c r="A323">
        <v>115100013</v>
      </c>
      <c r="B323" t="s">
        <v>348</v>
      </c>
    </row>
    <row r="324" spans="1:2" hidden="1">
      <c r="A324">
        <v>115100014</v>
      </c>
      <c r="B324" t="s">
        <v>349</v>
      </c>
    </row>
    <row r="325" spans="1:2" hidden="1">
      <c r="A325">
        <v>115100015</v>
      </c>
      <c r="B325" t="s">
        <v>350</v>
      </c>
    </row>
    <row r="326" spans="1:2" hidden="1">
      <c r="A326">
        <v>115100016</v>
      </c>
      <c r="B326" t="s">
        <v>351</v>
      </c>
    </row>
    <row r="327" spans="1:2" hidden="1">
      <c r="A327">
        <v>115100023</v>
      </c>
      <c r="B327" t="s">
        <v>352</v>
      </c>
    </row>
    <row r="328" spans="1:2" hidden="1">
      <c r="A328">
        <v>115110011</v>
      </c>
      <c r="B328" t="s">
        <v>353</v>
      </c>
    </row>
    <row r="329" spans="1:2" hidden="1">
      <c r="A329">
        <v>115110017</v>
      </c>
      <c r="B329" t="s">
        <v>354</v>
      </c>
    </row>
    <row r="330" spans="1:2" hidden="1">
      <c r="A330">
        <v>115110031</v>
      </c>
      <c r="B330" t="s">
        <v>355</v>
      </c>
    </row>
    <row r="331" spans="1:2" hidden="1">
      <c r="A331">
        <v>115110040</v>
      </c>
      <c r="B331" t="s">
        <v>356</v>
      </c>
    </row>
    <row r="332" spans="1:2" hidden="1">
      <c r="A332">
        <v>115110041</v>
      </c>
      <c r="B332" t="s">
        <v>357</v>
      </c>
    </row>
    <row r="333" spans="1:2" hidden="1">
      <c r="A333">
        <v>115110050</v>
      </c>
      <c r="B333" t="s">
        <v>358</v>
      </c>
    </row>
    <row r="334" spans="1:2" hidden="1">
      <c r="A334">
        <v>115110051</v>
      </c>
      <c r="B334" t="s">
        <v>359</v>
      </c>
    </row>
    <row r="335" spans="1:2" hidden="1">
      <c r="A335">
        <v>115120002</v>
      </c>
      <c r="B335" t="s">
        <v>360</v>
      </c>
    </row>
    <row r="336" spans="1:2" hidden="1">
      <c r="A336">
        <v>115120021</v>
      </c>
      <c r="B336" t="s">
        <v>361</v>
      </c>
    </row>
    <row r="337" spans="1:2" hidden="1">
      <c r="A337">
        <v>115120040</v>
      </c>
      <c r="B337" t="s">
        <v>362</v>
      </c>
    </row>
    <row r="338" spans="1:2" hidden="1">
      <c r="A338">
        <v>115120050</v>
      </c>
      <c r="B338" t="s">
        <v>363</v>
      </c>
    </row>
    <row r="339" spans="1:2" hidden="1">
      <c r="A339">
        <v>115120051</v>
      </c>
      <c r="B339" t="s">
        <v>364</v>
      </c>
    </row>
    <row r="340" spans="1:2" hidden="1">
      <c r="A340">
        <v>115120052</v>
      </c>
      <c r="B340" t="s">
        <v>365</v>
      </c>
    </row>
    <row r="341" spans="1:2" hidden="1">
      <c r="A341">
        <v>115120053</v>
      </c>
      <c r="B341" t="s">
        <v>366</v>
      </c>
    </row>
    <row r="342" spans="1:2" hidden="1">
      <c r="A342">
        <v>115120073</v>
      </c>
      <c r="B342" t="s">
        <v>367</v>
      </c>
    </row>
    <row r="343" spans="1:2" hidden="1">
      <c r="A343">
        <v>115120074</v>
      </c>
      <c r="B343" t="s">
        <v>368</v>
      </c>
    </row>
    <row r="344" spans="1:2" hidden="1">
      <c r="A344">
        <v>115130004</v>
      </c>
      <c r="B344" t="s">
        <v>369</v>
      </c>
    </row>
    <row r="345" spans="1:2" hidden="1">
      <c r="A345">
        <v>115130007</v>
      </c>
      <c r="B345" t="s">
        <v>370</v>
      </c>
    </row>
    <row r="346" spans="1:2" hidden="1">
      <c r="A346">
        <v>115160004</v>
      </c>
      <c r="B346" t="s">
        <v>371</v>
      </c>
    </row>
    <row r="347" spans="1:2" hidden="1">
      <c r="A347">
        <v>115160006</v>
      </c>
      <c r="B347" t="s">
        <v>372</v>
      </c>
    </row>
    <row r="348" spans="1:2" hidden="1">
      <c r="A348">
        <v>115160007</v>
      </c>
      <c r="B348" t="s">
        <v>373</v>
      </c>
    </row>
    <row r="349" spans="1:2" hidden="1">
      <c r="A349">
        <v>115160010</v>
      </c>
      <c r="B349" t="s">
        <v>374</v>
      </c>
    </row>
    <row r="350" spans="1:2" hidden="1">
      <c r="A350">
        <v>115170001</v>
      </c>
      <c r="B350" t="s">
        <v>375</v>
      </c>
    </row>
    <row r="351" spans="1:2" hidden="1">
      <c r="A351">
        <v>115170007</v>
      </c>
      <c r="B351" t="s">
        <v>376</v>
      </c>
    </row>
    <row r="352" spans="1:2" hidden="1">
      <c r="A352">
        <v>115180006</v>
      </c>
      <c r="B352" t="s">
        <v>377</v>
      </c>
    </row>
    <row r="353" spans="1:2" hidden="1">
      <c r="A353">
        <v>115180012</v>
      </c>
      <c r="B353" t="s">
        <v>378</v>
      </c>
    </row>
    <row r="354" spans="1:2" hidden="1">
      <c r="A354">
        <v>115230015</v>
      </c>
      <c r="B354" t="s">
        <v>379</v>
      </c>
    </row>
    <row r="355" spans="1:2" hidden="1">
      <c r="A355">
        <v>115230020</v>
      </c>
      <c r="B355" t="s">
        <v>380</v>
      </c>
    </row>
    <row r="356" spans="1:2" hidden="1">
      <c r="A356">
        <v>115230051</v>
      </c>
      <c r="B356" t="s">
        <v>381</v>
      </c>
    </row>
    <row r="357" spans="1:2" hidden="1">
      <c r="A357">
        <v>115230054</v>
      </c>
      <c r="B357" t="s">
        <v>382</v>
      </c>
    </row>
    <row r="358" spans="1:2" hidden="1">
      <c r="A358">
        <v>115230057</v>
      </c>
      <c r="B358" t="s">
        <v>383</v>
      </c>
    </row>
    <row r="359" spans="1:2" hidden="1">
      <c r="A359">
        <v>115260001</v>
      </c>
      <c r="B359" t="s">
        <v>384</v>
      </c>
    </row>
    <row r="360" spans="1:2" hidden="1">
      <c r="A360">
        <v>115260024</v>
      </c>
      <c r="B360" t="s">
        <v>385</v>
      </c>
    </row>
    <row r="361" spans="1:2" hidden="1">
      <c r="A361">
        <v>115260038</v>
      </c>
      <c r="B361" t="s">
        <v>386</v>
      </c>
    </row>
    <row r="362" spans="1:2" hidden="1">
      <c r="A362">
        <v>115330015</v>
      </c>
      <c r="B362" t="s">
        <v>387</v>
      </c>
    </row>
    <row r="363" spans="1:2" hidden="1">
      <c r="A363">
        <v>115360001</v>
      </c>
      <c r="B363" t="s">
        <v>388</v>
      </c>
    </row>
    <row r="364" spans="1:2" hidden="1">
      <c r="A364">
        <v>115360008</v>
      </c>
      <c r="B364" t="s">
        <v>389</v>
      </c>
    </row>
    <row r="365" spans="1:2" hidden="1">
      <c r="A365">
        <v>115400002</v>
      </c>
      <c r="B365" t="s">
        <v>390</v>
      </c>
    </row>
    <row r="366" spans="1:2" hidden="1">
      <c r="A366">
        <v>115890038</v>
      </c>
      <c r="B366" t="s">
        <v>391</v>
      </c>
    </row>
    <row r="367" spans="1:2" hidden="1">
      <c r="A367">
        <v>115890039</v>
      </c>
      <c r="B367" t="s">
        <v>392</v>
      </c>
    </row>
    <row r="368" spans="1:2" hidden="1">
      <c r="A368">
        <v>115890040</v>
      </c>
      <c r="B368" t="s">
        <v>393</v>
      </c>
    </row>
    <row r="369" spans="1:2" hidden="1">
      <c r="A369">
        <v>115890043</v>
      </c>
      <c r="B369" t="s">
        <v>394</v>
      </c>
    </row>
    <row r="370" spans="1:2" hidden="1">
      <c r="A370">
        <v>116020020</v>
      </c>
      <c r="B370" t="s">
        <v>395</v>
      </c>
    </row>
    <row r="371" spans="1:2" hidden="1">
      <c r="A371">
        <v>116030003</v>
      </c>
      <c r="B371" t="s">
        <v>396</v>
      </c>
    </row>
    <row r="372" spans="1:2" hidden="1">
      <c r="A372">
        <v>12127001</v>
      </c>
      <c r="B372" t="s">
        <v>397</v>
      </c>
    </row>
    <row r="373" spans="1:2" hidden="1">
      <c r="A373">
        <v>12127002</v>
      </c>
      <c r="B373" t="s">
        <v>398</v>
      </c>
    </row>
    <row r="374" spans="1:2" hidden="1">
      <c r="A374">
        <v>12128009</v>
      </c>
      <c r="B374" t="s">
        <v>399</v>
      </c>
    </row>
    <row r="375" spans="1:2" hidden="1">
      <c r="A375">
        <v>12128010</v>
      </c>
      <c r="B375" t="s">
        <v>400</v>
      </c>
    </row>
    <row r="376" spans="1:2" hidden="1">
      <c r="A376">
        <v>12128011</v>
      </c>
      <c r="B376" t="s">
        <v>401</v>
      </c>
    </row>
    <row r="377" spans="1:2" hidden="1">
      <c r="A377">
        <v>12128016</v>
      </c>
      <c r="B377" t="s">
        <v>402</v>
      </c>
    </row>
    <row r="378" spans="1:2" hidden="1">
      <c r="A378">
        <v>12129008</v>
      </c>
      <c r="B378" t="s">
        <v>403</v>
      </c>
    </row>
    <row r="379" spans="1:2" hidden="1">
      <c r="A379">
        <v>12129016</v>
      </c>
      <c r="B379" t="s">
        <v>404</v>
      </c>
    </row>
    <row r="380" spans="1:2" hidden="1">
      <c r="A380">
        <v>12139013</v>
      </c>
      <c r="B380" t="s">
        <v>405</v>
      </c>
    </row>
    <row r="381" spans="1:2" hidden="1">
      <c r="A381">
        <v>13139001</v>
      </c>
      <c r="B381" t="s">
        <v>406</v>
      </c>
    </row>
    <row r="382" spans="1:2" hidden="1">
      <c r="A382">
        <v>13139002</v>
      </c>
      <c r="B382" t="s">
        <v>407</v>
      </c>
    </row>
    <row r="383" spans="1:2" hidden="1">
      <c r="A383">
        <v>13139003</v>
      </c>
      <c r="B383" t="s">
        <v>408</v>
      </c>
    </row>
    <row r="384" spans="1:2" hidden="1">
      <c r="A384">
        <v>13139004</v>
      </c>
      <c r="B384" t="s">
        <v>409</v>
      </c>
    </row>
    <row r="385" spans="1:2" hidden="1">
      <c r="A385">
        <v>13139005</v>
      </c>
      <c r="B385" t="s">
        <v>410</v>
      </c>
    </row>
    <row r="386" spans="1:2" hidden="1">
      <c r="A386">
        <v>13139006</v>
      </c>
      <c r="B386" t="s">
        <v>411</v>
      </c>
    </row>
    <row r="387" spans="1:2" hidden="1">
      <c r="A387">
        <v>13139007</v>
      </c>
      <c r="B387" t="s">
        <v>412</v>
      </c>
    </row>
    <row r="388" spans="1:2" hidden="1">
      <c r="A388">
        <v>13139008</v>
      </c>
      <c r="B388" t="s">
        <v>413</v>
      </c>
    </row>
    <row r="389" spans="1:2" hidden="1">
      <c r="A389">
        <v>13139009</v>
      </c>
      <c r="B389" t="s">
        <v>414</v>
      </c>
    </row>
    <row r="390" spans="1:2" hidden="1">
      <c r="A390">
        <v>13139010</v>
      </c>
      <c r="B390" t="s">
        <v>415</v>
      </c>
    </row>
    <row r="391" spans="1:2" hidden="1">
      <c r="A391">
        <v>1764</v>
      </c>
      <c r="B391" t="s">
        <v>277</v>
      </c>
    </row>
    <row r="392" spans="1:2" hidden="1">
      <c r="A392">
        <v>18151202</v>
      </c>
      <c r="B392" t="s">
        <v>416</v>
      </c>
    </row>
    <row r="393" spans="1:2" hidden="1">
      <c r="A393">
        <v>1815202</v>
      </c>
      <c r="B393" t="s">
        <v>417</v>
      </c>
    </row>
    <row r="394" spans="1:2" hidden="1">
      <c r="A394" t="s">
        <v>418</v>
      </c>
      <c r="B394" t="s">
        <v>419</v>
      </c>
    </row>
    <row r="395" spans="1:2" hidden="1">
      <c r="A395" t="s">
        <v>420</v>
      </c>
      <c r="B395" t="s">
        <v>419</v>
      </c>
    </row>
    <row r="396" spans="1:2" hidden="1">
      <c r="A396">
        <v>18161002</v>
      </c>
      <c r="B396" t="s">
        <v>421</v>
      </c>
    </row>
    <row r="397" spans="1:2" hidden="1">
      <c r="A397">
        <v>181740210</v>
      </c>
      <c r="B397" t="s">
        <v>422</v>
      </c>
    </row>
    <row r="398" spans="1:2" hidden="1">
      <c r="A398">
        <v>182010210</v>
      </c>
      <c r="B398" t="s">
        <v>423</v>
      </c>
    </row>
    <row r="399" spans="1:2" hidden="1">
      <c r="A399">
        <v>182020200</v>
      </c>
      <c r="B399" t="s">
        <v>424</v>
      </c>
    </row>
    <row r="400" spans="1:2" hidden="1">
      <c r="A400">
        <v>182020210</v>
      </c>
      <c r="B400" t="s">
        <v>425</v>
      </c>
    </row>
    <row r="401" spans="1:2" hidden="1">
      <c r="A401" t="s">
        <v>426</v>
      </c>
      <c r="B401" t="s">
        <v>425</v>
      </c>
    </row>
    <row r="402" spans="1:2" hidden="1">
      <c r="A402" t="s">
        <v>427</v>
      </c>
      <c r="B402" t="s">
        <v>428</v>
      </c>
    </row>
    <row r="403" spans="1:2" hidden="1">
      <c r="A403" t="s">
        <v>429</v>
      </c>
      <c r="B403" t="s">
        <v>428</v>
      </c>
    </row>
    <row r="404" spans="1:2" hidden="1">
      <c r="A404" t="s">
        <v>430</v>
      </c>
      <c r="B404" t="s">
        <v>431</v>
      </c>
    </row>
    <row r="405" spans="1:2" hidden="1">
      <c r="A405" t="s">
        <v>432</v>
      </c>
      <c r="B405" t="s">
        <v>431</v>
      </c>
    </row>
    <row r="406" spans="1:2" hidden="1">
      <c r="A406">
        <v>239991200</v>
      </c>
      <c r="B406" t="s">
        <v>433</v>
      </c>
    </row>
    <row r="407" spans="1:2" hidden="1">
      <c r="A407" t="s">
        <v>434</v>
      </c>
      <c r="B407" t="s">
        <v>433</v>
      </c>
    </row>
    <row r="408" spans="1:2" hidden="1">
      <c r="A408" t="s">
        <v>435</v>
      </c>
      <c r="B408" t="s">
        <v>433</v>
      </c>
    </row>
    <row r="409" spans="1:2" hidden="1">
      <c r="A409">
        <v>241020200</v>
      </c>
      <c r="B409" t="s">
        <v>436</v>
      </c>
    </row>
    <row r="410" spans="1:2" hidden="1">
      <c r="A410">
        <v>242320200</v>
      </c>
      <c r="B410" t="s">
        <v>437</v>
      </c>
    </row>
    <row r="411" spans="1:2" hidden="1">
      <c r="A411" t="s">
        <v>438</v>
      </c>
      <c r="B411" t="s">
        <v>439</v>
      </c>
    </row>
    <row r="412" spans="1:2" hidden="1">
      <c r="A412">
        <v>243860210</v>
      </c>
      <c r="B412" t="s">
        <v>440</v>
      </c>
    </row>
    <row r="413" spans="1:2" hidden="1">
      <c r="A413" t="s">
        <v>441</v>
      </c>
      <c r="B413" t="s">
        <v>442</v>
      </c>
    </row>
    <row r="414" spans="1:2" hidden="1">
      <c r="A414">
        <v>244610200</v>
      </c>
      <c r="B414" t="s">
        <v>443</v>
      </c>
    </row>
    <row r="415" spans="1:2" hidden="1">
      <c r="A415">
        <v>246260210</v>
      </c>
      <c r="B415" t="s">
        <v>444</v>
      </c>
    </row>
    <row r="416" spans="1:2" hidden="1">
      <c r="A416">
        <v>249150210</v>
      </c>
      <c r="B416" t="s">
        <v>445</v>
      </c>
    </row>
    <row r="417" spans="1:2" hidden="1">
      <c r="A417" t="s">
        <v>446</v>
      </c>
      <c r="B417" t="s">
        <v>445</v>
      </c>
    </row>
    <row r="418" spans="1:2" hidden="1">
      <c r="A418" t="s">
        <v>447</v>
      </c>
      <c r="B418" t="s">
        <v>445</v>
      </c>
    </row>
    <row r="419" spans="1:2" hidden="1">
      <c r="A419">
        <v>30207021</v>
      </c>
      <c r="B419" t="s">
        <v>448</v>
      </c>
    </row>
    <row r="420" spans="1:2" hidden="1">
      <c r="A420">
        <v>30207200</v>
      </c>
      <c r="B420" t="s">
        <v>449</v>
      </c>
    </row>
    <row r="421" spans="1:2" hidden="1">
      <c r="A421">
        <v>3065161</v>
      </c>
      <c r="B421" t="s">
        <v>450</v>
      </c>
    </row>
    <row r="422" spans="1:2" hidden="1">
      <c r="A422">
        <v>31501020</v>
      </c>
      <c r="B422" t="s">
        <v>451</v>
      </c>
    </row>
    <row r="423" spans="1:2" hidden="1">
      <c r="A423">
        <v>31901079</v>
      </c>
      <c r="B423" t="s">
        <v>452</v>
      </c>
    </row>
    <row r="424" spans="1:2" hidden="1">
      <c r="A424">
        <v>31901099</v>
      </c>
      <c r="B424" t="s">
        <v>453</v>
      </c>
    </row>
    <row r="425" spans="1:2" hidden="1">
      <c r="A425">
        <v>31901103</v>
      </c>
      <c r="B425" t="s">
        <v>454</v>
      </c>
    </row>
    <row r="426" spans="1:2" hidden="1">
      <c r="A426">
        <v>31901176</v>
      </c>
      <c r="B426" t="s">
        <v>455</v>
      </c>
    </row>
    <row r="427" spans="1:2" hidden="1">
      <c r="A427">
        <v>339150210</v>
      </c>
      <c r="B427" t="s">
        <v>456</v>
      </c>
    </row>
    <row r="428" spans="1:2" hidden="1">
      <c r="A428" t="s">
        <v>457</v>
      </c>
      <c r="B428" t="s">
        <v>456</v>
      </c>
    </row>
    <row r="429" spans="1:2" hidden="1">
      <c r="A429" t="s">
        <v>458</v>
      </c>
      <c r="B429" t="s">
        <v>456</v>
      </c>
    </row>
    <row r="430" spans="1:2" hidden="1">
      <c r="A430" t="s">
        <v>459</v>
      </c>
      <c r="B430" t="s">
        <v>460</v>
      </c>
    </row>
    <row r="431" spans="1:2" hidden="1">
      <c r="A431" t="s">
        <v>461</v>
      </c>
      <c r="B431" t="s">
        <v>460</v>
      </c>
    </row>
    <row r="432" spans="1:2" hidden="1">
      <c r="A432" t="s">
        <v>462</v>
      </c>
      <c r="B432" t="s">
        <v>463</v>
      </c>
    </row>
    <row r="433" spans="1:2" hidden="1">
      <c r="A433">
        <v>35911502</v>
      </c>
      <c r="B433" t="s">
        <v>464</v>
      </c>
    </row>
    <row r="434" spans="1:2" hidden="1">
      <c r="A434" t="s">
        <v>465</v>
      </c>
      <c r="B434" t="s">
        <v>464</v>
      </c>
    </row>
    <row r="435" spans="1:2" hidden="1">
      <c r="A435" t="s">
        <v>466</v>
      </c>
      <c r="B435" t="s">
        <v>464</v>
      </c>
    </row>
    <row r="436" spans="1:2" hidden="1">
      <c r="A436">
        <v>35931802</v>
      </c>
      <c r="B436" t="s">
        <v>467</v>
      </c>
    </row>
    <row r="437" spans="1:2" hidden="1">
      <c r="A437" t="s">
        <v>468</v>
      </c>
      <c r="B437" t="s">
        <v>469</v>
      </c>
    </row>
    <row r="438" spans="1:2" hidden="1">
      <c r="A438" t="s">
        <v>470</v>
      </c>
      <c r="B438" t="s">
        <v>471</v>
      </c>
    </row>
    <row r="439" spans="1:2" hidden="1">
      <c r="A439" t="s">
        <v>472</v>
      </c>
      <c r="B439" t="s">
        <v>471</v>
      </c>
    </row>
    <row r="440" spans="1:2" hidden="1">
      <c r="A440">
        <v>35971802</v>
      </c>
      <c r="B440" t="s">
        <v>473</v>
      </c>
    </row>
    <row r="441" spans="1:2" hidden="1">
      <c r="A441" t="s">
        <v>474</v>
      </c>
      <c r="B441" t="s">
        <v>475</v>
      </c>
    </row>
    <row r="442" spans="1:2" hidden="1">
      <c r="A442" t="s">
        <v>476</v>
      </c>
      <c r="B442" t="s">
        <v>477</v>
      </c>
    </row>
    <row r="443" spans="1:2" hidden="1">
      <c r="A443">
        <v>38911502</v>
      </c>
      <c r="B443" t="s">
        <v>478</v>
      </c>
    </row>
    <row r="444" spans="1:2" hidden="1">
      <c r="A444" t="s">
        <v>479</v>
      </c>
      <c r="B444" t="s">
        <v>480</v>
      </c>
    </row>
    <row r="445" spans="1:2" hidden="1">
      <c r="A445" t="s">
        <v>481</v>
      </c>
      <c r="B445" t="s">
        <v>482</v>
      </c>
    </row>
    <row r="446" spans="1:2" hidden="1">
      <c r="A446">
        <v>389140200</v>
      </c>
      <c r="B446" t="s">
        <v>483</v>
      </c>
    </row>
    <row r="447" spans="1:2" hidden="1">
      <c r="A447">
        <v>38931702</v>
      </c>
      <c r="B447" t="s">
        <v>484</v>
      </c>
    </row>
    <row r="448" spans="1:2" hidden="1">
      <c r="A448" t="s">
        <v>485</v>
      </c>
      <c r="B448" t="s">
        <v>486</v>
      </c>
    </row>
    <row r="449" spans="1:2" hidden="1">
      <c r="A449">
        <v>389982700</v>
      </c>
      <c r="B449" t="s">
        <v>487</v>
      </c>
    </row>
    <row r="450" spans="1:2" hidden="1">
      <c r="A450">
        <v>40101067</v>
      </c>
      <c r="B450" t="s">
        <v>488</v>
      </c>
    </row>
    <row r="451" spans="1:2" hidden="1">
      <c r="A451">
        <v>40101068</v>
      </c>
      <c r="B451" t="s">
        <v>489</v>
      </c>
    </row>
    <row r="452" spans="1:2" hidden="1">
      <c r="A452">
        <v>40101102</v>
      </c>
      <c r="B452" t="s">
        <v>490</v>
      </c>
    </row>
    <row r="453" spans="1:2" hidden="1">
      <c r="A453">
        <v>40101103</v>
      </c>
      <c r="B453" t="s">
        <v>491</v>
      </c>
    </row>
    <row r="454" spans="1:2" hidden="1">
      <c r="A454">
        <v>40104010</v>
      </c>
      <c r="B454" t="s">
        <v>492</v>
      </c>
    </row>
    <row r="455" spans="1:2" hidden="1">
      <c r="A455">
        <v>40104011</v>
      </c>
      <c r="B455" t="s">
        <v>493</v>
      </c>
    </row>
    <row r="456" spans="1:2" hidden="1">
      <c r="A456">
        <v>40125212</v>
      </c>
      <c r="B456" t="s">
        <v>494</v>
      </c>
    </row>
    <row r="457" spans="1:2" hidden="1">
      <c r="A457">
        <v>40125220</v>
      </c>
      <c r="B457" t="s">
        <v>495</v>
      </c>
    </row>
    <row r="458" spans="1:2" hidden="1">
      <c r="A458">
        <v>40125230</v>
      </c>
      <c r="B458" t="s">
        <v>496</v>
      </c>
    </row>
    <row r="459" spans="1:2" hidden="1">
      <c r="A459">
        <v>40125240</v>
      </c>
      <c r="B459" t="s">
        <v>497</v>
      </c>
    </row>
    <row r="460" spans="1:2" hidden="1">
      <c r="A460">
        <v>40125250</v>
      </c>
      <c r="B460" t="s">
        <v>498</v>
      </c>
    </row>
    <row r="461" spans="1:2" hidden="1">
      <c r="A461">
        <v>40125520</v>
      </c>
      <c r="B461" t="s">
        <v>499</v>
      </c>
    </row>
    <row r="462" spans="1:2" hidden="1">
      <c r="A462">
        <v>40134000</v>
      </c>
      <c r="B462" t="s">
        <v>500</v>
      </c>
    </row>
    <row r="463" spans="1:2" hidden="1">
      <c r="A463">
        <v>40134003</v>
      </c>
      <c r="B463" t="s">
        <v>501</v>
      </c>
    </row>
    <row r="464" spans="1:2" hidden="1">
      <c r="A464">
        <v>40134004</v>
      </c>
      <c r="B464" t="s">
        <v>502</v>
      </c>
    </row>
    <row r="465" spans="1:2" hidden="1">
      <c r="A465">
        <v>40136000</v>
      </c>
      <c r="B465" t="s">
        <v>503</v>
      </c>
    </row>
    <row r="466" spans="1:2" hidden="1">
      <c r="A466">
        <v>40136001</v>
      </c>
      <c r="B466" t="s">
        <v>504</v>
      </c>
    </row>
    <row r="467" spans="1:2" hidden="1">
      <c r="A467">
        <v>40136006</v>
      </c>
      <c r="B467" t="s">
        <v>505</v>
      </c>
    </row>
    <row r="468" spans="1:2" hidden="1">
      <c r="A468">
        <v>40136007</v>
      </c>
      <c r="B468" t="s">
        <v>506</v>
      </c>
    </row>
    <row r="469" spans="1:2" hidden="1">
      <c r="A469">
        <v>40136040</v>
      </c>
      <c r="B469" t="s">
        <v>507</v>
      </c>
    </row>
    <row r="470" spans="1:2" hidden="1">
      <c r="A470">
        <v>40136566</v>
      </c>
      <c r="B470" t="s">
        <v>508</v>
      </c>
    </row>
    <row r="471" spans="1:2" hidden="1">
      <c r="A471">
        <v>40136567</v>
      </c>
      <c r="B471" t="s">
        <v>509</v>
      </c>
    </row>
    <row r="472" spans="1:2" hidden="1">
      <c r="A472">
        <v>40136614</v>
      </c>
      <c r="B472" t="s">
        <v>510</v>
      </c>
    </row>
    <row r="473" spans="1:2" hidden="1">
      <c r="A473">
        <v>40136616</v>
      </c>
      <c r="B473" t="s">
        <v>511</v>
      </c>
    </row>
    <row r="474" spans="1:2" hidden="1">
      <c r="A474">
        <v>40136920</v>
      </c>
      <c r="B474" t="s">
        <v>512</v>
      </c>
    </row>
    <row r="475" spans="1:2" hidden="1">
      <c r="A475">
        <v>40136921</v>
      </c>
      <c r="B475" t="s">
        <v>513</v>
      </c>
    </row>
    <row r="476" spans="1:2" hidden="1">
      <c r="A476">
        <v>40138010</v>
      </c>
      <c r="B476" t="s">
        <v>514</v>
      </c>
    </row>
    <row r="477" spans="1:2" hidden="1">
      <c r="A477">
        <v>40140908</v>
      </c>
      <c r="B477" t="s">
        <v>515</v>
      </c>
    </row>
    <row r="478" spans="1:2" hidden="1">
      <c r="A478">
        <v>40140909</v>
      </c>
      <c r="B478" t="s">
        <v>516</v>
      </c>
    </row>
    <row r="479" spans="1:2" hidden="1">
      <c r="A479">
        <v>40140950</v>
      </c>
      <c r="B479" t="s">
        <v>517</v>
      </c>
    </row>
    <row r="480" spans="1:2" hidden="1">
      <c r="A480">
        <v>40140951</v>
      </c>
      <c r="B480" t="s">
        <v>518</v>
      </c>
    </row>
    <row r="481" spans="1:2" hidden="1">
      <c r="A481">
        <v>40140960</v>
      </c>
      <c r="B481" t="s">
        <v>519</v>
      </c>
    </row>
    <row r="482" spans="1:2" hidden="1">
      <c r="A482">
        <v>40140961</v>
      </c>
      <c r="B482" t="s">
        <v>520</v>
      </c>
    </row>
    <row r="483" spans="1:2" hidden="1">
      <c r="A483">
        <v>40141122</v>
      </c>
      <c r="B483" t="s">
        <v>521</v>
      </c>
    </row>
    <row r="484" spans="1:2" hidden="1">
      <c r="A484">
        <v>40141312</v>
      </c>
      <c r="B484" t="s">
        <v>522</v>
      </c>
    </row>
    <row r="485" spans="1:2" hidden="1">
      <c r="A485">
        <v>40141313</v>
      </c>
      <c r="B485" t="s">
        <v>523</v>
      </c>
    </row>
    <row r="486" spans="1:2" hidden="1">
      <c r="A486">
        <v>40143072</v>
      </c>
      <c r="B486" t="s">
        <v>524</v>
      </c>
    </row>
    <row r="487" spans="1:2" hidden="1">
      <c r="A487">
        <v>40143831</v>
      </c>
      <c r="B487" t="s">
        <v>525</v>
      </c>
    </row>
    <row r="488" spans="1:2" hidden="1">
      <c r="A488">
        <v>40143832</v>
      </c>
      <c r="B488" t="s">
        <v>526</v>
      </c>
    </row>
    <row r="489" spans="1:2" hidden="1">
      <c r="A489">
        <v>40143833</v>
      </c>
      <c r="B489" t="s">
        <v>527</v>
      </c>
    </row>
    <row r="490" spans="1:2" hidden="1">
      <c r="A490">
        <v>40150000</v>
      </c>
      <c r="B490" t="s">
        <v>528</v>
      </c>
    </row>
    <row r="491" spans="1:2" hidden="1">
      <c r="A491">
        <v>40180510</v>
      </c>
      <c r="B491" t="s">
        <v>529</v>
      </c>
    </row>
    <row r="492" spans="1:2" hidden="1">
      <c r="A492">
        <v>40180511</v>
      </c>
      <c r="B492" t="s">
        <v>530</v>
      </c>
    </row>
    <row r="493" spans="1:2" hidden="1">
      <c r="A493">
        <v>40180530</v>
      </c>
      <c r="B493" t="s">
        <v>531</v>
      </c>
    </row>
    <row r="494" spans="1:2" hidden="1">
      <c r="A494">
        <v>40180531</v>
      </c>
      <c r="B494" t="s">
        <v>532</v>
      </c>
    </row>
    <row r="495" spans="1:2" hidden="1">
      <c r="A495">
        <v>40180610</v>
      </c>
      <c r="B495" t="s">
        <v>529</v>
      </c>
    </row>
    <row r="496" spans="1:2" hidden="1">
      <c r="A496">
        <v>40180631</v>
      </c>
      <c r="B496" t="s">
        <v>532</v>
      </c>
    </row>
    <row r="497" spans="1:2" hidden="1">
      <c r="A497">
        <v>40197155</v>
      </c>
      <c r="B497" t="s">
        <v>533</v>
      </c>
    </row>
    <row r="498" spans="1:2" hidden="1">
      <c r="A498">
        <v>40197255</v>
      </c>
      <c r="B498" t="s">
        <v>534</v>
      </c>
    </row>
    <row r="499" spans="1:2" hidden="1">
      <c r="A499">
        <v>40199037</v>
      </c>
      <c r="B499" t="s">
        <v>535</v>
      </c>
    </row>
    <row r="500" spans="1:2" hidden="1">
      <c r="A500">
        <v>40199039</v>
      </c>
      <c r="B500" t="s">
        <v>536</v>
      </c>
    </row>
    <row r="501" spans="1:2" hidden="1">
      <c r="A501">
        <v>40199061</v>
      </c>
      <c r="B501" t="s">
        <v>537</v>
      </c>
    </row>
    <row r="502" spans="1:2" hidden="1">
      <c r="A502">
        <v>40199230</v>
      </c>
      <c r="B502" t="s">
        <v>538</v>
      </c>
    </row>
    <row r="503" spans="1:2" hidden="1">
      <c r="A503">
        <v>40199242</v>
      </c>
      <c r="B503" t="s">
        <v>539</v>
      </c>
    </row>
    <row r="504" spans="1:2" hidden="1">
      <c r="A504">
        <v>40199270</v>
      </c>
      <c r="B504" t="s">
        <v>540</v>
      </c>
    </row>
    <row r="505" spans="1:2" hidden="1">
      <c r="A505">
        <v>40199321</v>
      </c>
      <c r="B505" t="s">
        <v>541</v>
      </c>
    </row>
    <row r="506" spans="1:2" hidden="1">
      <c r="A506">
        <v>40199330</v>
      </c>
      <c r="B506" t="s">
        <v>542</v>
      </c>
    </row>
    <row r="507" spans="1:2" hidden="1">
      <c r="A507">
        <v>40204301</v>
      </c>
      <c r="B507" t="s">
        <v>543</v>
      </c>
    </row>
    <row r="508" spans="1:2" hidden="1">
      <c r="A508">
        <v>40204311</v>
      </c>
      <c r="B508" t="s">
        <v>544</v>
      </c>
    </row>
    <row r="509" spans="1:2" hidden="1">
      <c r="A509">
        <v>40204391</v>
      </c>
      <c r="B509" t="s">
        <v>545</v>
      </c>
    </row>
    <row r="510" spans="1:2" hidden="1">
      <c r="A510">
        <v>40205450</v>
      </c>
      <c r="B510" t="s">
        <v>546</v>
      </c>
    </row>
    <row r="511" spans="1:2" hidden="1">
      <c r="A511" t="s">
        <v>547</v>
      </c>
      <c r="B511" t="s">
        <v>548</v>
      </c>
    </row>
    <row r="512" spans="1:2" hidden="1">
      <c r="A512">
        <v>40205610</v>
      </c>
      <c r="B512" t="s">
        <v>549</v>
      </c>
    </row>
    <row r="513" spans="1:2" hidden="1">
      <c r="A513">
        <v>40206004</v>
      </c>
      <c r="B513" t="s">
        <v>550</v>
      </c>
    </row>
    <row r="514" spans="1:2" hidden="1">
      <c r="A514">
        <v>40206040</v>
      </c>
      <c r="B514" t="s">
        <v>551</v>
      </c>
    </row>
    <row r="515" spans="1:2" hidden="1">
      <c r="A515">
        <v>40206060</v>
      </c>
      <c r="B515" t="s">
        <v>552</v>
      </c>
    </row>
    <row r="516" spans="1:2" hidden="1">
      <c r="A516">
        <v>40206220</v>
      </c>
      <c r="B516" t="s">
        <v>553</v>
      </c>
    </row>
    <row r="517" spans="1:2" hidden="1">
      <c r="A517">
        <v>40207110</v>
      </c>
      <c r="B517" t="s">
        <v>554</v>
      </c>
    </row>
    <row r="518" spans="1:2" hidden="1">
      <c r="A518">
        <v>40211352</v>
      </c>
      <c r="B518" t="s">
        <v>555</v>
      </c>
    </row>
    <row r="519" spans="1:2" hidden="1">
      <c r="A519">
        <v>40211501</v>
      </c>
      <c r="B519" t="s">
        <v>556</v>
      </c>
    </row>
    <row r="520" spans="1:2" hidden="1">
      <c r="A520">
        <v>40211632</v>
      </c>
      <c r="B520" t="s">
        <v>557</v>
      </c>
    </row>
    <row r="521" spans="1:2" hidden="1">
      <c r="A521">
        <v>40211660</v>
      </c>
      <c r="B521" t="s">
        <v>558</v>
      </c>
    </row>
    <row r="522" spans="1:2" hidden="1">
      <c r="A522">
        <v>40212002</v>
      </c>
      <c r="B522" t="s">
        <v>559</v>
      </c>
    </row>
    <row r="523" spans="1:2" hidden="1">
      <c r="A523">
        <v>40212014</v>
      </c>
      <c r="B523" t="s">
        <v>560</v>
      </c>
    </row>
    <row r="524" spans="1:2" hidden="1">
      <c r="A524">
        <v>40212044</v>
      </c>
      <c r="B524" t="s">
        <v>561</v>
      </c>
    </row>
    <row r="525" spans="1:2" hidden="1">
      <c r="A525">
        <v>40212062</v>
      </c>
      <c r="B525" t="s">
        <v>562</v>
      </c>
    </row>
    <row r="526" spans="1:2" hidden="1">
      <c r="A526">
        <v>40212070</v>
      </c>
      <c r="B526" t="s">
        <v>563</v>
      </c>
    </row>
    <row r="527" spans="1:2" hidden="1">
      <c r="A527">
        <v>40212602</v>
      </c>
      <c r="B527" t="s">
        <v>564</v>
      </c>
    </row>
    <row r="528" spans="1:2" hidden="1">
      <c r="A528">
        <v>40213012</v>
      </c>
      <c r="B528" t="s">
        <v>565</v>
      </c>
    </row>
    <row r="529" spans="1:2" hidden="1">
      <c r="A529">
        <v>40213022</v>
      </c>
      <c r="B529" t="s">
        <v>566</v>
      </c>
    </row>
    <row r="530" spans="1:2" hidden="1">
      <c r="A530">
        <v>40213032</v>
      </c>
      <c r="B530" t="s">
        <v>567</v>
      </c>
    </row>
    <row r="531" spans="1:2" hidden="1">
      <c r="A531">
        <v>40213042</v>
      </c>
      <c r="B531" t="s">
        <v>568</v>
      </c>
    </row>
    <row r="532" spans="1:2" hidden="1">
      <c r="A532">
        <v>40214311</v>
      </c>
      <c r="B532" t="s">
        <v>569</v>
      </c>
    </row>
    <row r="533" spans="1:2" hidden="1">
      <c r="A533">
        <v>40214608</v>
      </c>
      <c r="B533" t="s">
        <v>570</v>
      </c>
    </row>
    <row r="534" spans="1:2" hidden="1">
      <c r="A534">
        <v>40214805</v>
      </c>
      <c r="B534" t="s">
        <v>571</v>
      </c>
    </row>
    <row r="535" spans="1:2" hidden="1">
      <c r="A535">
        <v>40214914</v>
      </c>
      <c r="B535" t="s">
        <v>572</v>
      </c>
    </row>
    <row r="536" spans="1:2" hidden="1">
      <c r="A536">
        <v>40214980</v>
      </c>
      <c r="B536" t="s">
        <v>573</v>
      </c>
    </row>
    <row r="537" spans="1:2" hidden="1">
      <c r="A537">
        <v>40215123</v>
      </c>
      <c r="B537" t="s">
        <v>574</v>
      </c>
    </row>
    <row r="538" spans="1:2" hidden="1">
      <c r="A538">
        <v>40215302</v>
      </c>
      <c r="B538" t="s">
        <v>575</v>
      </c>
    </row>
    <row r="539" spans="1:2" hidden="1">
      <c r="A539">
        <v>40215503</v>
      </c>
      <c r="B539" t="s">
        <v>576</v>
      </c>
    </row>
    <row r="540" spans="1:2" hidden="1">
      <c r="A540">
        <v>40215704</v>
      </c>
      <c r="B540" t="s">
        <v>577</v>
      </c>
    </row>
    <row r="541" spans="1:2" hidden="1">
      <c r="A541">
        <v>40215961</v>
      </c>
      <c r="B541" t="s">
        <v>578</v>
      </c>
    </row>
    <row r="542" spans="1:2" hidden="1">
      <c r="A542">
        <v>40215981</v>
      </c>
      <c r="B542" t="s">
        <v>579</v>
      </c>
    </row>
    <row r="543" spans="1:2" hidden="1">
      <c r="A543">
        <v>40216110</v>
      </c>
      <c r="B543" t="s">
        <v>580</v>
      </c>
    </row>
    <row r="544" spans="1:2" hidden="1">
      <c r="A544">
        <v>40217321</v>
      </c>
      <c r="B544" t="s">
        <v>581</v>
      </c>
    </row>
    <row r="545" spans="1:2" hidden="1">
      <c r="A545">
        <v>40218050</v>
      </c>
      <c r="B545" t="s">
        <v>582</v>
      </c>
    </row>
    <row r="546" spans="1:2" hidden="1">
      <c r="A546">
        <v>40218080</v>
      </c>
      <c r="B546" t="s">
        <v>583</v>
      </c>
    </row>
    <row r="547" spans="1:2" hidden="1">
      <c r="A547">
        <v>40219050</v>
      </c>
      <c r="B547" t="s">
        <v>584</v>
      </c>
    </row>
    <row r="548" spans="1:2" hidden="1">
      <c r="A548">
        <v>40220030</v>
      </c>
      <c r="B548" t="s">
        <v>585</v>
      </c>
    </row>
    <row r="549" spans="1:2" hidden="1">
      <c r="A549">
        <v>40220036</v>
      </c>
      <c r="B549" t="s">
        <v>586</v>
      </c>
    </row>
    <row r="550" spans="1:2" hidden="1">
      <c r="A550">
        <v>40220523</v>
      </c>
      <c r="B550" t="s">
        <v>587</v>
      </c>
    </row>
    <row r="551" spans="1:2" hidden="1">
      <c r="A551">
        <v>40221027</v>
      </c>
      <c r="B551" t="s">
        <v>588</v>
      </c>
    </row>
    <row r="552" spans="1:2" hidden="1">
      <c r="A552">
        <v>40221029</v>
      </c>
      <c r="B552" t="s">
        <v>589</v>
      </c>
    </row>
    <row r="553" spans="1:2" hidden="1">
      <c r="A553">
        <v>40222500</v>
      </c>
      <c r="B553" t="s">
        <v>590</v>
      </c>
    </row>
    <row r="554" spans="1:2" hidden="1">
      <c r="A554">
        <v>40223500</v>
      </c>
      <c r="B554" t="s">
        <v>591</v>
      </c>
    </row>
    <row r="555" spans="1:2" hidden="1">
      <c r="A555">
        <v>40223520</v>
      </c>
      <c r="B555" t="s">
        <v>592</v>
      </c>
    </row>
    <row r="556" spans="1:2" hidden="1">
      <c r="A556">
        <v>40224500</v>
      </c>
      <c r="B556" t="s">
        <v>593</v>
      </c>
    </row>
    <row r="557" spans="1:2" hidden="1">
      <c r="A557">
        <v>40224502</v>
      </c>
      <c r="B557" t="s">
        <v>594</v>
      </c>
    </row>
    <row r="558" spans="1:2" hidden="1">
      <c r="A558">
        <v>40226545</v>
      </c>
      <c r="B558" t="s">
        <v>595</v>
      </c>
    </row>
    <row r="559" spans="1:2" hidden="1">
      <c r="A559">
        <v>40228115</v>
      </c>
      <c r="B559" t="s">
        <v>596</v>
      </c>
    </row>
    <row r="560" spans="1:2" hidden="1">
      <c r="A560">
        <v>40239042</v>
      </c>
      <c r="B560" t="s">
        <v>597</v>
      </c>
    </row>
    <row r="561" spans="1:2" hidden="1">
      <c r="A561">
        <v>40249000</v>
      </c>
      <c r="B561" t="s">
        <v>598</v>
      </c>
    </row>
    <row r="562" spans="1:2" hidden="1">
      <c r="A562">
        <v>40260600</v>
      </c>
      <c r="B562" t="s">
        <v>599</v>
      </c>
    </row>
    <row r="563" spans="1:2" hidden="1">
      <c r="A563">
        <v>40297051</v>
      </c>
      <c r="B563" t="s">
        <v>600</v>
      </c>
    </row>
    <row r="564" spans="1:2" hidden="1">
      <c r="A564">
        <v>40297052</v>
      </c>
      <c r="B564" t="s">
        <v>601</v>
      </c>
    </row>
    <row r="565" spans="1:2" hidden="1">
      <c r="A565">
        <v>40297252</v>
      </c>
      <c r="B565" t="s">
        <v>601</v>
      </c>
    </row>
    <row r="566" spans="1:2" hidden="1">
      <c r="A566">
        <v>40297294</v>
      </c>
      <c r="B566" t="s">
        <v>602</v>
      </c>
    </row>
    <row r="567" spans="1:2" hidden="1">
      <c r="A567">
        <v>40297295</v>
      </c>
      <c r="B567" t="s">
        <v>603</v>
      </c>
    </row>
    <row r="568" spans="1:2" hidden="1">
      <c r="A568">
        <v>40297298</v>
      </c>
      <c r="B568" t="s">
        <v>604</v>
      </c>
    </row>
    <row r="569" spans="1:2" hidden="1">
      <c r="A569">
        <v>40402025</v>
      </c>
      <c r="B569" t="s">
        <v>605</v>
      </c>
    </row>
    <row r="570" spans="1:2" hidden="1">
      <c r="A570">
        <v>40402027</v>
      </c>
      <c r="B570" t="s">
        <v>606</v>
      </c>
    </row>
    <row r="571" spans="1:2" hidden="1">
      <c r="A571">
        <v>40402028</v>
      </c>
      <c r="B571" t="s">
        <v>607</v>
      </c>
    </row>
    <row r="572" spans="1:2" hidden="1">
      <c r="A572">
        <v>40437021</v>
      </c>
      <c r="B572" t="s">
        <v>608</v>
      </c>
    </row>
    <row r="573" spans="1:2" hidden="1">
      <c r="A573">
        <v>40437220</v>
      </c>
      <c r="B573" t="s">
        <v>609</v>
      </c>
    </row>
    <row r="574" spans="1:2" hidden="1">
      <c r="A574">
        <v>40446702</v>
      </c>
      <c r="B574" t="s">
        <v>610</v>
      </c>
    </row>
    <row r="575" spans="1:2" hidden="1">
      <c r="A575">
        <v>40446712</v>
      </c>
      <c r="B575" t="s">
        <v>611</v>
      </c>
    </row>
    <row r="576" spans="1:2" hidden="1">
      <c r="A576" t="s">
        <v>612</v>
      </c>
      <c r="B576" t="s">
        <v>611</v>
      </c>
    </row>
    <row r="577" spans="1:2" hidden="1">
      <c r="A577">
        <v>40455007</v>
      </c>
      <c r="B577" t="s">
        <v>613</v>
      </c>
    </row>
    <row r="578" spans="1:2" hidden="1">
      <c r="A578">
        <v>40455212</v>
      </c>
      <c r="B578" t="s">
        <v>614</v>
      </c>
    </row>
    <row r="579" spans="1:2" hidden="1">
      <c r="A579">
        <v>40455334</v>
      </c>
      <c r="B579" t="s">
        <v>615</v>
      </c>
    </row>
    <row r="580" spans="1:2" hidden="1">
      <c r="A580">
        <v>40455335</v>
      </c>
      <c r="B580" t="s">
        <v>616</v>
      </c>
    </row>
    <row r="581" spans="1:2" hidden="1">
      <c r="A581">
        <v>40460174</v>
      </c>
      <c r="B581" t="s">
        <v>617</v>
      </c>
    </row>
    <row r="582" spans="1:2" hidden="1">
      <c r="A582">
        <v>40460410</v>
      </c>
      <c r="B582" t="s">
        <v>618</v>
      </c>
    </row>
    <row r="583" spans="1:2" hidden="1">
      <c r="A583">
        <v>40460430</v>
      </c>
      <c r="B583" t="s">
        <v>619</v>
      </c>
    </row>
    <row r="584" spans="1:2" hidden="1">
      <c r="A584">
        <v>40460450</v>
      </c>
      <c r="B584" t="s">
        <v>620</v>
      </c>
    </row>
    <row r="585" spans="1:2" hidden="1">
      <c r="A585">
        <v>40461505</v>
      </c>
      <c r="B585" t="s">
        <v>621</v>
      </c>
    </row>
    <row r="586" spans="1:2" hidden="1">
      <c r="A586">
        <v>40461506</v>
      </c>
      <c r="B586" t="s">
        <v>622</v>
      </c>
    </row>
    <row r="587" spans="1:2" hidden="1">
      <c r="A587">
        <v>40461507</v>
      </c>
      <c r="B587" t="s">
        <v>623</v>
      </c>
    </row>
    <row r="588" spans="1:2" hidden="1">
      <c r="A588">
        <v>40461543</v>
      </c>
      <c r="B588" t="s">
        <v>624</v>
      </c>
    </row>
    <row r="589" spans="1:2" hidden="1">
      <c r="A589">
        <v>40466109</v>
      </c>
      <c r="B589" t="s">
        <v>625</v>
      </c>
    </row>
    <row r="590" spans="1:2" hidden="1">
      <c r="A590">
        <v>40466110</v>
      </c>
      <c r="B590" t="s">
        <v>626</v>
      </c>
    </row>
    <row r="591" spans="1:2" hidden="1">
      <c r="A591">
        <v>40466111</v>
      </c>
      <c r="B591" t="s">
        <v>627</v>
      </c>
    </row>
    <row r="592" spans="1:2" hidden="1">
      <c r="A592">
        <v>40466241</v>
      </c>
      <c r="B592" t="s">
        <v>628</v>
      </c>
    </row>
    <row r="593" spans="1:2" hidden="1">
      <c r="A593">
        <v>40466260</v>
      </c>
      <c r="B593" t="s">
        <v>629</v>
      </c>
    </row>
    <row r="594" spans="1:2" hidden="1">
      <c r="A594">
        <v>40467303</v>
      </c>
      <c r="B594" t="s">
        <v>630</v>
      </c>
    </row>
    <row r="595" spans="1:2" hidden="1">
      <c r="A595">
        <v>40467304</v>
      </c>
      <c r="B595" t="s">
        <v>631</v>
      </c>
    </row>
    <row r="596" spans="1:2" hidden="1">
      <c r="A596">
        <v>40467305</v>
      </c>
      <c r="B596" t="s">
        <v>632</v>
      </c>
    </row>
    <row r="597" spans="1:2" hidden="1">
      <c r="A597">
        <v>40467320</v>
      </c>
      <c r="B597" t="s">
        <v>27</v>
      </c>
    </row>
    <row r="598" spans="1:2" hidden="1">
      <c r="A598">
        <v>40468106</v>
      </c>
      <c r="B598" t="s">
        <v>633</v>
      </c>
    </row>
    <row r="599" spans="1:2" hidden="1">
      <c r="A599">
        <v>40468108</v>
      </c>
      <c r="B599" t="s">
        <v>634</v>
      </c>
    </row>
    <row r="600" spans="1:2" hidden="1">
      <c r="A600">
        <v>40468114</v>
      </c>
      <c r="B600" t="s">
        <v>635</v>
      </c>
    </row>
    <row r="601" spans="1:2" hidden="1">
      <c r="A601">
        <v>40468118</v>
      </c>
      <c r="B601" t="s">
        <v>636</v>
      </c>
    </row>
    <row r="602" spans="1:2" hidden="1">
      <c r="A602">
        <v>40468122</v>
      </c>
      <c r="B602" t="s">
        <v>637</v>
      </c>
    </row>
    <row r="603" spans="1:2" hidden="1">
      <c r="A603">
        <v>40474239</v>
      </c>
      <c r="B603" t="s">
        <v>638</v>
      </c>
    </row>
    <row r="604" spans="1:2" hidden="1">
      <c r="A604">
        <v>40474253</v>
      </c>
      <c r="B604" t="s">
        <v>639</v>
      </c>
    </row>
    <row r="605" spans="1:2" hidden="1">
      <c r="A605">
        <v>40476141</v>
      </c>
      <c r="B605" t="s">
        <v>640</v>
      </c>
    </row>
    <row r="606" spans="1:2" hidden="1">
      <c r="A606">
        <v>40476142</v>
      </c>
      <c r="B606" t="s">
        <v>641</v>
      </c>
    </row>
    <row r="607" spans="1:2" hidden="1">
      <c r="A607">
        <v>40478003</v>
      </c>
      <c r="B607" t="s">
        <v>642</v>
      </c>
    </row>
    <row r="608" spans="1:2" hidden="1">
      <c r="A608">
        <v>40478010</v>
      </c>
      <c r="B608" t="s">
        <v>643</v>
      </c>
    </row>
    <row r="609" spans="1:2" hidden="1">
      <c r="A609">
        <v>40478503</v>
      </c>
      <c r="B609" t="s">
        <v>644</v>
      </c>
    </row>
    <row r="610" spans="1:2" hidden="1">
      <c r="A610">
        <v>40478510</v>
      </c>
      <c r="B610" t="s">
        <v>645</v>
      </c>
    </row>
    <row r="611" spans="1:2" hidden="1">
      <c r="A611">
        <v>40480301</v>
      </c>
      <c r="B611" t="s">
        <v>646</v>
      </c>
    </row>
    <row r="612" spans="1:2" hidden="1">
      <c r="A612">
        <v>40480321</v>
      </c>
      <c r="B612" t="s">
        <v>647</v>
      </c>
    </row>
    <row r="613" spans="1:2" hidden="1">
      <c r="A613">
        <v>40482002</v>
      </c>
      <c r="B613" t="s">
        <v>648</v>
      </c>
    </row>
    <row r="614" spans="1:2" hidden="1">
      <c r="A614">
        <v>40482601</v>
      </c>
      <c r="B614" t="s">
        <v>649</v>
      </c>
    </row>
    <row r="615" spans="1:2" hidden="1">
      <c r="A615">
        <v>40482620</v>
      </c>
      <c r="B615" t="s">
        <v>650</v>
      </c>
    </row>
    <row r="616" spans="1:2" hidden="1">
      <c r="A616">
        <v>40483054</v>
      </c>
      <c r="B616" t="s">
        <v>651</v>
      </c>
    </row>
    <row r="617" spans="1:2" hidden="1">
      <c r="A617">
        <v>40483101</v>
      </c>
      <c r="B617" t="s">
        <v>652</v>
      </c>
    </row>
    <row r="618" spans="1:2" hidden="1">
      <c r="A618">
        <v>40483141</v>
      </c>
      <c r="B618" t="s">
        <v>653</v>
      </c>
    </row>
    <row r="619" spans="1:2" hidden="1">
      <c r="A619">
        <v>40483182</v>
      </c>
      <c r="B619" t="s">
        <v>654</v>
      </c>
    </row>
    <row r="620" spans="1:2" hidden="1">
      <c r="A620">
        <v>40483183</v>
      </c>
      <c r="B620" t="s">
        <v>655</v>
      </c>
    </row>
    <row r="621" spans="1:2" hidden="1">
      <c r="A621">
        <v>40483201</v>
      </c>
      <c r="B621" t="s">
        <v>656</v>
      </c>
    </row>
    <row r="622" spans="1:2" hidden="1">
      <c r="A622">
        <v>40483424</v>
      </c>
      <c r="B622" t="s">
        <v>657</v>
      </c>
    </row>
    <row r="623" spans="1:2" hidden="1">
      <c r="A623">
        <v>40483612</v>
      </c>
      <c r="B623" t="s">
        <v>658</v>
      </c>
    </row>
    <row r="624" spans="1:2" hidden="1">
      <c r="A624">
        <v>40484121</v>
      </c>
      <c r="B624" t="s">
        <v>659</v>
      </c>
    </row>
    <row r="625" spans="1:2" hidden="1">
      <c r="A625">
        <v>40484122</v>
      </c>
      <c r="B625" t="s">
        <v>660</v>
      </c>
    </row>
    <row r="626" spans="1:2" hidden="1">
      <c r="A626">
        <v>40484174</v>
      </c>
      <c r="B626" t="s">
        <v>661</v>
      </c>
    </row>
    <row r="627" spans="1:2" hidden="1">
      <c r="A627">
        <v>40484175</v>
      </c>
      <c r="B627" t="s">
        <v>662</v>
      </c>
    </row>
    <row r="628" spans="1:2" hidden="1">
      <c r="A628">
        <v>40484203</v>
      </c>
      <c r="B628" t="s">
        <v>663</v>
      </c>
    </row>
    <row r="629" spans="1:2" hidden="1">
      <c r="A629">
        <v>40484204</v>
      </c>
      <c r="B629" t="s">
        <v>664</v>
      </c>
    </row>
    <row r="630" spans="1:2" hidden="1">
      <c r="A630">
        <v>40484615</v>
      </c>
      <c r="B630" t="s">
        <v>665</v>
      </c>
    </row>
    <row r="631" spans="1:2" hidden="1">
      <c r="A631">
        <v>40484680</v>
      </c>
      <c r="B631" t="s">
        <v>666</v>
      </c>
    </row>
    <row r="632" spans="1:2" hidden="1">
      <c r="A632">
        <v>40484681</v>
      </c>
      <c r="B632" t="s">
        <v>667</v>
      </c>
    </row>
    <row r="633" spans="1:2" hidden="1">
      <c r="A633">
        <v>40484807</v>
      </c>
      <c r="B633" t="s">
        <v>668</v>
      </c>
    </row>
    <row r="634" spans="1:2" hidden="1">
      <c r="A634">
        <v>40485125</v>
      </c>
      <c r="B634" t="s">
        <v>669</v>
      </c>
    </row>
    <row r="635" spans="1:2" hidden="1">
      <c r="A635">
        <v>40485126</v>
      </c>
      <c r="B635" t="s">
        <v>670</v>
      </c>
    </row>
    <row r="636" spans="1:2" hidden="1">
      <c r="A636">
        <v>40485134</v>
      </c>
      <c r="B636" t="s">
        <v>671</v>
      </c>
    </row>
    <row r="637" spans="1:2" hidden="1">
      <c r="A637">
        <v>40485141</v>
      </c>
      <c r="B637" t="s">
        <v>672</v>
      </c>
    </row>
    <row r="638" spans="1:2" hidden="1">
      <c r="A638">
        <v>40485311</v>
      </c>
      <c r="B638" t="s">
        <v>673</v>
      </c>
    </row>
    <row r="639" spans="1:2" hidden="1">
      <c r="A639">
        <v>40485312</v>
      </c>
      <c r="B639" t="s">
        <v>674</v>
      </c>
    </row>
    <row r="640" spans="1:2" hidden="1">
      <c r="A640">
        <v>40485357</v>
      </c>
      <c r="B640" t="s">
        <v>675</v>
      </c>
    </row>
    <row r="641" spans="1:2" hidden="1">
      <c r="A641">
        <v>40485358</v>
      </c>
      <c r="B641" t="s">
        <v>676</v>
      </c>
    </row>
    <row r="642" spans="1:2" hidden="1">
      <c r="A642">
        <v>40487192</v>
      </c>
      <c r="B642" t="s">
        <v>677</v>
      </c>
    </row>
    <row r="643" spans="1:2">
      <c r="A643">
        <v>40543209</v>
      </c>
      <c r="B643" t="s">
        <v>678</v>
      </c>
    </row>
    <row r="644" spans="1:2" hidden="1">
      <c r="A644">
        <v>40578553</v>
      </c>
      <c r="B644" t="s">
        <v>679</v>
      </c>
    </row>
    <row r="645" spans="1:2" hidden="1">
      <c r="A645">
        <v>40582211</v>
      </c>
      <c r="B645" t="s">
        <v>680</v>
      </c>
    </row>
    <row r="646" spans="1:2" hidden="1">
      <c r="A646">
        <v>40582233</v>
      </c>
      <c r="B646" t="s">
        <v>681</v>
      </c>
    </row>
    <row r="647" spans="1:2" hidden="1">
      <c r="A647">
        <v>40582241</v>
      </c>
      <c r="B647" t="s">
        <v>682</v>
      </c>
    </row>
    <row r="648" spans="1:2" hidden="1">
      <c r="A648">
        <v>40582303</v>
      </c>
      <c r="B648" t="s">
        <v>683</v>
      </c>
    </row>
    <row r="649" spans="1:2" hidden="1">
      <c r="A649">
        <v>40582314</v>
      </c>
      <c r="B649" t="s">
        <v>684</v>
      </c>
    </row>
    <row r="650" spans="1:2" hidden="1">
      <c r="A650">
        <v>40583402</v>
      </c>
      <c r="B650" t="s">
        <v>685</v>
      </c>
    </row>
    <row r="651" spans="1:2" hidden="1">
      <c r="A651">
        <v>40583809</v>
      </c>
      <c r="B651" t="s">
        <v>686</v>
      </c>
    </row>
    <row r="652" spans="1:2" hidden="1">
      <c r="A652">
        <v>40583810</v>
      </c>
      <c r="B652" t="s">
        <v>687</v>
      </c>
    </row>
    <row r="653" spans="1:2" hidden="1">
      <c r="A653">
        <v>40584012</v>
      </c>
      <c r="B653" t="s">
        <v>688</v>
      </c>
    </row>
    <row r="654" spans="1:2" hidden="1">
      <c r="A654">
        <v>40584105</v>
      </c>
      <c r="B654" t="s">
        <v>689</v>
      </c>
    </row>
    <row r="655" spans="1:2" hidden="1">
      <c r="A655">
        <v>40584202</v>
      </c>
      <c r="B655" t="s">
        <v>690</v>
      </c>
    </row>
    <row r="656" spans="1:2" hidden="1">
      <c r="A656">
        <v>40584305</v>
      </c>
      <c r="B656" t="s">
        <v>691</v>
      </c>
    </row>
    <row r="657" spans="1:2" hidden="1">
      <c r="A657">
        <v>40584306</v>
      </c>
      <c r="B657" t="s">
        <v>692</v>
      </c>
    </row>
    <row r="658" spans="1:2" hidden="1">
      <c r="A658">
        <v>40584401</v>
      </c>
      <c r="B658" t="s">
        <v>693</v>
      </c>
    </row>
    <row r="659" spans="1:2" hidden="1">
      <c r="A659">
        <v>40586010</v>
      </c>
      <c r="B659" t="s">
        <v>694</v>
      </c>
    </row>
    <row r="660" spans="1:2" hidden="1">
      <c r="A660">
        <v>40586101</v>
      </c>
      <c r="B660" t="s">
        <v>695</v>
      </c>
    </row>
    <row r="661" spans="1:2" hidden="1">
      <c r="A661">
        <v>40586104</v>
      </c>
      <c r="B661" t="s">
        <v>696</v>
      </c>
    </row>
    <row r="662" spans="1:2" hidden="1">
      <c r="A662">
        <v>40586510</v>
      </c>
      <c r="B662" t="s">
        <v>697</v>
      </c>
    </row>
    <row r="663" spans="1:2" hidden="1">
      <c r="A663">
        <v>40587602</v>
      </c>
      <c r="B663" t="s">
        <v>698</v>
      </c>
    </row>
    <row r="664" spans="1:2" hidden="1">
      <c r="A664">
        <v>40589001</v>
      </c>
      <c r="B664" t="s">
        <v>699</v>
      </c>
    </row>
    <row r="665" spans="1:2" hidden="1">
      <c r="A665">
        <v>40589005</v>
      </c>
      <c r="B665" t="s">
        <v>700</v>
      </c>
    </row>
    <row r="666" spans="1:2" hidden="1">
      <c r="A666">
        <v>40589020</v>
      </c>
      <c r="B666" t="s">
        <v>701</v>
      </c>
    </row>
    <row r="667" spans="1:2" hidden="1">
      <c r="A667">
        <v>40589021</v>
      </c>
      <c r="B667" t="s">
        <v>702</v>
      </c>
    </row>
    <row r="668" spans="1:2" hidden="1">
      <c r="A668">
        <v>40589511</v>
      </c>
      <c r="B668" t="s">
        <v>703</v>
      </c>
    </row>
    <row r="669" spans="1:2" hidden="1">
      <c r="A669">
        <v>40589900</v>
      </c>
      <c r="B669" t="s">
        <v>704</v>
      </c>
    </row>
    <row r="670" spans="1:2" hidden="1">
      <c r="A670">
        <v>40589920</v>
      </c>
      <c r="B670" t="s">
        <v>705</v>
      </c>
    </row>
    <row r="671" spans="1:2" hidden="1">
      <c r="A671">
        <v>40590830</v>
      </c>
      <c r="B671" t="s">
        <v>706</v>
      </c>
    </row>
    <row r="672" spans="1:2" hidden="1">
      <c r="A672">
        <v>40590835</v>
      </c>
      <c r="B672" t="s">
        <v>707</v>
      </c>
    </row>
    <row r="673" spans="1:2" hidden="1">
      <c r="A673">
        <v>40599050</v>
      </c>
      <c r="B673" t="s">
        <v>708</v>
      </c>
    </row>
    <row r="674" spans="1:2" hidden="1">
      <c r="A674">
        <v>40672012</v>
      </c>
      <c r="B674" t="s">
        <v>709</v>
      </c>
    </row>
    <row r="675" spans="1:2" hidden="1">
      <c r="A675">
        <v>40682102</v>
      </c>
      <c r="B675" t="s">
        <v>710</v>
      </c>
    </row>
    <row r="676" spans="1:2" hidden="1">
      <c r="A676">
        <v>40716160</v>
      </c>
      <c r="B676" t="s">
        <v>711</v>
      </c>
    </row>
    <row r="677" spans="1:2" hidden="1">
      <c r="A677">
        <v>40716165</v>
      </c>
      <c r="B677" t="s">
        <v>712</v>
      </c>
    </row>
    <row r="678" spans="1:2" hidden="1">
      <c r="A678">
        <v>40716906</v>
      </c>
      <c r="B678" t="s">
        <v>713</v>
      </c>
    </row>
    <row r="679" spans="1:2" hidden="1">
      <c r="A679">
        <v>40722007</v>
      </c>
      <c r="B679" t="s">
        <v>714</v>
      </c>
    </row>
    <row r="680" spans="1:2" hidden="1">
      <c r="A680">
        <v>40782127</v>
      </c>
      <c r="B680" t="s">
        <v>715</v>
      </c>
    </row>
    <row r="681" spans="1:2" hidden="1">
      <c r="A681">
        <v>40782128</v>
      </c>
      <c r="B681" t="s">
        <v>716</v>
      </c>
    </row>
    <row r="682" spans="1:2" hidden="1">
      <c r="A682">
        <v>40782510</v>
      </c>
      <c r="B682" t="s">
        <v>717</v>
      </c>
    </row>
    <row r="683" spans="1:2" hidden="1">
      <c r="A683">
        <v>40876090</v>
      </c>
      <c r="B683" t="s">
        <v>718</v>
      </c>
    </row>
    <row r="684" spans="1:2" hidden="1">
      <c r="A684">
        <v>40911302</v>
      </c>
      <c r="B684" t="s">
        <v>719</v>
      </c>
    </row>
    <row r="685" spans="1:2" hidden="1">
      <c r="A685">
        <v>40931802</v>
      </c>
      <c r="B685" t="s">
        <v>720</v>
      </c>
    </row>
    <row r="686" spans="1:2" hidden="1">
      <c r="A686">
        <v>40971802</v>
      </c>
      <c r="B686" t="s">
        <v>721</v>
      </c>
    </row>
    <row r="687" spans="1:2" hidden="1">
      <c r="A687">
        <v>4097845</v>
      </c>
      <c r="B687" t="s">
        <v>722</v>
      </c>
    </row>
    <row r="688" spans="1:2" hidden="1">
      <c r="A688">
        <v>41009001</v>
      </c>
      <c r="B688" t="s">
        <v>723</v>
      </c>
    </row>
    <row r="689" spans="1:2" hidden="1">
      <c r="A689">
        <v>41013002</v>
      </c>
      <c r="B689" t="s">
        <v>724</v>
      </c>
    </row>
    <row r="690" spans="1:2" hidden="1">
      <c r="A690">
        <v>41016102</v>
      </c>
      <c r="B690" t="s">
        <v>725</v>
      </c>
    </row>
    <row r="691" spans="1:2" hidden="1">
      <c r="A691">
        <v>41020101</v>
      </c>
      <c r="B691" t="s">
        <v>726</v>
      </c>
    </row>
    <row r="692" spans="1:2" hidden="1">
      <c r="A692">
        <v>41022030</v>
      </c>
      <c r="B692" t="s">
        <v>727</v>
      </c>
    </row>
    <row r="693" spans="1:2" hidden="1">
      <c r="A693">
        <v>41028100</v>
      </c>
      <c r="B693" t="s">
        <v>728</v>
      </c>
    </row>
    <row r="694" spans="1:2" hidden="1">
      <c r="A694">
        <v>41070000</v>
      </c>
      <c r="B694" t="s">
        <v>729</v>
      </c>
    </row>
    <row r="695" spans="1:2" hidden="1">
      <c r="A695">
        <v>41508110</v>
      </c>
      <c r="B695" t="s">
        <v>730</v>
      </c>
    </row>
    <row r="696" spans="1:2" hidden="1">
      <c r="A696">
        <v>41508111</v>
      </c>
      <c r="B696" t="s">
        <v>731</v>
      </c>
    </row>
    <row r="697" spans="1:2" hidden="1">
      <c r="A697">
        <v>41508410</v>
      </c>
      <c r="B697" t="s">
        <v>732</v>
      </c>
    </row>
    <row r="698" spans="1:2" hidden="1">
      <c r="A698">
        <v>41509010</v>
      </c>
      <c r="B698" t="s">
        <v>733</v>
      </c>
    </row>
    <row r="699" spans="1:2" hidden="1">
      <c r="A699">
        <v>41509011</v>
      </c>
      <c r="B699" t="s">
        <v>734</v>
      </c>
    </row>
    <row r="700" spans="1:2" hidden="1">
      <c r="A700">
        <v>41519010</v>
      </c>
      <c r="B700" t="s">
        <v>735</v>
      </c>
    </row>
    <row r="701" spans="1:2" hidden="1">
      <c r="A701">
        <v>41521110</v>
      </c>
      <c r="B701" t="s">
        <v>736</v>
      </c>
    </row>
    <row r="702" spans="1:2" hidden="1">
      <c r="A702">
        <v>41521810</v>
      </c>
      <c r="B702" t="s">
        <v>737</v>
      </c>
    </row>
    <row r="703" spans="1:2" hidden="1">
      <c r="A703">
        <v>41522410</v>
      </c>
      <c r="B703" t="s">
        <v>738</v>
      </c>
    </row>
    <row r="704" spans="1:2" hidden="1">
      <c r="A704">
        <v>41523010</v>
      </c>
      <c r="B704" t="s">
        <v>739</v>
      </c>
    </row>
    <row r="705" spans="1:2" hidden="1">
      <c r="A705">
        <v>41523110</v>
      </c>
      <c r="B705" t="s">
        <v>740</v>
      </c>
    </row>
    <row r="706" spans="1:2" hidden="1">
      <c r="A706">
        <v>41550210</v>
      </c>
      <c r="B706" t="s">
        <v>741</v>
      </c>
    </row>
    <row r="707" spans="1:2" hidden="1">
      <c r="A707">
        <v>41551210</v>
      </c>
      <c r="B707" t="s">
        <v>742</v>
      </c>
    </row>
    <row r="708" spans="1:2" hidden="1">
      <c r="A708">
        <v>41552810</v>
      </c>
      <c r="B708" t="s">
        <v>743</v>
      </c>
    </row>
    <row r="709" spans="1:2" hidden="1">
      <c r="A709">
        <v>41553410</v>
      </c>
      <c r="B709" t="s">
        <v>744</v>
      </c>
    </row>
    <row r="710" spans="1:2" hidden="1">
      <c r="A710">
        <v>41558710</v>
      </c>
      <c r="B710" t="s">
        <v>745</v>
      </c>
    </row>
    <row r="711" spans="1:2" hidden="1">
      <c r="A711">
        <v>41560034</v>
      </c>
      <c r="B711" t="s">
        <v>746</v>
      </c>
    </row>
    <row r="712" spans="1:2" hidden="1">
      <c r="A712">
        <v>41560041</v>
      </c>
      <c r="B712" t="s">
        <v>747</v>
      </c>
    </row>
    <row r="713" spans="1:2" hidden="1">
      <c r="A713">
        <v>41560061</v>
      </c>
      <c r="B713" t="s">
        <v>748</v>
      </c>
    </row>
    <row r="714" spans="1:2" hidden="1">
      <c r="A714">
        <v>41560074</v>
      </c>
      <c r="B714" t="s">
        <v>171</v>
      </c>
    </row>
    <row r="715" spans="1:2" hidden="1">
      <c r="A715">
        <v>41560079</v>
      </c>
      <c r="B715" t="s">
        <v>749</v>
      </c>
    </row>
    <row r="716" spans="1:2" hidden="1">
      <c r="A716">
        <v>41560096</v>
      </c>
      <c r="B716" t="s">
        <v>750</v>
      </c>
    </row>
    <row r="717" spans="1:2" hidden="1">
      <c r="A717">
        <v>41560124</v>
      </c>
      <c r="B717" t="s">
        <v>751</v>
      </c>
    </row>
    <row r="718" spans="1:2" hidden="1">
      <c r="A718">
        <v>41560142</v>
      </c>
      <c r="B718" t="s">
        <v>752</v>
      </c>
    </row>
    <row r="719" spans="1:2" hidden="1">
      <c r="A719">
        <v>41560151</v>
      </c>
      <c r="B719" t="s">
        <v>753</v>
      </c>
    </row>
    <row r="720" spans="1:2" hidden="1">
      <c r="A720">
        <v>41560166</v>
      </c>
      <c r="B720" t="s">
        <v>754</v>
      </c>
    </row>
    <row r="721" spans="1:2" hidden="1">
      <c r="A721">
        <v>41566023</v>
      </c>
      <c r="B721" t="s">
        <v>755</v>
      </c>
    </row>
    <row r="722" spans="1:2" hidden="1">
      <c r="A722">
        <v>41575310</v>
      </c>
      <c r="B722" t="s">
        <v>756</v>
      </c>
    </row>
    <row r="723" spans="1:2" hidden="1">
      <c r="A723">
        <v>41575510</v>
      </c>
      <c r="B723" t="s">
        <v>757</v>
      </c>
    </row>
    <row r="724" spans="1:2" hidden="1">
      <c r="A724">
        <v>41579810</v>
      </c>
      <c r="B724" t="s">
        <v>758</v>
      </c>
    </row>
    <row r="725" spans="1:2" hidden="1">
      <c r="A725">
        <v>41580010</v>
      </c>
      <c r="B725" t="s">
        <v>759</v>
      </c>
    </row>
    <row r="726" spans="1:2" hidden="1">
      <c r="A726">
        <v>41580110</v>
      </c>
      <c r="B726" t="s">
        <v>760</v>
      </c>
    </row>
    <row r="727" spans="1:2" hidden="1">
      <c r="A727">
        <v>41588410</v>
      </c>
      <c r="B727" t="s">
        <v>761</v>
      </c>
    </row>
    <row r="728" spans="1:2" hidden="1">
      <c r="A728">
        <v>41592100</v>
      </c>
      <c r="B728" t="s">
        <v>762</v>
      </c>
    </row>
    <row r="729" spans="1:2" hidden="1">
      <c r="A729">
        <v>41592210</v>
      </c>
      <c r="B729" t="s">
        <v>763</v>
      </c>
    </row>
    <row r="730" spans="1:2" hidden="1">
      <c r="A730">
        <v>41592216</v>
      </c>
      <c r="B730" t="s">
        <v>764</v>
      </c>
    </row>
    <row r="731" spans="1:2" hidden="1">
      <c r="A731">
        <v>41592227</v>
      </c>
      <c r="B731" t="s">
        <v>765</v>
      </c>
    </row>
    <row r="732" spans="1:2" hidden="1">
      <c r="A732">
        <v>41592300</v>
      </c>
      <c r="B732" t="s">
        <v>766</v>
      </c>
    </row>
    <row r="733" spans="1:2" hidden="1">
      <c r="A733">
        <v>41592306</v>
      </c>
      <c r="B733" t="s">
        <v>767</v>
      </c>
    </row>
    <row r="734" spans="1:2" hidden="1">
      <c r="A734">
        <v>41593001</v>
      </c>
      <c r="B734" t="s">
        <v>768</v>
      </c>
    </row>
    <row r="735" spans="1:2" hidden="1">
      <c r="A735">
        <v>41593003</v>
      </c>
      <c r="B735" t="s">
        <v>769</v>
      </c>
    </row>
    <row r="736" spans="1:2" hidden="1">
      <c r="A736">
        <v>41593007</v>
      </c>
      <c r="B736" t="s">
        <v>770</v>
      </c>
    </row>
    <row r="737" spans="1:2" hidden="1">
      <c r="A737">
        <v>41593010</v>
      </c>
      <c r="B737" t="s">
        <v>771</v>
      </c>
    </row>
    <row r="738" spans="1:2" hidden="1">
      <c r="A738">
        <v>41593015</v>
      </c>
      <c r="B738" t="s">
        <v>772</v>
      </c>
    </row>
    <row r="739" spans="1:2" hidden="1">
      <c r="A739">
        <v>41595020</v>
      </c>
      <c r="B739" t="s">
        <v>773</v>
      </c>
    </row>
    <row r="740" spans="1:2" hidden="1">
      <c r="A740">
        <v>41595022</v>
      </c>
      <c r="B740" t="s">
        <v>774</v>
      </c>
    </row>
    <row r="741" spans="1:2" hidden="1">
      <c r="A741">
        <v>41595026</v>
      </c>
      <c r="B741" t="s">
        <v>775</v>
      </c>
    </row>
    <row r="742" spans="1:2" hidden="1">
      <c r="A742">
        <v>41596001</v>
      </c>
      <c r="B742" t="s">
        <v>776</v>
      </c>
    </row>
    <row r="743" spans="1:2" hidden="1">
      <c r="A743">
        <v>41596006</v>
      </c>
      <c r="B743" t="s">
        <v>777</v>
      </c>
    </row>
    <row r="744" spans="1:2" hidden="1">
      <c r="A744">
        <v>41596121</v>
      </c>
      <c r="B744" t="s">
        <v>778</v>
      </c>
    </row>
    <row r="745" spans="1:2" hidden="1">
      <c r="A745">
        <v>41597410</v>
      </c>
      <c r="B745" t="s">
        <v>779</v>
      </c>
    </row>
    <row r="746" spans="1:2" hidden="1">
      <c r="A746">
        <v>41597411</v>
      </c>
      <c r="B746" t="s">
        <v>780</v>
      </c>
    </row>
    <row r="747" spans="1:2">
      <c r="A747">
        <v>41597501</v>
      </c>
      <c r="B747" t="s">
        <v>781</v>
      </c>
    </row>
    <row r="748" spans="1:2" hidden="1">
      <c r="A748">
        <v>41598021</v>
      </c>
      <c r="B748" t="s">
        <v>782</v>
      </c>
    </row>
    <row r="749" spans="1:2" hidden="1">
      <c r="A749">
        <v>41598031</v>
      </c>
      <c r="B749" t="s">
        <v>783</v>
      </c>
    </row>
    <row r="750" spans="1:2" hidden="1">
      <c r="A750">
        <v>41599005</v>
      </c>
      <c r="B750" t="s">
        <v>784</v>
      </c>
    </row>
    <row r="751" spans="1:2" hidden="1">
      <c r="A751">
        <v>41599012</v>
      </c>
      <c r="B751" t="s">
        <v>785</v>
      </c>
    </row>
    <row r="752" spans="1:2" hidden="1">
      <c r="A752">
        <v>461220200</v>
      </c>
      <c r="B752" t="s">
        <v>786</v>
      </c>
    </row>
    <row r="753" spans="1:2" hidden="1">
      <c r="A753">
        <v>462320200</v>
      </c>
      <c r="B753" t="s">
        <v>787</v>
      </c>
    </row>
    <row r="754" spans="1:2" hidden="1">
      <c r="A754" t="s">
        <v>788</v>
      </c>
      <c r="B754" t="s">
        <v>789</v>
      </c>
    </row>
    <row r="755" spans="1:2" hidden="1">
      <c r="A755">
        <v>463420200</v>
      </c>
      <c r="B755" t="s">
        <v>790</v>
      </c>
    </row>
    <row r="756" spans="1:2" hidden="1">
      <c r="A756">
        <v>463460210</v>
      </c>
      <c r="B756" t="s">
        <v>791</v>
      </c>
    </row>
    <row r="757" spans="1:2" hidden="1">
      <c r="A757">
        <v>469780210</v>
      </c>
      <c r="B757" t="s">
        <v>792</v>
      </c>
    </row>
    <row r="758" spans="1:2" hidden="1">
      <c r="A758">
        <v>49002040</v>
      </c>
      <c r="B758" t="s">
        <v>793</v>
      </c>
    </row>
    <row r="759" spans="1:2" hidden="1">
      <c r="A759">
        <v>49004840</v>
      </c>
      <c r="B759" t="s">
        <v>793</v>
      </c>
    </row>
    <row r="760" spans="1:2" hidden="1">
      <c r="A760" t="s">
        <v>794</v>
      </c>
      <c r="B760" t="s">
        <v>795</v>
      </c>
    </row>
    <row r="761" spans="1:2" hidden="1">
      <c r="A761" t="s">
        <v>796</v>
      </c>
      <c r="B761" t="s">
        <v>797</v>
      </c>
    </row>
    <row r="762" spans="1:2" hidden="1">
      <c r="A762">
        <v>49004848</v>
      </c>
      <c r="B762" t="s">
        <v>798</v>
      </c>
    </row>
    <row r="763" spans="1:2" hidden="1">
      <c r="A763">
        <v>49004850</v>
      </c>
      <c r="B763" t="s">
        <v>799</v>
      </c>
    </row>
    <row r="764" spans="1:2" hidden="1">
      <c r="A764" t="s">
        <v>800</v>
      </c>
      <c r="B764" t="s">
        <v>801</v>
      </c>
    </row>
    <row r="765" spans="1:2" hidden="1">
      <c r="A765">
        <v>49004852</v>
      </c>
      <c r="B765" t="s">
        <v>802</v>
      </c>
    </row>
    <row r="766" spans="1:2" hidden="1">
      <c r="A766">
        <v>49004853</v>
      </c>
      <c r="B766" t="s">
        <v>803</v>
      </c>
    </row>
    <row r="767" spans="1:2" hidden="1">
      <c r="A767">
        <v>49004860</v>
      </c>
      <c r="B767" t="s">
        <v>804</v>
      </c>
    </row>
    <row r="768" spans="1:2" hidden="1">
      <c r="A768">
        <v>49004861</v>
      </c>
      <c r="B768" t="s">
        <v>805</v>
      </c>
    </row>
    <row r="769" spans="1:2" hidden="1">
      <c r="A769">
        <v>49004862</v>
      </c>
      <c r="B769" t="s">
        <v>806</v>
      </c>
    </row>
    <row r="770" spans="1:2" hidden="1">
      <c r="A770">
        <v>49004863</v>
      </c>
      <c r="B770" t="s">
        <v>807</v>
      </c>
    </row>
    <row r="771" spans="1:2" hidden="1">
      <c r="A771">
        <v>49004864</v>
      </c>
      <c r="B771" t="s">
        <v>808</v>
      </c>
    </row>
    <row r="772" spans="1:2" hidden="1">
      <c r="A772">
        <v>49004865</v>
      </c>
      <c r="B772" t="s">
        <v>809</v>
      </c>
    </row>
    <row r="773" spans="1:2" hidden="1">
      <c r="A773">
        <v>49004866</v>
      </c>
      <c r="B773" t="s">
        <v>810</v>
      </c>
    </row>
    <row r="774" spans="1:2" hidden="1">
      <c r="A774">
        <v>49004867</v>
      </c>
      <c r="B774" t="s">
        <v>811</v>
      </c>
    </row>
    <row r="775" spans="1:2" hidden="1">
      <c r="A775">
        <v>49004868</v>
      </c>
      <c r="B775" t="s">
        <v>812</v>
      </c>
    </row>
    <row r="776" spans="1:2" hidden="1">
      <c r="A776">
        <v>49004869</v>
      </c>
      <c r="B776" t="s">
        <v>813</v>
      </c>
    </row>
    <row r="777" spans="1:2" hidden="1">
      <c r="A777">
        <v>49004870</v>
      </c>
      <c r="B777" t="s">
        <v>814</v>
      </c>
    </row>
    <row r="778" spans="1:2" hidden="1">
      <c r="A778" t="s">
        <v>815</v>
      </c>
      <c r="B778" t="s">
        <v>816</v>
      </c>
    </row>
    <row r="779" spans="1:2" hidden="1">
      <c r="A779">
        <v>503420218</v>
      </c>
      <c r="B779" t="s">
        <v>817</v>
      </c>
    </row>
    <row r="780" spans="1:2" hidden="1">
      <c r="A780" t="s">
        <v>818</v>
      </c>
      <c r="B780" t="s">
        <v>819</v>
      </c>
    </row>
    <row r="781" spans="1:2" hidden="1">
      <c r="A781" t="s">
        <v>820</v>
      </c>
      <c r="B781" t="s">
        <v>816</v>
      </c>
    </row>
    <row r="782" spans="1:2" hidden="1">
      <c r="A782">
        <v>509150210</v>
      </c>
      <c r="B782" t="s">
        <v>821</v>
      </c>
    </row>
    <row r="783" spans="1:2" hidden="1">
      <c r="A783" t="s">
        <v>822</v>
      </c>
      <c r="B783" t="s">
        <v>821</v>
      </c>
    </row>
    <row r="784" spans="1:2" hidden="1">
      <c r="A784" t="s">
        <v>823</v>
      </c>
      <c r="B784" t="s">
        <v>821</v>
      </c>
    </row>
    <row r="785" spans="1:2" hidden="1">
      <c r="A785">
        <v>5310212</v>
      </c>
      <c r="B785" t="s">
        <v>824</v>
      </c>
    </row>
    <row r="786" spans="1:2" hidden="1">
      <c r="A786">
        <v>5317112</v>
      </c>
      <c r="B786" t="s">
        <v>825</v>
      </c>
    </row>
    <row r="787" spans="1:2" hidden="1">
      <c r="A787">
        <v>5323212</v>
      </c>
      <c r="B787" t="s">
        <v>826</v>
      </c>
    </row>
    <row r="788" spans="1:2" hidden="1">
      <c r="A788">
        <v>5324112</v>
      </c>
      <c r="B788" t="s">
        <v>827</v>
      </c>
    </row>
    <row r="789" spans="1:2" hidden="1">
      <c r="A789">
        <v>53341612</v>
      </c>
      <c r="B789" t="s">
        <v>828</v>
      </c>
    </row>
    <row r="790" spans="1:2" hidden="1">
      <c r="A790">
        <v>539121210</v>
      </c>
      <c r="B790" t="s">
        <v>829</v>
      </c>
    </row>
    <row r="791" spans="1:2" hidden="1">
      <c r="A791">
        <v>539156200</v>
      </c>
      <c r="B791" t="s">
        <v>830</v>
      </c>
    </row>
    <row r="792" spans="1:2" hidden="1">
      <c r="A792" t="s">
        <v>831</v>
      </c>
      <c r="B792" t="s">
        <v>832</v>
      </c>
    </row>
    <row r="793" spans="1:2" hidden="1">
      <c r="A793">
        <v>539391200</v>
      </c>
      <c r="B793" t="s">
        <v>833</v>
      </c>
    </row>
    <row r="794" spans="1:2" hidden="1">
      <c r="A794">
        <v>53991512</v>
      </c>
      <c r="B794" t="s">
        <v>834</v>
      </c>
    </row>
    <row r="795" spans="1:2" hidden="1">
      <c r="A795">
        <v>539940200</v>
      </c>
      <c r="B795" t="s">
        <v>835</v>
      </c>
    </row>
    <row r="796" spans="1:2" hidden="1">
      <c r="A796" t="s">
        <v>836</v>
      </c>
      <c r="B796" t="s">
        <v>837</v>
      </c>
    </row>
    <row r="797" spans="1:2" hidden="1">
      <c r="A797" t="s">
        <v>838</v>
      </c>
      <c r="B797" t="s">
        <v>839</v>
      </c>
    </row>
    <row r="798" spans="1:2" hidden="1">
      <c r="A798" t="s">
        <v>840</v>
      </c>
      <c r="B798" t="s">
        <v>841</v>
      </c>
    </row>
    <row r="799" spans="1:2" hidden="1">
      <c r="A799" t="s">
        <v>842</v>
      </c>
      <c r="B799" t="s">
        <v>841</v>
      </c>
    </row>
    <row r="800" spans="1:2" hidden="1">
      <c r="A800" t="s">
        <v>843</v>
      </c>
      <c r="B800" t="s">
        <v>844</v>
      </c>
    </row>
    <row r="801" spans="1:2" hidden="1">
      <c r="A801" t="s">
        <v>845</v>
      </c>
      <c r="B801" t="s">
        <v>844</v>
      </c>
    </row>
    <row r="802" spans="1:2" hidden="1">
      <c r="A802" t="s">
        <v>846</v>
      </c>
      <c r="B802" t="s">
        <v>847</v>
      </c>
    </row>
    <row r="803" spans="1:2" hidden="1">
      <c r="A803" t="s">
        <v>848</v>
      </c>
      <c r="B803" t="s">
        <v>849</v>
      </c>
    </row>
    <row r="804" spans="1:2" hidden="1">
      <c r="A804" t="s">
        <v>850</v>
      </c>
      <c r="B804" t="s">
        <v>851</v>
      </c>
    </row>
    <row r="805" spans="1:2" hidden="1">
      <c r="A805">
        <v>551220200</v>
      </c>
      <c r="B805" t="s">
        <v>852</v>
      </c>
    </row>
    <row r="806" spans="1:2" hidden="1">
      <c r="A806">
        <v>552320200</v>
      </c>
      <c r="B806" t="s">
        <v>853</v>
      </c>
    </row>
    <row r="807" spans="1:2" hidden="1">
      <c r="A807" t="s">
        <v>854</v>
      </c>
      <c r="B807" t="s">
        <v>855</v>
      </c>
    </row>
    <row r="808" spans="1:2" hidden="1">
      <c r="A808">
        <v>553460210</v>
      </c>
      <c r="B808" t="s">
        <v>856</v>
      </c>
    </row>
    <row r="809" spans="1:2" hidden="1">
      <c r="A809">
        <v>553660210</v>
      </c>
      <c r="B809" t="s">
        <v>857</v>
      </c>
    </row>
    <row r="810" spans="1:2" hidden="1">
      <c r="A810">
        <v>559950210</v>
      </c>
      <c r="B810" t="s">
        <v>858</v>
      </c>
    </row>
    <row r="811" spans="1:2" hidden="1">
      <c r="A811">
        <v>60703046</v>
      </c>
      <c r="B811" t="s">
        <v>859</v>
      </c>
    </row>
    <row r="812" spans="1:2" hidden="1">
      <c r="A812">
        <v>60803165</v>
      </c>
      <c r="B812" t="s">
        <v>860</v>
      </c>
    </row>
    <row r="813" spans="1:2" hidden="1">
      <c r="A813">
        <v>60803172</v>
      </c>
      <c r="B813" t="s">
        <v>861</v>
      </c>
    </row>
    <row r="814" spans="1:2" hidden="1">
      <c r="A814">
        <v>61001000</v>
      </c>
      <c r="B814" t="s">
        <v>862</v>
      </c>
    </row>
    <row r="815" spans="1:2" hidden="1">
      <c r="A815">
        <v>61001034</v>
      </c>
      <c r="B815" t="s">
        <v>863</v>
      </c>
    </row>
    <row r="816" spans="1:2" hidden="1">
      <c r="A816">
        <v>61001076</v>
      </c>
      <c r="B816" t="s">
        <v>864</v>
      </c>
    </row>
    <row r="817" spans="1:2" hidden="1">
      <c r="A817">
        <v>61001097</v>
      </c>
      <c r="B817" t="s">
        <v>865</v>
      </c>
    </row>
    <row r="818" spans="1:2" hidden="1">
      <c r="A818">
        <v>61001104</v>
      </c>
      <c r="B818" t="s">
        <v>866</v>
      </c>
    </row>
    <row r="819" spans="1:2" hidden="1">
      <c r="A819">
        <v>61001108</v>
      </c>
      <c r="B819" t="s">
        <v>867</v>
      </c>
    </row>
    <row r="820" spans="1:2" hidden="1">
      <c r="A820">
        <v>61001109</v>
      </c>
      <c r="B820" t="s">
        <v>868</v>
      </c>
    </row>
    <row r="821" spans="1:2" hidden="1">
      <c r="A821">
        <v>61001113</v>
      </c>
      <c r="B821" t="s">
        <v>869</v>
      </c>
    </row>
    <row r="822" spans="1:2" hidden="1">
      <c r="A822">
        <v>61001189</v>
      </c>
      <c r="B822" t="s">
        <v>870</v>
      </c>
    </row>
    <row r="823" spans="1:2" hidden="1">
      <c r="A823">
        <v>61001190</v>
      </c>
      <c r="B823" t="s">
        <v>871</v>
      </c>
    </row>
    <row r="824" spans="1:2" hidden="1">
      <c r="A824">
        <v>61001192</v>
      </c>
      <c r="B824" t="s">
        <v>872</v>
      </c>
    </row>
    <row r="825" spans="1:2" hidden="1">
      <c r="A825">
        <v>61001199</v>
      </c>
      <c r="B825" t="s">
        <v>873</v>
      </c>
    </row>
    <row r="826" spans="1:2" hidden="1">
      <c r="A826">
        <v>61001229</v>
      </c>
      <c r="B826" t="s">
        <v>874</v>
      </c>
    </row>
    <row r="827" spans="1:2" hidden="1">
      <c r="A827">
        <v>61001230</v>
      </c>
      <c r="B827" t="s">
        <v>875</v>
      </c>
    </row>
    <row r="828" spans="1:2" hidden="1">
      <c r="A828">
        <v>61001232</v>
      </c>
      <c r="B828" t="s">
        <v>876</v>
      </c>
    </row>
    <row r="829" spans="1:2" hidden="1">
      <c r="A829">
        <v>61001269</v>
      </c>
      <c r="B829" t="s">
        <v>877</v>
      </c>
    </row>
    <row r="830" spans="1:2" hidden="1">
      <c r="A830">
        <v>61001272</v>
      </c>
      <c r="B830" t="s">
        <v>878</v>
      </c>
    </row>
    <row r="831" spans="1:2" hidden="1">
      <c r="A831">
        <v>61001276</v>
      </c>
      <c r="B831" t="s">
        <v>879</v>
      </c>
    </row>
    <row r="832" spans="1:2" hidden="1">
      <c r="A832">
        <v>61001300</v>
      </c>
      <c r="B832" t="s">
        <v>880</v>
      </c>
    </row>
    <row r="833" spans="1:2" hidden="1">
      <c r="A833">
        <v>61001301</v>
      </c>
      <c r="B833" t="s">
        <v>881</v>
      </c>
    </row>
    <row r="834" spans="1:2" hidden="1">
      <c r="A834">
        <v>61001302</v>
      </c>
      <c r="B834" t="s">
        <v>882</v>
      </c>
    </row>
    <row r="835" spans="1:2" hidden="1">
      <c r="A835">
        <v>61001303</v>
      </c>
      <c r="B835" t="s">
        <v>883</v>
      </c>
    </row>
    <row r="836" spans="1:2" hidden="1">
      <c r="A836">
        <v>61001305</v>
      </c>
      <c r="B836" t="s">
        <v>884</v>
      </c>
    </row>
    <row r="837" spans="1:2" hidden="1">
      <c r="A837">
        <v>61001320</v>
      </c>
      <c r="B837" t="s">
        <v>885</v>
      </c>
    </row>
    <row r="838" spans="1:2" hidden="1">
      <c r="A838">
        <v>61801232</v>
      </c>
      <c r="B838" t="s">
        <v>886</v>
      </c>
    </row>
    <row r="839" spans="1:2" hidden="1">
      <c r="A839">
        <v>61801236</v>
      </c>
      <c r="B839" t="s">
        <v>887</v>
      </c>
    </row>
    <row r="840" spans="1:2" hidden="1">
      <c r="A840">
        <v>61801239</v>
      </c>
      <c r="B840" t="s">
        <v>888</v>
      </c>
    </row>
    <row r="841" spans="1:2" hidden="1">
      <c r="A841">
        <v>61867050</v>
      </c>
      <c r="B841" t="s">
        <v>889</v>
      </c>
    </row>
    <row r="842" spans="1:2" hidden="1">
      <c r="A842">
        <v>622410200</v>
      </c>
      <c r="B842" t="s">
        <v>890</v>
      </c>
    </row>
    <row r="843" spans="1:2" hidden="1">
      <c r="A843" t="s">
        <v>891</v>
      </c>
      <c r="B843" t="s">
        <v>892</v>
      </c>
    </row>
    <row r="844" spans="1:2" hidden="1">
      <c r="A844" t="s">
        <v>893</v>
      </c>
      <c r="B844" t="s">
        <v>894</v>
      </c>
    </row>
    <row r="845" spans="1:2" hidden="1">
      <c r="A845" t="s">
        <v>895</v>
      </c>
      <c r="B845" t="s">
        <v>896</v>
      </c>
    </row>
    <row r="846" spans="1:2" hidden="1">
      <c r="A846" t="s">
        <v>897</v>
      </c>
      <c r="B846" t="s">
        <v>898</v>
      </c>
    </row>
    <row r="847" spans="1:2" hidden="1">
      <c r="A847" t="s">
        <v>899</v>
      </c>
      <c r="B847" t="s">
        <v>900</v>
      </c>
    </row>
    <row r="848" spans="1:2" hidden="1">
      <c r="A848">
        <v>629150210</v>
      </c>
      <c r="B848" t="s">
        <v>901</v>
      </c>
    </row>
    <row r="849" spans="1:2" hidden="1">
      <c r="A849" t="s">
        <v>902</v>
      </c>
      <c r="B849" t="s">
        <v>901</v>
      </c>
    </row>
    <row r="850" spans="1:2" hidden="1">
      <c r="A850" t="s">
        <v>903</v>
      </c>
      <c r="B850" t="s">
        <v>901</v>
      </c>
    </row>
    <row r="851" spans="1:2" hidden="1">
      <c r="A851" t="s">
        <v>904</v>
      </c>
      <c r="B851" t="s">
        <v>905</v>
      </c>
    </row>
    <row r="852" spans="1:2" hidden="1">
      <c r="A852" t="s">
        <v>906</v>
      </c>
      <c r="B852" t="s">
        <v>905</v>
      </c>
    </row>
    <row r="853" spans="1:2" hidden="1">
      <c r="A853" t="s">
        <v>907</v>
      </c>
      <c r="B853" t="s">
        <v>908</v>
      </c>
    </row>
    <row r="854" spans="1:2" hidden="1">
      <c r="A854" t="s">
        <v>909</v>
      </c>
      <c r="B854" t="s">
        <v>910</v>
      </c>
    </row>
    <row r="855" spans="1:2" hidden="1">
      <c r="A855">
        <v>749140200</v>
      </c>
      <c r="B855" t="s">
        <v>911</v>
      </c>
    </row>
    <row r="856" spans="1:2" hidden="1">
      <c r="A856">
        <v>749140210</v>
      </c>
      <c r="B856" t="s">
        <v>912</v>
      </c>
    </row>
    <row r="857" spans="1:2" hidden="1">
      <c r="A857">
        <v>749150200</v>
      </c>
      <c r="B857" t="s">
        <v>913</v>
      </c>
    </row>
    <row r="858" spans="1:2" hidden="1">
      <c r="A858">
        <v>749390210</v>
      </c>
      <c r="B858" t="s">
        <v>914</v>
      </c>
    </row>
    <row r="859" spans="1:2" hidden="1">
      <c r="A859">
        <v>749830210</v>
      </c>
      <c r="B859" t="s">
        <v>915</v>
      </c>
    </row>
    <row r="860" spans="1:2" hidden="1">
      <c r="A860">
        <v>780130200</v>
      </c>
      <c r="B860" t="s">
        <v>916</v>
      </c>
    </row>
    <row r="861" spans="1:2" hidden="1">
      <c r="A861">
        <v>7900150</v>
      </c>
      <c r="B861" t="s">
        <v>917</v>
      </c>
    </row>
    <row r="862" spans="1:2" hidden="1">
      <c r="A862">
        <v>790027200</v>
      </c>
      <c r="B862" t="s">
        <v>918</v>
      </c>
    </row>
    <row r="863" spans="1:2" hidden="1">
      <c r="A863">
        <v>7900550</v>
      </c>
      <c r="B863" t="s">
        <v>919</v>
      </c>
    </row>
    <row r="864" spans="1:2" hidden="1">
      <c r="A864">
        <v>7900602</v>
      </c>
      <c r="B864" t="s">
        <v>920</v>
      </c>
    </row>
    <row r="865" spans="1:2" hidden="1">
      <c r="A865">
        <v>7900603</v>
      </c>
      <c r="B865" t="s">
        <v>921</v>
      </c>
    </row>
    <row r="866" spans="1:2" hidden="1">
      <c r="A866">
        <v>7900605</v>
      </c>
      <c r="B866" t="s">
        <v>922</v>
      </c>
    </row>
    <row r="867" spans="1:2" hidden="1">
      <c r="A867">
        <v>7900650</v>
      </c>
      <c r="B867" t="s">
        <v>923</v>
      </c>
    </row>
    <row r="868" spans="1:2" hidden="1">
      <c r="A868">
        <v>7900651</v>
      </c>
      <c r="B868" t="s">
        <v>924</v>
      </c>
    </row>
    <row r="869" spans="1:2" hidden="1">
      <c r="A869">
        <v>7900654</v>
      </c>
      <c r="B869" t="s">
        <v>925</v>
      </c>
    </row>
    <row r="870" spans="1:2" hidden="1">
      <c r="A870">
        <v>790066300</v>
      </c>
      <c r="B870" t="s">
        <v>926</v>
      </c>
    </row>
    <row r="871" spans="1:2" hidden="1">
      <c r="A871">
        <v>790066700</v>
      </c>
      <c r="B871" t="s">
        <v>927</v>
      </c>
    </row>
    <row r="872" spans="1:2" hidden="1">
      <c r="A872">
        <v>790066800</v>
      </c>
      <c r="B872" t="s">
        <v>928</v>
      </c>
    </row>
    <row r="873" spans="1:2" hidden="1">
      <c r="A873">
        <v>790067000</v>
      </c>
      <c r="B873" t="s">
        <v>929</v>
      </c>
    </row>
    <row r="874" spans="1:2" hidden="1">
      <c r="A874">
        <v>790067100</v>
      </c>
      <c r="B874" t="s">
        <v>930</v>
      </c>
    </row>
    <row r="875" spans="1:2" hidden="1">
      <c r="A875">
        <v>790067300</v>
      </c>
      <c r="B875" t="s">
        <v>931</v>
      </c>
    </row>
    <row r="876" spans="1:2" hidden="1">
      <c r="A876">
        <v>7900750</v>
      </c>
      <c r="B876" t="s">
        <v>932</v>
      </c>
    </row>
    <row r="877" spans="1:2" hidden="1">
      <c r="A877">
        <v>7900751</v>
      </c>
      <c r="B877" t="s">
        <v>933</v>
      </c>
    </row>
    <row r="878" spans="1:2" hidden="1">
      <c r="A878">
        <v>7900752</v>
      </c>
      <c r="B878" t="s">
        <v>934</v>
      </c>
    </row>
    <row r="879" spans="1:2" hidden="1">
      <c r="A879">
        <v>7901050</v>
      </c>
      <c r="B879" t="s">
        <v>935</v>
      </c>
    </row>
    <row r="880" spans="1:2" hidden="1">
      <c r="A880">
        <v>81216061</v>
      </c>
      <c r="B880" t="s">
        <v>936</v>
      </c>
    </row>
    <row r="881" spans="1:2" hidden="1">
      <c r="A881">
        <v>81216067</v>
      </c>
      <c r="B881" t="s">
        <v>937</v>
      </c>
    </row>
    <row r="882" spans="1:2" hidden="1">
      <c r="A882">
        <v>81476061</v>
      </c>
      <c r="B882" t="s">
        <v>938</v>
      </c>
    </row>
    <row r="883" spans="1:2">
      <c r="A883">
        <v>81543107</v>
      </c>
      <c r="B883" t="s">
        <v>939</v>
      </c>
    </row>
    <row r="884" spans="1:2" hidden="1">
      <c r="A884">
        <v>81543286</v>
      </c>
      <c r="B884" t="s">
        <v>940</v>
      </c>
    </row>
    <row r="885" spans="1:2" hidden="1">
      <c r="A885">
        <v>81712071</v>
      </c>
      <c r="B885" t="s">
        <v>941</v>
      </c>
    </row>
    <row r="886" spans="1:2" hidden="1">
      <c r="A886">
        <v>81911362</v>
      </c>
      <c r="B886" t="s">
        <v>942</v>
      </c>
    </row>
    <row r="887" spans="1:2" hidden="1">
      <c r="A887">
        <v>81911462</v>
      </c>
      <c r="B887" t="s">
        <v>943</v>
      </c>
    </row>
    <row r="888" spans="1:2" hidden="1">
      <c r="A888">
        <v>8917102</v>
      </c>
      <c r="B888" t="s">
        <v>944</v>
      </c>
    </row>
    <row r="889" spans="1:2" hidden="1">
      <c r="A889">
        <v>8924102</v>
      </c>
      <c r="B889" t="s">
        <v>945</v>
      </c>
    </row>
    <row r="890" spans="1:2" hidden="1">
      <c r="A890">
        <v>89341602</v>
      </c>
      <c r="B890" t="s">
        <v>946</v>
      </c>
    </row>
    <row r="891" spans="1:2" hidden="1">
      <c r="A891">
        <v>904131</v>
      </c>
      <c r="B891" t="s">
        <v>450</v>
      </c>
    </row>
    <row r="892" spans="1:2" hidden="1">
      <c r="A892">
        <v>915111130</v>
      </c>
      <c r="B892" t="s">
        <v>947</v>
      </c>
    </row>
    <row r="893" spans="1:2" hidden="1">
      <c r="A893">
        <v>915411215</v>
      </c>
      <c r="B893" t="s">
        <v>948</v>
      </c>
    </row>
    <row r="894" spans="1:2" hidden="1">
      <c r="A894">
        <v>915411415</v>
      </c>
      <c r="B894" t="s">
        <v>949</v>
      </c>
    </row>
    <row r="895" spans="1:2" hidden="1">
      <c r="A895">
        <v>94228053</v>
      </c>
      <c r="B895" t="s">
        <v>950</v>
      </c>
    </row>
    <row r="896" spans="1:2" hidden="1">
      <c r="A896">
        <v>96911402</v>
      </c>
      <c r="B896" t="s">
        <v>951</v>
      </c>
    </row>
    <row r="897" spans="1:2" hidden="1">
      <c r="A897">
        <v>9717002</v>
      </c>
      <c r="B897" t="s">
        <v>952</v>
      </c>
    </row>
    <row r="898" spans="1:2" hidden="1">
      <c r="A898">
        <v>9724002</v>
      </c>
      <c r="B898" t="s">
        <v>953</v>
      </c>
    </row>
    <row r="899" spans="1:2" hidden="1">
      <c r="A899">
        <v>97341602</v>
      </c>
      <c r="B899" t="s">
        <v>954</v>
      </c>
    </row>
    <row r="900" spans="1:2" hidden="1">
      <c r="A900" t="s">
        <v>955</v>
      </c>
      <c r="B900" t="s">
        <v>956</v>
      </c>
    </row>
    <row r="901" spans="1:2" hidden="1">
      <c r="A901" t="s">
        <v>957</v>
      </c>
      <c r="B901" t="s">
        <v>956</v>
      </c>
    </row>
    <row r="902" spans="1:2" hidden="1">
      <c r="A902" t="s">
        <v>958</v>
      </c>
      <c r="B902" t="s">
        <v>959</v>
      </c>
    </row>
    <row r="903" spans="1:2" hidden="1">
      <c r="A903">
        <v>97931802</v>
      </c>
      <c r="B903" t="s">
        <v>960</v>
      </c>
    </row>
    <row r="904" spans="1:2" hidden="1">
      <c r="A904" t="s">
        <v>961</v>
      </c>
      <c r="B904" t="s">
        <v>962</v>
      </c>
    </row>
    <row r="905" spans="1:2" hidden="1">
      <c r="A905">
        <v>99191003</v>
      </c>
      <c r="B905" t="s">
        <v>963</v>
      </c>
    </row>
    <row r="906" spans="1:2" hidden="1">
      <c r="A906">
        <v>99191012</v>
      </c>
      <c r="B906" t="s">
        <v>964</v>
      </c>
    </row>
    <row r="907" spans="1:2" hidden="1">
      <c r="A907" t="s">
        <v>965</v>
      </c>
      <c r="B907" t="s">
        <v>966</v>
      </c>
    </row>
  </sheetData>
  <autoFilter ref="A1:B907" xr:uid="{1D2EF17A-8232-4F92-8222-1EEB56996121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D577-217D-42CC-BE20-204AFA07462C}">
  <dimension ref="A4:S15"/>
  <sheetViews>
    <sheetView topLeftCell="A2" workbookViewId="0">
      <selection activeCell="F13" sqref="F13"/>
    </sheetView>
  </sheetViews>
  <sheetFormatPr baseColWidth="10" defaultRowHeight="15"/>
  <cols>
    <col min="1" max="1" width="7.33203125" customWidth="1"/>
    <col min="5" max="5" width="14.1640625" bestFit="1" customWidth="1"/>
    <col min="6" max="6" width="59" bestFit="1" customWidth="1"/>
    <col min="7" max="7" width="21.33203125" customWidth="1"/>
    <col min="8" max="8" width="15.5" bestFit="1" customWidth="1"/>
    <col min="11" max="11" width="12.1640625" bestFit="1" customWidth="1"/>
    <col min="13" max="13" width="20.1640625" customWidth="1"/>
    <col min="16" max="16" width="22" customWidth="1"/>
    <col min="18" max="18" width="12.6640625" customWidth="1"/>
    <col min="19" max="19" width="23.33203125" customWidth="1"/>
  </cols>
  <sheetData>
    <row r="4" spans="1:19" ht="18">
      <c r="A4" s="97"/>
      <c r="B4" s="97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97"/>
      <c r="O4" s="97"/>
      <c r="P4" s="97"/>
    </row>
    <row r="5" spans="1:19" ht="18">
      <c r="A5" s="97"/>
      <c r="B5" s="97"/>
      <c r="C5" s="98" t="s">
        <v>998</v>
      </c>
      <c r="D5" s="99"/>
      <c r="E5" s="99"/>
      <c r="F5" s="65"/>
      <c r="G5" s="99"/>
      <c r="H5" s="99"/>
      <c r="I5" s="99"/>
      <c r="J5" s="99"/>
      <c r="K5" s="99"/>
      <c r="L5" s="99"/>
      <c r="M5" s="99"/>
      <c r="N5" s="100"/>
      <c r="O5" s="100"/>
      <c r="P5" s="97"/>
    </row>
    <row r="6" spans="1:19" ht="19" thickBot="1">
      <c r="A6" s="97"/>
      <c r="B6" s="100"/>
      <c r="C6" s="101" t="s">
        <v>1</v>
      </c>
      <c r="D6" s="101"/>
      <c r="E6" s="101"/>
      <c r="F6" s="65"/>
      <c r="G6" s="52"/>
      <c r="H6" s="52"/>
      <c r="I6" s="52"/>
      <c r="J6" s="52" t="s">
        <v>999</v>
      </c>
      <c r="K6" s="65"/>
      <c r="L6" s="102" t="s">
        <v>1414</v>
      </c>
      <c r="M6" s="52"/>
      <c r="P6" s="97"/>
    </row>
    <row r="7" spans="1:19" s="3" customFormat="1" ht="85">
      <c r="A7" s="103"/>
      <c r="B7" s="104" t="s">
        <v>1000</v>
      </c>
      <c r="C7" s="105" t="s">
        <v>1001</v>
      </c>
      <c r="D7" s="105" t="s">
        <v>971</v>
      </c>
      <c r="E7" s="106" t="s">
        <v>1002</v>
      </c>
      <c r="F7" s="105" t="s">
        <v>1003</v>
      </c>
      <c r="G7" s="105" t="s">
        <v>1004</v>
      </c>
      <c r="H7" s="104" t="s">
        <v>975</v>
      </c>
      <c r="I7" s="105" t="s">
        <v>1005</v>
      </c>
      <c r="J7" s="105" t="s">
        <v>1006</v>
      </c>
      <c r="K7" s="105" t="s">
        <v>1007</v>
      </c>
      <c r="L7" s="105" t="s">
        <v>979</v>
      </c>
      <c r="M7" s="107" t="s">
        <v>1008</v>
      </c>
      <c r="N7" s="105" t="s">
        <v>981</v>
      </c>
      <c r="O7" s="108" t="s">
        <v>982</v>
      </c>
      <c r="P7" s="105" t="s">
        <v>1009</v>
      </c>
      <c r="Q7" s="109" t="s">
        <v>984</v>
      </c>
      <c r="R7" s="93" t="s">
        <v>985</v>
      </c>
      <c r="S7" s="93" t="s">
        <v>1010</v>
      </c>
    </row>
    <row r="8" spans="1:19" s="168" customFormat="1" ht="24" customHeight="1">
      <c r="A8" s="181">
        <v>1</v>
      </c>
      <c r="B8" s="243">
        <v>45834</v>
      </c>
      <c r="C8" s="244" t="s">
        <v>1447</v>
      </c>
      <c r="D8" s="244" t="s">
        <v>1290</v>
      </c>
      <c r="E8" s="245">
        <v>111630008</v>
      </c>
      <c r="F8" s="246" t="str">
        <f>VLOOKUP(E8,PROD,2,FALSE)</f>
        <v>CAFETERA INTEGRACION CLC 85-G1 GM BM MX</v>
      </c>
      <c r="G8" s="247" t="s">
        <v>1448</v>
      </c>
      <c r="H8" s="248" t="s">
        <v>23</v>
      </c>
      <c r="I8" s="244" t="s">
        <v>1142</v>
      </c>
      <c r="J8" s="249" t="s">
        <v>1432</v>
      </c>
      <c r="K8" s="250">
        <v>45834</v>
      </c>
      <c r="L8" s="251" t="s">
        <v>1449</v>
      </c>
      <c r="M8" s="251" t="s">
        <v>1131</v>
      </c>
      <c r="N8" s="252" t="s">
        <v>1450</v>
      </c>
      <c r="O8" s="253">
        <v>15</v>
      </c>
      <c r="P8" s="244" t="s">
        <v>1451</v>
      </c>
      <c r="Q8" s="190" t="s">
        <v>1142</v>
      </c>
      <c r="R8" s="190"/>
      <c r="S8" s="190"/>
    </row>
    <row r="9" spans="1:19" s="168" customFormat="1" ht="24" customHeight="1">
      <c r="O9" s="182"/>
    </row>
    <row r="10" spans="1:19" s="168" customFormat="1" ht="24" customHeight="1">
      <c r="O10" s="183"/>
    </row>
    <row r="11" spans="1:19" s="168" customFormat="1" ht="24" customHeight="1">
      <c r="O11" s="183"/>
    </row>
    <row r="12" spans="1:19" s="168" customFormat="1" ht="24" customHeight="1"/>
    <row r="13" spans="1:19" s="4" customFormat="1" ht="20"/>
    <row r="14" spans="1:19" s="49" customFormat="1" ht="20">
      <c r="G14" s="4">
        <v>1</v>
      </c>
      <c r="H14" s="4" t="s">
        <v>1011</v>
      </c>
      <c r="I14" s="4">
        <v>15</v>
      </c>
      <c r="J14" s="4">
        <v>15</v>
      </c>
    </row>
    <row r="15" spans="1:19" s="49" customFormat="1" ht="20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0B7F-9440-488F-A536-F064C4623D51}">
  <dimension ref="A3:T239"/>
  <sheetViews>
    <sheetView topLeftCell="G58" workbookViewId="0">
      <selection activeCell="J95" sqref="J95"/>
    </sheetView>
  </sheetViews>
  <sheetFormatPr baseColWidth="10" defaultRowHeight="15"/>
  <cols>
    <col min="1" max="1" width="10.6640625" customWidth="1"/>
    <col min="2" max="2" width="13.33203125" customWidth="1"/>
    <col min="3" max="3" width="27.5" customWidth="1"/>
    <col min="4" max="4" width="38.6640625" customWidth="1"/>
    <col min="5" max="5" width="16.5" bestFit="1" customWidth="1"/>
    <col min="6" max="6" width="14" customWidth="1"/>
    <col min="7" max="7" width="15" customWidth="1"/>
    <col min="8" max="8" width="76" customWidth="1"/>
    <col min="9" max="9" width="20.5" customWidth="1"/>
    <col min="10" max="10" width="26.83203125" customWidth="1"/>
    <col min="11" max="11" width="17.5" customWidth="1"/>
    <col min="15" max="15" width="17.33203125" customWidth="1"/>
    <col min="16" max="16" width="7.5" customWidth="1"/>
    <col min="17" max="17" width="13.5" bestFit="1" customWidth="1"/>
    <col min="18" max="18" width="38.33203125" customWidth="1"/>
    <col min="19" max="19" width="23.33203125" customWidth="1"/>
    <col min="20" max="20" width="71.33203125" customWidth="1"/>
  </cols>
  <sheetData>
    <row r="3" spans="1:20">
      <c r="B3" s="110" t="s">
        <v>998</v>
      </c>
      <c r="C3" s="111"/>
      <c r="D3" s="111"/>
      <c r="E3" s="111"/>
      <c r="F3" s="112"/>
      <c r="G3" s="112"/>
      <c r="H3" s="112"/>
      <c r="I3" s="112"/>
      <c r="J3" s="113"/>
      <c r="K3" s="114"/>
      <c r="L3" s="113"/>
      <c r="M3" s="115"/>
      <c r="N3" s="113"/>
      <c r="O3" s="113"/>
      <c r="P3" s="113"/>
      <c r="Q3" s="113"/>
      <c r="R3" s="113"/>
      <c r="S3" s="112"/>
      <c r="T3" s="116"/>
    </row>
    <row r="4" spans="1:20">
      <c r="B4" s="110" t="s">
        <v>1310</v>
      </c>
      <c r="C4" s="111"/>
      <c r="D4" s="111"/>
      <c r="E4" s="111"/>
      <c r="F4" s="112"/>
      <c r="G4" s="112"/>
      <c r="H4" s="112"/>
      <c r="I4" s="112"/>
      <c r="J4" s="113"/>
      <c r="K4" s="114"/>
      <c r="L4" s="113"/>
      <c r="M4" s="115"/>
      <c r="N4" s="113"/>
      <c r="O4" s="113"/>
      <c r="P4" s="113"/>
      <c r="Q4" s="113"/>
      <c r="R4" s="113"/>
      <c r="S4" s="112"/>
      <c r="T4" s="116"/>
    </row>
    <row r="5" spans="1:20">
      <c r="B5" s="110" t="s">
        <v>1311</v>
      </c>
      <c r="C5" s="111"/>
      <c r="D5" s="111"/>
      <c r="E5" s="111"/>
      <c r="F5" s="112"/>
      <c r="G5" s="112"/>
      <c r="H5" s="112"/>
      <c r="I5" s="112"/>
      <c r="J5" s="113"/>
      <c r="K5" s="114"/>
      <c r="L5" s="113"/>
      <c r="M5" s="115"/>
      <c r="N5" s="113"/>
      <c r="O5" s="113"/>
      <c r="P5" s="113"/>
      <c r="Q5" s="113"/>
      <c r="R5" s="113"/>
      <c r="S5" s="112"/>
      <c r="T5" s="116"/>
    </row>
    <row r="6" spans="1:20" s="3" customFormat="1" ht="51">
      <c r="B6" s="109" t="s">
        <v>1013</v>
      </c>
      <c r="C6" s="109" t="s">
        <v>1014</v>
      </c>
      <c r="D6" s="109" t="s">
        <v>1015</v>
      </c>
      <c r="E6" s="109" t="s">
        <v>1016</v>
      </c>
      <c r="F6" s="109" t="s">
        <v>1017</v>
      </c>
      <c r="G6" s="124" t="s">
        <v>1031</v>
      </c>
      <c r="H6" s="109" t="s">
        <v>1030</v>
      </c>
      <c r="I6" s="109" t="s">
        <v>1018</v>
      </c>
      <c r="J6" s="109" t="s">
        <v>1019</v>
      </c>
      <c r="K6" s="109" t="s">
        <v>1000</v>
      </c>
      <c r="L6" s="109" t="s">
        <v>1005</v>
      </c>
      <c r="M6" s="125" t="s">
        <v>1020</v>
      </c>
      <c r="N6" s="125" t="s">
        <v>1021</v>
      </c>
      <c r="O6" s="109" t="s">
        <v>1022</v>
      </c>
      <c r="P6" s="126" t="s">
        <v>1023</v>
      </c>
      <c r="Q6" s="109" t="s">
        <v>1024</v>
      </c>
      <c r="R6" s="109" t="s">
        <v>1025</v>
      </c>
      <c r="S6" s="109" t="s">
        <v>1026</v>
      </c>
      <c r="T6" s="109" t="s">
        <v>1027</v>
      </c>
    </row>
    <row r="7" spans="1:20" s="127" customFormat="1" ht="22">
      <c r="A7" s="127">
        <v>1</v>
      </c>
      <c r="B7" s="117">
        <v>45827</v>
      </c>
      <c r="C7" s="128" t="s">
        <v>1032</v>
      </c>
      <c r="D7" s="128" t="s">
        <v>1033</v>
      </c>
      <c r="E7" s="129">
        <v>992641745</v>
      </c>
      <c r="F7" s="129" t="s">
        <v>1029</v>
      </c>
      <c r="G7" s="129">
        <v>40460450</v>
      </c>
      <c r="H7" s="130" t="str">
        <f t="shared" ref="H7:H17" si="0">VLOOKUP(G7,PROD,2,FALSE)</f>
        <v>DBB 90 INOX CAMPANA (110V-60HZ) C/KIT</v>
      </c>
      <c r="I7" s="131" t="s">
        <v>1028</v>
      </c>
      <c r="J7" s="129" t="s">
        <v>1141</v>
      </c>
      <c r="K7" s="132">
        <v>45806</v>
      </c>
      <c r="L7" s="131" t="s">
        <v>1142</v>
      </c>
      <c r="M7" s="131" t="s">
        <v>987</v>
      </c>
      <c r="N7" s="131" t="s">
        <v>987</v>
      </c>
      <c r="O7" s="129" t="s">
        <v>1143</v>
      </c>
      <c r="P7" s="131" t="s">
        <v>23</v>
      </c>
      <c r="Q7" s="216">
        <v>45826</v>
      </c>
      <c r="R7" s="133" t="s">
        <v>1144</v>
      </c>
      <c r="S7" s="134">
        <v>301910055</v>
      </c>
      <c r="T7" s="131" t="s">
        <v>1312</v>
      </c>
    </row>
    <row r="8" spans="1:20" s="127" customFormat="1" ht="22">
      <c r="A8" s="127">
        <f>1+A7</f>
        <v>2</v>
      </c>
      <c r="B8" s="117">
        <v>45827</v>
      </c>
      <c r="C8" s="128" t="s">
        <v>1034</v>
      </c>
      <c r="D8" s="128" t="s">
        <v>1035</v>
      </c>
      <c r="E8" s="129">
        <v>939690930</v>
      </c>
      <c r="F8" s="129" t="s">
        <v>1029</v>
      </c>
      <c r="G8" s="129">
        <v>40782128</v>
      </c>
      <c r="H8" s="130" t="str">
        <f t="shared" si="0"/>
        <v>DW8 57 FIM-D LAVAVAJILLAS</v>
      </c>
      <c r="I8" s="131" t="s">
        <v>1028</v>
      </c>
      <c r="J8" s="129" t="s">
        <v>1145</v>
      </c>
      <c r="K8" s="132">
        <v>45571</v>
      </c>
      <c r="L8" s="131" t="s">
        <v>1142</v>
      </c>
      <c r="M8" s="131" t="s">
        <v>987</v>
      </c>
      <c r="N8" s="131" t="s">
        <v>987</v>
      </c>
      <c r="O8" s="129" t="s">
        <v>1146</v>
      </c>
      <c r="P8" s="131" t="s">
        <v>23</v>
      </c>
      <c r="Q8" s="139">
        <v>45826</v>
      </c>
      <c r="R8" s="133" t="s">
        <v>1147</v>
      </c>
      <c r="S8" s="134">
        <v>103534202</v>
      </c>
      <c r="T8" s="135" t="s">
        <v>1313</v>
      </c>
    </row>
    <row r="9" spans="1:20" s="127" customFormat="1" ht="22">
      <c r="A9" s="127">
        <f t="shared" ref="A9:A74" si="1">1+A8</f>
        <v>3</v>
      </c>
      <c r="B9" s="136">
        <v>45827</v>
      </c>
      <c r="C9" s="137" t="s">
        <v>1036</v>
      </c>
      <c r="D9" s="128" t="s">
        <v>1037</v>
      </c>
      <c r="E9" s="123">
        <v>998891887</v>
      </c>
      <c r="F9" s="129" t="s">
        <v>1038</v>
      </c>
      <c r="G9" s="137">
        <v>40782510</v>
      </c>
      <c r="H9" s="130" t="str">
        <f t="shared" si="0"/>
        <v>LP8 850 M LAVAVAJILLAS</v>
      </c>
      <c r="I9" s="131" t="s">
        <v>1028</v>
      </c>
      <c r="J9" s="129" t="s">
        <v>1148</v>
      </c>
      <c r="K9" s="136">
        <v>44812</v>
      </c>
      <c r="L9" s="131" t="s">
        <v>1142</v>
      </c>
      <c r="M9" s="131" t="s">
        <v>987</v>
      </c>
      <c r="N9" s="131" t="s">
        <v>987</v>
      </c>
      <c r="O9" s="138" t="s">
        <v>1149</v>
      </c>
      <c r="P9" s="131" t="s">
        <v>23</v>
      </c>
      <c r="Q9" s="139">
        <v>45826</v>
      </c>
      <c r="R9" s="140" t="s">
        <v>1150</v>
      </c>
      <c r="S9" s="141" t="s">
        <v>1151</v>
      </c>
      <c r="T9" s="142" t="s">
        <v>1308</v>
      </c>
    </row>
    <row r="10" spans="1:20" s="127" customFormat="1" ht="22">
      <c r="A10" s="127">
        <f t="shared" si="1"/>
        <v>4</v>
      </c>
      <c r="B10" s="136">
        <v>45827</v>
      </c>
      <c r="C10" s="137" t="s">
        <v>1039</v>
      </c>
      <c r="D10" s="128" t="s">
        <v>1040</v>
      </c>
      <c r="E10" s="123">
        <v>995961394</v>
      </c>
      <c r="F10" s="129" t="s">
        <v>1038</v>
      </c>
      <c r="G10" s="137">
        <v>112500047</v>
      </c>
      <c r="H10" s="130" t="str">
        <f t="shared" si="0"/>
        <v>IZF 99700 MST COCINA INDUCCION</v>
      </c>
      <c r="I10" s="131" t="s">
        <v>1028</v>
      </c>
      <c r="J10" s="129" t="s">
        <v>1152</v>
      </c>
      <c r="K10" s="136">
        <v>45635</v>
      </c>
      <c r="L10" s="131" t="s">
        <v>1142</v>
      </c>
      <c r="M10" s="131" t="s">
        <v>987</v>
      </c>
      <c r="N10" s="131" t="s">
        <v>987</v>
      </c>
      <c r="O10" s="138" t="s">
        <v>1153</v>
      </c>
      <c r="P10" s="131" t="s">
        <v>23</v>
      </c>
      <c r="Q10" s="139">
        <v>45826</v>
      </c>
      <c r="R10" s="140" t="s">
        <v>1154</v>
      </c>
      <c r="S10" s="141" t="s">
        <v>1155</v>
      </c>
      <c r="T10" s="142" t="s">
        <v>1156</v>
      </c>
    </row>
    <row r="11" spans="1:20" s="127" customFormat="1" ht="22">
      <c r="A11" s="127">
        <f t="shared" si="1"/>
        <v>5</v>
      </c>
      <c r="B11" s="122">
        <v>45827</v>
      </c>
      <c r="C11" s="122" t="s">
        <v>1041</v>
      </c>
      <c r="D11" s="122" t="s">
        <v>1042</v>
      </c>
      <c r="E11" s="143">
        <v>980157531</v>
      </c>
      <c r="F11" s="129" t="s">
        <v>1029</v>
      </c>
      <c r="G11" s="143">
        <v>40466110</v>
      </c>
      <c r="H11" s="130" t="str">
        <f t="shared" si="0"/>
        <v>C 910 BLANCA CAMPANA (110V-60HZ) C/KIT</v>
      </c>
      <c r="I11" s="131" t="s">
        <v>1028</v>
      </c>
      <c r="J11" s="122" t="s">
        <v>1157</v>
      </c>
      <c r="K11" s="122">
        <v>45823</v>
      </c>
      <c r="L11" s="131" t="s">
        <v>1142</v>
      </c>
      <c r="M11" s="131" t="s">
        <v>987</v>
      </c>
      <c r="N11" s="131" t="s">
        <v>987</v>
      </c>
      <c r="O11" s="122" t="s">
        <v>1158</v>
      </c>
      <c r="P11" s="131" t="s">
        <v>23</v>
      </c>
      <c r="Q11" s="122">
        <v>45827</v>
      </c>
      <c r="R11" s="145" t="s">
        <v>1159</v>
      </c>
      <c r="S11" s="146" t="s">
        <v>1160</v>
      </c>
      <c r="T11" s="135" t="s">
        <v>1314</v>
      </c>
    </row>
    <row r="12" spans="1:20" s="127" customFormat="1" ht="22">
      <c r="A12" s="127">
        <f t="shared" si="1"/>
        <v>6</v>
      </c>
      <c r="B12" s="122">
        <v>45827</v>
      </c>
      <c r="C12" s="122" t="s">
        <v>1043</v>
      </c>
      <c r="D12" s="122" t="s">
        <v>1044</v>
      </c>
      <c r="E12" s="143">
        <v>984341604</v>
      </c>
      <c r="F12" s="129" t="s">
        <v>1029</v>
      </c>
      <c r="G12" s="143">
        <v>40297051</v>
      </c>
      <c r="H12" s="130" t="str">
        <f t="shared" si="0"/>
        <v>COCINA A GAS FS3RS966GGX</v>
      </c>
      <c r="I12" s="131" t="s">
        <v>1028</v>
      </c>
      <c r="J12" s="122" t="s">
        <v>1152</v>
      </c>
      <c r="K12" s="122">
        <v>45824</v>
      </c>
      <c r="L12" s="131" t="s">
        <v>1142</v>
      </c>
      <c r="M12" s="131" t="s">
        <v>987</v>
      </c>
      <c r="N12" s="131" t="s">
        <v>987</v>
      </c>
      <c r="O12" s="144" t="s">
        <v>1161</v>
      </c>
      <c r="P12" s="131" t="s">
        <v>23</v>
      </c>
      <c r="Q12" s="122">
        <v>45827</v>
      </c>
      <c r="R12" s="145" t="s">
        <v>1162</v>
      </c>
      <c r="S12" s="146" t="s">
        <v>1163</v>
      </c>
      <c r="T12" s="135" t="s">
        <v>1314</v>
      </c>
    </row>
    <row r="13" spans="1:20" s="127" customFormat="1" ht="22">
      <c r="A13" s="127">
        <f t="shared" si="1"/>
        <v>7</v>
      </c>
      <c r="B13" s="147">
        <v>45828</v>
      </c>
      <c r="C13" s="148" t="s">
        <v>1045</v>
      </c>
      <c r="D13" s="148" t="s">
        <v>1046</v>
      </c>
      <c r="E13" s="149">
        <v>993696069</v>
      </c>
      <c r="F13" s="129" t="s">
        <v>1029</v>
      </c>
      <c r="G13" s="150">
        <v>111570002</v>
      </c>
      <c r="H13" s="130" t="str">
        <f t="shared" si="0"/>
        <v>COCINA GOURMET BBQ 3100 G BK-SS</v>
      </c>
      <c r="I13" s="131" t="s">
        <v>1028</v>
      </c>
      <c r="J13" s="148" t="s">
        <v>1145</v>
      </c>
      <c r="K13" s="147">
        <v>45828</v>
      </c>
      <c r="L13" s="131" t="s">
        <v>1142</v>
      </c>
      <c r="M13" s="131" t="s">
        <v>987</v>
      </c>
      <c r="N13" s="131" t="s">
        <v>987</v>
      </c>
      <c r="O13" s="150" t="s">
        <v>1164</v>
      </c>
      <c r="P13" s="131" t="s">
        <v>23</v>
      </c>
      <c r="Q13" s="147">
        <v>45824</v>
      </c>
      <c r="R13" s="151" t="s">
        <v>1165</v>
      </c>
      <c r="S13" s="149">
        <v>101144533</v>
      </c>
      <c r="T13" s="135" t="s">
        <v>1314</v>
      </c>
    </row>
    <row r="14" spans="1:20" s="127" customFormat="1" ht="22">
      <c r="A14" s="127">
        <f t="shared" si="1"/>
        <v>8</v>
      </c>
      <c r="B14" s="122">
        <v>45828</v>
      </c>
      <c r="C14" s="122" t="s">
        <v>1047</v>
      </c>
      <c r="D14" s="122" t="s">
        <v>1048</v>
      </c>
      <c r="E14" s="143">
        <v>998133816</v>
      </c>
      <c r="F14" s="129" t="s">
        <v>1029</v>
      </c>
      <c r="G14" s="143">
        <v>111000051</v>
      </c>
      <c r="H14" s="130" t="str">
        <f t="shared" si="0"/>
        <v>HLB 8416 "AIR FRY" - HORNO ELEC</v>
      </c>
      <c r="I14" s="131" t="s">
        <v>1028</v>
      </c>
      <c r="J14" s="122" t="s">
        <v>1166</v>
      </c>
      <c r="K14" s="122">
        <v>45824</v>
      </c>
      <c r="L14" s="131" t="s">
        <v>1142</v>
      </c>
      <c r="M14" s="131" t="s">
        <v>987</v>
      </c>
      <c r="N14" s="131" t="s">
        <v>987</v>
      </c>
      <c r="O14" s="122" t="s">
        <v>1167</v>
      </c>
      <c r="P14" s="131" t="s">
        <v>23</v>
      </c>
      <c r="Q14" s="122">
        <v>45828</v>
      </c>
      <c r="R14" s="145" t="s">
        <v>1168</v>
      </c>
      <c r="S14" s="146" t="s">
        <v>1169</v>
      </c>
      <c r="T14" s="135" t="s">
        <v>1314</v>
      </c>
    </row>
    <row r="15" spans="1:20" s="127" customFormat="1" ht="22">
      <c r="A15" s="127">
        <f t="shared" si="1"/>
        <v>9</v>
      </c>
      <c r="B15" s="122">
        <v>45828</v>
      </c>
      <c r="C15" s="122" t="s">
        <v>1049</v>
      </c>
      <c r="D15" s="122" t="s">
        <v>1050</v>
      </c>
      <c r="E15" s="143">
        <v>980719356</v>
      </c>
      <c r="F15" s="129" t="s">
        <v>1029</v>
      </c>
      <c r="G15" s="143">
        <v>115890043</v>
      </c>
      <c r="H15" s="130" t="str">
        <f t="shared" si="0"/>
        <v>TRITURADOR TRS 520</v>
      </c>
      <c r="I15" s="131" t="s">
        <v>1028</v>
      </c>
      <c r="J15" s="122" t="s">
        <v>1145</v>
      </c>
      <c r="K15" s="122">
        <v>45826</v>
      </c>
      <c r="L15" s="131" t="s">
        <v>1142</v>
      </c>
      <c r="M15" s="131" t="s">
        <v>987</v>
      </c>
      <c r="N15" s="131" t="s">
        <v>987</v>
      </c>
      <c r="O15" s="122" t="s">
        <v>1170</v>
      </c>
      <c r="P15" s="131" t="s">
        <v>23</v>
      </c>
      <c r="Q15" s="122">
        <v>45828</v>
      </c>
      <c r="R15" s="145" t="s">
        <v>1171</v>
      </c>
      <c r="S15" s="146" t="s">
        <v>1172</v>
      </c>
      <c r="T15" s="135" t="s">
        <v>1314</v>
      </c>
    </row>
    <row r="16" spans="1:20" s="127" customFormat="1" ht="22">
      <c r="A16" s="127">
        <f t="shared" si="1"/>
        <v>10</v>
      </c>
      <c r="B16" s="122">
        <v>45828</v>
      </c>
      <c r="C16" s="122" t="s">
        <v>1051</v>
      </c>
      <c r="D16" s="122" t="s">
        <v>1052</v>
      </c>
      <c r="E16" s="143">
        <v>995422469</v>
      </c>
      <c r="F16" s="129" t="s">
        <v>1029</v>
      </c>
      <c r="G16" s="143">
        <v>111010040</v>
      </c>
      <c r="H16" s="130" t="str">
        <f t="shared" si="0"/>
        <v>HSB 610 NEGRO HORNO ELEC</v>
      </c>
      <c r="I16" s="131" t="s">
        <v>1028</v>
      </c>
      <c r="J16" s="122" t="s">
        <v>1173</v>
      </c>
      <c r="K16" s="122">
        <v>45815</v>
      </c>
      <c r="L16" s="131" t="s">
        <v>1142</v>
      </c>
      <c r="M16" s="131" t="s">
        <v>987</v>
      </c>
      <c r="N16" s="131" t="s">
        <v>987</v>
      </c>
      <c r="O16" s="122" t="s">
        <v>1174</v>
      </c>
      <c r="P16" s="131" t="s">
        <v>23</v>
      </c>
      <c r="Q16" s="122">
        <v>45828</v>
      </c>
      <c r="R16" s="145" t="s">
        <v>1175</v>
      </c>
      <c r="S16" s="146" t="s">
        <v>1176</v>
      </c>
      <c r="T16" s="135" t="s">
        <v>1314</v>
      </c>
    </row>
    <row r="17" spans="1:20" s="127" customFormat="1" ht="22">
      <c r="A17" s="127">
        <f t="shared" si="1"/>
        <v>11</v>
      </c>
      <c r="B17" s="147">
        <v>45828</v>
      </c>
      <c r="C17" s="148" t="s">
        <v>1053</v>
      </c>
      <c r="D17" s="148" t="s">
        <v>1054</v>
      </c>
      <c r="E17" s="149">
        <v>996081837</v>
      </c>
      <c r="F17" s="129" t="s">
        <v>1029</v>
      </c>
      <c r="G17" s="150">
        <v>111570003</v>
      </c>
      <c r="H17" s="130" t="str">
        <f t="shared" si="0"/>
        <v>COCINA GOURMET BBQ 4100 G SS</v>
      </c>
      <c r="I17" s="131" t="s">
        <v>1028</v>
      </c>
      <c r="J17" s="148" t="s">
        <v>1145</v>
      </c>
      <c r="K17" s="147">
        <v>45827</v>
      </c>
      <c r="L17" s="131" t="s">
        <v>1142</v>
      </c>
      <c r="M17" s="131" t="s">
        <v>987</v>
      </c>
      <c r="N17" s="131" t="s">
        <v>987</v>
      </c>
      <c r="O17" s="150" t="s">
        <v>1177</v>
      </c>
      <c r="P17" s="131" t="s">
        <v>23</v>
      </c>
      <c r="Q17" s="147">
        <v>45828</v>
      </c>
      <c r="R17" s="151" t="s">
        <v>1178</v>
      </c>
      <c r="S17" s="152" t="s">
        <v>1179</v>
      </c>
      <c r="T17" s="135" t="s">
        <v>1314</v>
      </c>
    </row>
    <row r="18" spans="1:20" s="127" customFormat="1" ht="22">
      <c r="A18" s="127">
        <f t="shared" si="1"/>
        <v>12</v>
      </c>
      <c r="B18" s="122">
        <v>45829</v>
      </c>
      <c r="C18" s="122" t="s">
        <v>1057</v>
      </c>
      <c r="D18" s="122" t="s">
        <v>1058</v>
      </c>
      <c r="E18" s="143">
        <v>968139215</v>
      </c>
      <c r="F18" s="129" t="s">
        <v>1029</v>
      </c>
      <c r="G18" s="143">
        <v>40466241</v>
      </c>
      <c r="H18" s="130" t="str">
        <f t="shared" ref="H18:H83" si="2">VLOOKUP(G18,PROD,2,FALSE)</f>
        <v>C 9310 INOX CAMPANA (110V-60HZ) C/KIT</v>
      </c>
      <c r="I18" s="131" t="s">
        <v>1028</v>
      </c>
      <c r="J18" s="122" t="s">
        <v>1173</v>
      </c>
      <c r="K18" s="122">
        <v>45827</v>
      </c>
      <c r="L18" s="131" t="s">
        <v>1142</v>
      </c>
      <c r="M18" s="131" t="s">
        <v>987</v>
      </c>
      <c r="N18" s="131" t="s">
        <v>987</v>
      </c>
      <c r="O18" s="122" t="s">
        <v>1183</v>
      </c>
      <c r="P18" s="131" t="s">
        <v>23</v>
      </c>
      <c r="Q18" s="122">
        <v>45829</v>
      </c>
      <c r="R18" s="145" t="s">
        <v>1184</v>
      </c>
      <c r="S18" s="146" t="s">
        <v>1185</v>
      </c>
      <c r="T18" s="135" t="s">
        <v>1314</v>
      </c>
    </row>
    <row r="19" spans="1:20" s="127" customFormat="1" ht="22">
      <c r="A19" s="127">
        <f t="shared" si="1"/>
        <v>13</v>
      </c>
      <c r="B19" s="117">
        <v>45831</v>
      </c>
      <c r="C19" s="128" t="s">
        <v>1059</v>
      </c>
      <c r="D19" s="128" t="s">
        <v>1035</v>
      </c>
      <c r="E19" s="129">
        <v>968809136</v>
      </c>
      <c r="F19" s="129" t="s">
        <v>1029</v>
      </c>
      <c r="G19" s="129">
        <v>113100004</v>
      </c>
      <c r="H19" s="130" t="str">
        <f t="shared" si="2"/>
        <v>CAMPANA DHT 97670 ROS WH</v>
      </c>
      <c r="I19" s="131" t="s">
        <v>1028</v>
      </c>
      <c r="J19" s="129" t="s">
        <v>1186</v>
      </c>
      <c r="K19" s="132">
        <v>45803</v>
      </c>
      <c r="L19" s="131" t="s">
        <v>1142</v>
      </c>
      <c r="M19" s="131" t="s">
        <v>987</v>
      </c>
      <c r="N19" s="131" t="s">
        <v>987</v>
      </c>
      <c r="O19" s="129" t="s">
        <v>1187</v>
      </c>
      <c r="P19" s="131" t="s">
        <v>23</v>
      </c>
      <c r="Q19" s="139">
        <v>45829</v>
      </c>
      <c r="R19" s="133" t="s">
        <v>1188</v>
      </c>
      <c r="S19" s="153" t="s">
        <v>1189</v>
      </c>
      <c r="T19" s="135" t="s">
        <v>1315</v>
      </c>
    </row>
    <row r="20" spans="1:20" s="127" customFormat="1" ht="22">
      <c r="A20" s="127">
        <f t="shared" si="1"/>
        <v>14</v>
      </c>
      <c r="B20" s="122">
        <v>45831</v>
      </c>
      <c r="C20" s="122" t="s">
        <v>1060</v>
      </c>
      <c r="D20" s="122" t="s">
        <v>1061</v>
      </c>
      <c r="E20" s="143">
        <v>959466093</v>
      </c>
      <c r="F20" s="129" t="s">
        <v>1029</v>
      </c>
      <c r="G20" s="143">
        <v>40782127</v>
      </c>
      <c r="H20" s="130" t="str">
        <f t="shared" si="2"/>
        <v>DW8 57 FIM PANELABLE LAVAVAJILLAS</v>
      </c>
      <c r="I20" s="131" t="s">
        <v>1028</v>
      </c>
      <c r="J20" s="122" t="s">
        <v>1190</v>
      </c>
      <c r="K20" s="122">
        <v>45784</v>
      </c>
      <c r="L20" s="131" t="s">
        <v>1142</v>
      </c>
      <c r="M20" s="131" t="s">
        <v>987</v>
      </c>
      <c r="N20" s="131" t="s">
        <v>987</v>
      </c>
      <c r="O20" s="122" t="s">
        <v>1191</v>
      </c>
      <c r="P20" s="131" t="s">
        <v>23</v>
      </c>
      <c r="Q20" s="122">
        <v>45831</v>
      </c>
      <c r="R20" s="145" t="s">
        <v>1192</v>
      </c>
      <c r="S20" s="146" t="s">
        <v>1193</v>
      </c>
      <c r="T20" s="135" t="s">
        <v>1314</v>
      </c>
    </row>
    <row r="21" spans="1:20" s="127" customFormat="1" ht="22">
      <c r="A21" s="127">
        <f t="shared" si="1"/>
        <v>15</v>
      </c>
      <c r="B21" s="117">
        <v>45833</v>
      </c>
      <c r="C21" s="128" t="s">
        <v>1062</v>
      </c>
      <c r="D21" s="128" t="s">
        <v>1063</v>
      </c>
      <c r="E21" s="129">
        <v>979792264</v>
      </c>
      <c r="F21" s="129" t="s">
        <v>1029</v>
      </c>
      <c r="G21" s="129">
        <v>112580058</v>
      </c>
      <c r="H21" s="130" t="str">
        <f t="shared" si="2"/>
        <v>GBC 95030 KBB BK COCINA GAS</v>
      </c>
      <c r="I21" s="131" t="s">
        <v>1028</v>
      </c>
      <c r="J21" s="129" t="s">
        <v>1166</v>
      </c>
      <c r="K21" s="132">
        <v>45680</v>
      </c>
      <c r="L21" s="131" t="s">
        <v>1142</v>
      </c>
      <c r="M21" s="131" t="s">
        <v>987</v>
      </c>
      <c r="N21" s="131" t="s">
        <v>987</v>
      </c>
      <c r="O21" s="129" t="s">
        <v>1194</v>
      </c>
      <c r="P21" s="131" t="s">
        <v>23</v>
      </c>
      <c r="Q21" s="139">
        <v>45830</v>
      </c>
      <c r="R21" s="133" t="s">
        <v>1195</v>
      </c>
      <c r="S21" s="153" t="s">
        <v>1196</v>
      </c>
      <c r="T21" s="131" t="s">
        <v>1312</v>
      </c>
    </row>
    <row r="22" spans="1:20" s="127" customFormat="1" ht="22">
      <c r="A22" s="127">
        <f t="shared" si="1"/>
        <v>16</v>
      </c>
      <c r="B22" s="117">
        <v>45833</v>
      </c>
      <c r="C22" s="128" t="s">
        <v>1064</v>
      </c>
      <c r="D22" s="128" t="s">
        <v>1065</v>
      </c>
      <c r="E22" s="129">
        <v>999522008</v>
      </c>
      <c r="F22" s="129" t="s">
        <v>1029</v>
      </c>
      <c r="G22" s="129">
        <v>112570073</v>
      </c>
      <c r="H22" s="130" t="str">
        <f t="shared" si="2"/>
        <v>GZC 96310 XBB CRISTAL COCINA GAS</v>
      </c>
      <c r="I22" s="131" t="s">
        <v>1028</v>
      </c>
      <c r="J22" s="129" t="s">
        <v>1197</v>
      </c>
      <c r="K22" s="132">
        <v>45800</v>
      </c>
      <c r="L22" s="131" t="s">
        <v>1142</v>
      </c>
      <c r="M22" s="131" t="s">
        <v>987</v>
      </c>
      <c r="N22" s="131" t="s">
        <v>987</v>
      </c>
      <c r="O22" s="129" t="s">
        <v>1198</v>
      </c>
      <c r="P22" s="131" t="s">
        <v>23</v>
      </c>
      <c r="Q22" s="139">
        <v>45830</v>
      </c>
      <c r="R22" s="133" t="s">
        <v>1199</v>
      </c>
      <c r="S22" s="153" t="s">
        <v>1200</v>
      </c>
      <c r="T22" s="135" t="s">
        <v>1313</v>
      </c>
    </row>
    <row r="23" spans="1:20" s="127" customFormat="1" ht="22">
      <c r="A23" s="127">
        <f t="shared" si="1"/>
        <v>17</v>
      </c>
      <c r="B23" s="117">
        <v>45833</v>
      </c>
      <c r="C23" s="128" t="s">
        <v>1066</v>
      </c>
      <c r="D23" s="128" t="s">
        <v>1067</v>
      </c>
      <c r="E23" s="129">
        <v>986059241</v>
      </c>
      <c r="F23" s="129" t="s">
        <v>1029</v>
      </c>
      <c r="G23" s="129">
        <v>40466111</v>
      </c>
      <c r="H23" s="130" t="str">
        <f t="shared" si="2"/>
        <v>C 910 NEGRA CAMPANA (110V-60HZ) C/KIT</v>
      </c>
      <c r="I23" s="131" t="s">
        <v>1028</v>
      </c>
      <c r="J23" s="129" t="s">
        <v>1201</v>
      </c>
      <c r="K23" s="132">
        <v>45717</v>
      </c>
      <c r="L23" s="131" t="s">
        <v>1142</v>
      </c>
      <c r="M23" s="131" t="s">
        <v>987</v>
      </c>
      <c r="N23" s="131" t="s">
        <v>987</v>
      </c>
      <c r="O23" s="129" t="s">
        <v>1202</v>
      </c>
      <c r="P23" s="131" t="s">
        <v>23</v>
      </c>
      <c r="Q23" s="139">
        <v>45830</v>
      </c>
      <c r="R23" s="133" t="s">
        <v>1203</v>
      </c>
      <c r="S23" s="153" t="s">
        <v>1204</v>
      </c>
      <c r="T23" s="131" t="s">
        <v>1312</v>
      </c>
    </row>
    <row r="24" spans="1:20" s="127" customFormat="1" ht="22">
      <c r="A24" s="127">
        <f t="shared" si="1"/>
        <v>18</v>
      </c>
      <c r="B24" s="117">
        <v>45834</v>
      </c>
      <c r="C24" s="128" t="s">
        <v>1068</v>
      </c>
      <c r="D24" s="128" t="s">
        <v>1069</v>
      </c>
      <c r="E24" s="129">
        <v>993096099</v>
      </c>
      <c r="F24" s="129" t="s">
        <v>1029</v>
      </c>
      <c r="G24" s="129">
        <v>112950021</v>
      </c>
      <c r="H24" s="130" t="str">
        <f t="shared" si="2"/>
        <v>DVN 94030 TCL BK CAMPANA (110V-60HZ) C/KIT</v>
      </c>
      <c r="I24" s="131" t="s">
        <v>1028</v>
      </c>
      <c r="J24" s="129" t="s">
        <v>1201</v>
      </c>
      <c r="K24" s="132">
        <v>45695</v>
      </c>
      <c r="L24" s="131" t="s">
        <v>1142</v>
      </c>
      <c r="M24" s="131" t="s">
        <v>987</v>
      </c>
      <c r="N24" s="131" t="s">
        <v>987</v>
      </c>
      <c r="O24" s="129" t="s">
        <v>1205</v>
      </c>
      <c r="P24" s="131" t="s">
        <v>23</v>
      </c>
      <c r="Q24" s="139">
        <v>45830</v>
      </c>
      <c r="R24" s="133" t="s">
        <v>1206</v>
      </c>
      <c r="S24" s="134">
        <v>102082492</v>
      </c>
      <c r="T24" s="131" t="s">
        <v>1312</v>
      </c>
    </row>
    <row r="25" spans="1:20" s="127" customFormat="1" ht="22">
      <c r="A25" s="127">
        <f t="shared" si="1"/>
        <v>19</v>
      </c>
      <c r="B25" s="117">
        <v>45834</v>
      </c>
      <c r="C25" s="128" t="s">
        <v>1070</v>
      </c>
      <c r="D25" s="128" t="s">
        <v>1071</v>
      </c>
      <c r="E25" s="129">
        <v>963122710</v>
      </c>
      <c r="F25" s="129" t="s">
        <v>1029</v>
      </c>
      <c r="G25" s="129">
        <v>112950020</v>
      </c>
      <c r="H25" s="130" t="str">
        <f t="shared" si="2"/>
        <v>DVN 74030 TCL BK CAMPANA (110V-60HZ) C/KIT</v>
      </c>
      <c r="I25" s="131" t="s">
        <v>1028</v>
      </c>
      <c r="J25" s="129" t="s">
        <v>1201</v>
      </c>
      <c r="K25" s="132">
        <v>45826</v>
      </c>
      <c r="L25" s="131" t="s">
        <v>1142</v>
      </c>
      <c r="M25" s="131" t="s">
        <v>987</v>
      </c>
      <c r="N25" s="131" t="s">
        <v>987</v>
      </c>
      <c r="O25" s="129" t="s">
        <v>1207</v>
      </c>
      <c r="P25" s="131" t="s">
        <v>23</v>
      </c>
      <c r="Q25" s="139">
        <v>45830</v>
      </c>
      <c r="R25" s="133" t="s">
        <v>1208</v>
      </c>
      <c r="S25" s="134">
        <v>152476768</v>
      </c>
      <c r="T25" s="131" t="s">
        <v>1312</v>
      </c>
    </row>
    <row r="26" spans="1:20" s="127" customFormat="1" ht="22">
      <c r="A26" s="127">
        <f t="shared" si="1"/>
        <v>20</v>
      </c>
      <c r="B26" s="117">
        <v>45834</v>
      </c>
      <c r="C26" s="128" t="s">
        <v>1072</v>
      </c>
      <c r="D26" s="128" t="s">
        <v>1073</v>
      </c>
      <c r="E26" s="129">
        <v>984718139</v>
      </c>
      <c r="F26" s="129" t="s">
        <v>1029</v>
      </c>
      <c r="G26" s="129">
        <v>40584012</v>
      </c>
      <c r="H26" s="130" t="str">
        <f t="shared" si="2"/>
        <v>MS 620 BIS - MICROONDAS</v>
      </c>
      <c r="I26" s="131" t="s">
        <v>1028</v>
      </c>
      <c r="J26" s="129" t="s">
        <v>1197</v>
      </c>
      <c r="K26" s="132">
        <v>45806</v>
      </c>
      <c r="L26" s="131" t="s">
        <v>1142</v>
      </c>
      <c r="M26" s="131" t="s">
        <v>987</v>
      </c>
      <c r="N26" s="131" t="s">
        <v>987</v>
      </c>
      <c r="O26" s="129" t="s">
        <v>1209</v>
      </c>
      <c r="P26" s="131" t="s">
        <v>23</v>
      </c>
      <c r="Q26" s="139">
        <v>45830</v>
      </c>
      <c r="R26" s="133" t="s">
        <v>1210</v>
      </c>
      <c r="S26" s="134">
        <v>105161426</v>
      </c>
      <c r="T26" s="135" t="s">
        <v>1313</v>
      </c>
    </row>
    <row r="27" spans="1:20" s="127" customFormat="1" ht="22">
      <c r="A27" s="127">
        <f t="shared" si="1"/>
        <v>21</v>
      </c>
      <c r="B27" s="136">
        <v>45834</v>
      </c>
      <c r="C27" s="137" t="s">
        <v>1076</v>
      </c>
      <c r="D27" s="128" t="s">
        <v>1077</v>
      </c>
      <c r="E27" s="123">
        <v>990709123</v>
      </c>
      <c r="F27" s="129" t="s">
        <v>1038</v>
      </c>
      <c r="G27" s="137">
        <v>113430018</v>
      </c>
      <c r="H27" s="130" t="str">
        <f t="shared" si="2"/>
        <v>RLF 74920 SS SBS REFRIGERADORA</v>
      </c>
      <c r="I27" s="131" t="s">
        <v>1028</v>
      </c>
      <c r="J27" s="129" t="s">
        <v>1152</v>
      </c>
      <c r="K27" s="136">
        <v>45140</v>
      </c>
      <c r="L27" s="131" t="s">
        <v>1142</v>
      </c>
      <c r="M27" s="131" t="s">
        <v>987</v>
      </c>
      <c r="N27" s="131" t="s">
        <v>987</v>
      </c>
      <c r="O27" s="138" t="s">
        <v>1215</v>
      </c>
      <c r="P27" s="131" t="s">
        <v>23</v>
      </c>
      <c r="Q27" s="139">
        <v>45833</v>
      </c>
      <c r="R27" s="140" t="s">
        <v>1216</v>
      </c>
      <c r="S27" s="141" t="s">
        <v>1217</v>
      </c>
      <c r="T27" s="142" t="s">
        <v>1309</v>
      </c>
    </row>
    <row r="28" spans="1:20" s="127" customFormat="1" ht="22">
      <c r="A28" s="127">
        <f t="shared" si="1"/>
        <v>22</v>
      </c>
      <c r="B28" s="122">
        <v>45835</v>
      </c>
      <c r="C28" s="122" t="s">
        <v>1055</v>
      </c>
      <c r="D28" s="122" t="s">
        <v>1056</v>
      </c>
      <c r="E28" s="143">
        <v>993192807</v>
      </c>
      <c r="F28" s="129" t="s">
        <v>1029</v>
      </c>
      <c r="G28" s="143">
        <v>112570126</v>
      </c>
      <c r="H28" s="130" t="str">
        <f t="shared" ref="H28" si="3">VLOOKUP(G28,PROD,2,FALSE)</f>
        <v>JZC 96324 ABB BK (LAT) COCINA MIXTA GAS - INDUCCION (40213042)</v>
      </c>
      <c r="I28" s="131" t="s">
        <v>1028</v>
      </c>
      <c r="J28" s="122" t="s">
        <v>1173</v>
      </c>
      <c r="K28" s="122">
        <v>45819</v>
      </c>
      <c r="L28" s="131" t="s">
        <v>1142</v>
      </c>
      <c r="M28" s="131" t="s">
        <v>987</v>
      </c>
      <c r="N28" s="131" t="s">
        <v>987</v>
      </c>
      <c r="O28" s="122" t="s">
        <v>1180</v>
      </c>
      <c r="P28" s="131" t="s">
        <v>23</v>
      </c>
      <c r="Q28" s="122">
        <v>45829</v>
      </c>
      <c r="R28" s="145" t="s">
        <v>1181</v>
      </c>
      <c r="S28" s="146" t="s">
        <v>1182</v>
      </c>
      <c r="T28" s="135" t="s">
        <v>1314</v>
      </c>
    </row>
    <row r="29" spans="1:20" s="127" customFormat="1" ht="22">
      <c r="A29" s="127">
        <f t="shared" si="1"/>
        <v>23</v>
      </c>
      <c r="B29" s="117">
        <v>45835</v>
      </c>
      <c r="C29" s="128" t="s">
        <v>1078</v>
      </c>
      <c r="D29" s="128" t="s">
        <v>1079</v>
      </c>
      <c r="E29" s="129">
        <v>958648526</v>
      </c>
      <c r="F29" s="129" t="s">
        <v>1029</v>
      </c>
      <c r="G29" s="129">
        <v>40446702</v>
      </c>
      <c r="H29" s="130" t="str">
        <f t="shared" si="2"/>
        <v>GFH 55 INOX CAMPANA (110V-60HZ) C/KIT</v>
      </c>
      <c r="I29" s="131" t="s">
        <v>1028</v>
      </c>
      <c r="J29" s="129" t="s">
        <v>1152</v>
      </c>
      <c r="K29" s="132">
        <v>45822</v>
      </c>
      <c r="L29" s="131" t="s">
        <v>1142</v>
      </c>
      <c r="M29" s="131" t="s">
        <v>987</v>
      </c>
      <c r="N29" s="131" t="s">
        <v>987</v>
      </c>
      <c r="O29" s="129" t="s">
        <v>1218</v>
      </c>
      <c r="P29" s="131" t="s">
        <v>23</v>
      </c>
      <c r="Q29" s="139">
        <v>45834</v>
      </c>
      <c r="R29" s="133" t="s">
        <v>1219</v>
      </c>
      <c r="S29" s="134">
        <v>958648526</v>
      </c>
      <c r="T29" s="131" t="s">
        <v>1312</v>
      </c>
    </row>
    <row r="30" spans="1:20" s="127" customFormat="1" ht="22">
      <c r="A30" s="127">
        <f t="shared" si="1"/>
        <v>24</v>
      </c>
      <c r="B30" s="117">
        <v>45835</v>
      </c>
      <c r="C30" s="128" t="s">
        <v>1080</v>
      </c>
      <c r="D30" s="128" t="s">
        <v>1048</v>
      </c>
      <c r="E30" s="129">
        <v>990296106</v>
      </c>
      <c r="F30" s="129" t="s">
        <v>1029</v>
      </c>
      <c r="G30" s="129">
        <v>111010028</v>
      </c>
      <c r="H30" s="130" t="str">
        <f t="shared" si="2"/>
        <v>HSB 646 "AIRFRY" - HORNO ELEC</v>
      </c>
      <c r="I30" s="131" t="s">
        <v>1028</v>
      </c>
      <c r="J30" s="129" t="s">
        <v>1152</v>
      </c>
      <c r="K30" s="132">
        <v>45814</v>
      </c>
      <c r="L30" s="131" t="s">
        <v>1142</v>
      </c>
      <c r="M30" s="131" t="s">
        <v>987</v>
      </c>
      <c r="N30" s="131" t="s">
        <v>987</v>
      </c>
      <c r="O30" s="129" t="s">
        <v>1220</v>
      </c>
      <c r="P30" s="131" t="s">
        <v>23</v>
      </c>
      <c r="Q30" s="139">
        <v>45835</v>
      </c>
      <c r="R30" s="133" t="s">
        <v>1221</v>
      </c>
      <c r="S30" s="134">
        <v>101029866</v>
      </c>
      <c r="T30" s="131" t="s">
        <v>1312</v>
      </c>
    </row>
    <row r="31" spans="1:20" s="127" customFormat="1" ht="22">
      <c r="A31" s="127">
        <f t="shared" si="1"/>
        <v>25</v>
      </c>
      <c r="B31" s="122">
        <v>45835</v>
      </c>
      <c r="C31" s="122" t="s">
        <v>1081</v>
      </c>
      <c r="D31" s="122" t="s">
        <v>1082</v>
      </c>
      <c r="E31" s="143">
        <v>995465919</v>
      </c>
      <c r="F31" s="129" t="s">
        <v>1029</v>
      </c>
      <c r="G31" s="143">
        <v>40446712</v>
      </c>
      <c r="H31" s="130" t="str">
        <f t="shared" si="2"/>
        <v>GFH 73 INOX CAMPANA (110V-60HZ) C/KIT</v>
      </c>
      <c r="I31" s="131" t="s">
        <v>1028</v>
      </c>
      <c r="J31" s="122" t="s">
        <v>1222</v>
      </c>
      <c r="K31" s="122">
        <v>45834</v>
      </c>
      <c r="L31" s="131" t="s">
        <v>1142</v>
      </c>
      <c r="M31" s="131" t="s">
        <v>987</v>
      </c>
      <c r="N31" s="131" t="s">
        <v>987</v>
      </c>
      <c r="O31" s="122" t="s">
        <v>1223</v>
      </c>
      <c r="P31" s="131" t="s">
        <v>23</v>
      </c>
      <c r="Q31" s="122">
        <v>45835</v>
      </c>
      <c r="R31" s="145" t="s">
        <v>1224</v>
      </c>
      <c r="S31" s="146" t="s">
        <v>1225</v>
      </c>
      <c r="T31" s="135" t="s">
        <v>1314</v>
      </c>
    </row>
    <row r="32" spans="1:20" s="127" customFormat="1" ht="22">
      <c r="A32" s="127">
        <f t="shared" si="1"/>
        <v>26</v>
      </c>
      <c r="B32" s="117">
        <v>45836</v>
      </c>
      <c r="C32" s="128" t="s">
        <v>1083</v>
      </c>
      <c r="D32" s="128" t="s">
        <v>1084</v>
      </c>
      <c r="E32" s="129">
        <v>991728165</v>
      </c>
      <c r="F32" s="129" t="s">
        <v>1029</v>
      </c>
      <c r="G32" s="129">
        <v>112580058</v>
      </c>
      <c r="H32" s="130" t="str">
        <f t="shared" si="2"/>
        <v>GBC 95030 KBB BK COCINA GAS</v>
      </c>
      <c r="I32" s="131" t="s">
        <v>1028</v>
      </c>
      <c r="J32" s="129" t="s">
        <v>1152</v>
      </c>
      <c r="K32" s="132">
        <v>45655</v>
      </c>
      <c r="L32" s="131" t="s">
        <v>1142</v>
      </c>
      <c r="M32" s="131" t="s">
        <v>987</v>
      </c>
      <c r="N32" s="131" t="s">
        <v>987</v>
      </c>
      <c r="O32" s="129" t="s">
        <v>1226</v>
      </c>
      <c r="P32" s="131" t="s">
        <v>23</v>
      </c>
      <c r="Q32" s="122">
        <v>45835</v>
      </c>
      <c r="R32" s="133" t="s">
        <v>1227</v>
      </c>
      <c r="S32" s="134">
        <v>102115193</v>
      </c>
      <c r="T32" s="135" t="s">
        <v>1313</v>
      </c>
    </row>
    <row r="33" spans="1:20" s="127" customFormat="1" ht="22">
      <c r="A33" s="127">
        <f t="shared" si="1"/>
        <v>27</v>
      </c>
      <c r="B33" s="117">
        <v>45836</v>
      </c>
      <c r="C33" s="128" t="s">
        <v>1085</v>
      </c>
      <c r="D33" s="128" t="s">
        <v>1086</v>
      </c>
      <c r="E33" s="129">
        <v>998060239</v>
      </c>
      <c r="F33" s="129" t="s">
        <v>1029</v>
      </c>
      <c r="G33" s="129">
        <v>112570068</v>
      </c>
      <c r="H33" s="130" t="str">
        <f t="shared" si="2"/>
        <v>GZC 95320 XBB CRISTAL COCINA GAS</v>
      </c>
      <c r="I33" s="131" t="s">
        <v>1028</v>
      </c>
      <c r="J33" s="129" t="s">
        <v>1197</v>
      </c>
      <c r="K33" s="132">
        <v>45684</v>
      </c>
      <c r="L33" s="131" t="s">
        <v>1142</v>
      </c>
      <c r="M33" s="131" t="s">
        <v>987</v>
      </c>
      <c r="N33" s="131" t="s">
        <v>987</v>
      </c>
      <c r="O33" s="129" t="s">
        <v>1228</v>
      </c>
      <c r="P33" s="131" t="s">
        <v>23</v>
      </c>
      <c r="Q33" s="122">
        <v>45835</v>
      </c>
      <c r="R33" s="133" t="s">
        <v>1229</v>
      </c>
      <c r="S33" s="134">
        <v>103547493</v>
      </c>
      <c r="T33" s="131" t="s">
        <v>1312</v>
      </c>
    </row>
    <row r="34" spans="1:20" s="127" customFormat="1" ht="22">
      <c r="A34" s="127">
        <f t="shared" si="1"/>
        <v>28</v>
      </c>
      <c r="B34" s="136">
        <v>45836</v>
      </c>
      <c r="C34" s="137" t="s">
        <v>1087</v>
      </c>
      <c r="D34" s="128" t="s">
        <v>1035</v>
      </c>
      <c r="E34" s="123">
        <v>994340209</v>
      </c>
      <c r="F34" s="129" t="s">
        <v>1038</v>
      </c>
      <c r="G34" s="137">
        <v>112730000</v>
      </c>
      <c r="H34" s="130" t="str">
        <f t="shared" si="2"/>
        <v>AFF 87601 HOOD IN HOB</v>
      </c>
      <c r="I34" s="131" t="s">
        <v>1028</v>
      </c>
      <c r="J34" s="129" t="s">
        <v>1230</v>
      </c>
      <c r="K34" s="136">
        <v>45346</v>
      </c>
      <c r="L34" s="131" t="s">
        <v>1142</v>
      </c>
      <c r="M34" s="131" t="s">
        <v>987</v>
      </c>
      <c r="N34" s="131" t="s">
        <v>987</v>
      </c>
      <c r="O34" s="138" t="s">
        <v>1231</v>
      </c>
      <c r="P34" s="131" t="s">
        <v>23</v>
      </c>
      <c r="Q34" s="139">
        <v>45834</v>
      </c>
      <c r="R34" s="140" t="s">
        <v>1232</v>
      </c>
      <c r="S34" s="141" t="s">
        <v>1233</v>
      </c>
      <c r="T34" s="142" t="s">
        <v>1234</v>
      </c>
    </row>
    <row r="35" spans="1:20" s="127" customFormat="1" ht="22">
      <c r="A35" s="127">
        <f t="shared" si="1"/>
        <v>29</v>
      </c>
      <c r="B35" s="136">
        <v>45836</v>
      </c>
      <c r="C35" s="137" t="s">
        <v>1088</v>
      </c>
      <c r="D35" s="128" t="s">
        <v>1035</v>
      </c>
      <c r="E35" s="123">
        <v>996110451</v>
      </c>
      <c r="F35" s="129" t="s">
        <v>1038</v>
      </c>
      <c r="G35" s="137">
        <v>112570128</v>
      </c>
      <c r="H35" s="130" t="str">
        <f t="shared" si="2"/>
        <v>JZC 96342 BBB BK (LAT) COCINA MIXTA GAS - INDUCCION</v>
      </c>
      <c r="I35" s="131" t="s">
        <v>1028</v>
      </c>
      <c r="J35" s="129" t="s">
        <v>1157</v>
      </c>
      <c r="K35" s="136">
        <v>45730</v>
      </c>
      <c r="L35" s="131" t="s">
        <v>1142</v>
      </c>
      <c r="M35" s="131" t="s">
        <v>987</v>
      </c>
      <c r="N35" s="131" t="s">
        <v>987</v>
      </c>
      <c r="O35" s="138" t="s">
        <v>1235</v>
      </c>
      <c r="P35" s="131" t="s">
        <v>23</v>
      </c>
      <c r="Q35" s="139">
        <v>45834</v>
      </c>
      <c r="R35" s="140" t="s">
        <v>1236</v>
      </c>
      <c r="S35" s="141" t="s">
        <v>1237</v>
      </c>
      <c r="T35" s="142" t="s">
        <v>1238</v>
      </c>
    </row>
    <row r="36" spans="1:20" s="127" customFormat="1" ht="22">
      <c r="A36" s="127">
        <f t="shared" si="1"/>
        <v>30</v>
      </c>
      <c r="B36" s="122">
        <v>45836</v>
      </c>
      <c r="C36" s="122" t="s">
        <v>1089</v>
      </c>
      <c r="D36" s="122" t="s">
        <v>1090</v>
      </c>
      <c r="E36" s="143">
        <v>999516651</v>
      </c>
      <c r="F36" s="129" t="s">
        <v>1029</v>
      </c>
      <c r="G36" s="143">
        <v>112500049</v>
      </c>
      <c r="H36" s="130" t="str">
        <f t="shared" si="2"/>
        <v>IZS 86630 MST COCINA INDUCCION</v>
      </c>
      <c r="I36" s="131" t="s">
        <v>1028</v>
      </c>
      <c r="J36" s="122" t="s">
        <v>1186</v>
      </c>
      <c r="K36" s="122">
        <v>45834</v>
      </c>
      <c r="L36" s="131" t="s">
        <v>1142</v>
      </c>
      <c r="M36" s="131" t="s">
        <v>987</v>
      </c>
      <c r="N36" s="131" t="s">
        <v>987</v>
      </c>
      <c r="O36" s="122" t="s">
        <v>1239</v>
      </c>
      <c r="P36" s="131" t="s">
        <v>23</v>
      </c>
      <c r="Q36" s="122">
        <v>45836</v>
      </c>
      <c r="R36" s="145" t="s">
        <v>1240</v>
      </c>
      <c r="S36" s="146" t="s">
        <v>1241</v>
      </c>
      <c r="T36" s="135" t="s">
        <v>1314</v>
      </c>
    </row>
    <row r="37" spans="1:20" s="127" customFormat="1" ht="22">
      <c r="A37" s="127">
        <f t="shared" si="1"/>
        <v>31</v>
      </c>
      <c r="B37" s="117">
        <v>45838</v>
      </c>
      <c r="C37" s="128" t="s">
        <v>1091</v>
      </c>
      <c r="D37" s="128" t="s">
        <v>1092</v>
      </c>
      <c r="E37" s="129">
        <v>987377443</v>
      </c>
      <c r="F37" s="129" t="s">
        <v>1029</v>
      </c>
      <c r="G37" s="129">
        <v>40584202</v>
      </c>
      <c r="H37" s="130" t="str">
        <f t="shared" si="2"/>
        <v>ML 820 BIS - MICROONDAS</v>
      </c>
      <c r="I37" s="131" t="s">
        <v>1028</v>
      </c>
      <c r="J37" s="129" t="s">
        <v>1141</v>
      </c>
      <c r="K37" s="132">
        <v>45835</v>
      </c>
      <c r="L37" s="131" t="s">
        <v>1142</v>
      </c>
      <c r="M37" s="131" t="s">
        <v>987</v>
      </c>
      <c r="N37" s="131" t="s">
        <v>987</v>
      </c>
      <c r="O37" s="129">
        <v>40584202</v>
      </c>
      <c r="P37" s="131" t="s">
        <v>23</v>
      </c>
      <c r="Q37" s="122">
        <v>45836</v>
      </c>
      <c r="R37" s="133" t="s">
        <v>1242</v>
      </c>
      <c r="S37" s="134">
        <v>150061190</v>
      </c>
      <c r="T37" s="131" t="s">
        <v>1312</v>
      </c>
    </row>
    <row r="38" spans="1:20" s="127" customFormat="1" ht="25" customHeight="1">
      <c r="A38" s="127">
        <f t="shared" si="1"/>
        <v>32</v>
      </c>
      <c r="B38" s="136">
        <v>45838</v>
      </c>
      <c r="C38" s="137" t="s">
        <v>1093</v>
      </c>
      <c r="D38" s="128" t="s">
        <v>1094</v>
      </c>
      <c r="E38" s="123">
        <v>983754901</v>
      </c>
      <c r="F38" s="129" t="s">
        <v>1038</v>
      </c>
      <c r="G38" s="137">
        <v>40590835</v>
      </c>
      <c r="H38" s="130" t="str">
        <f t="shared" si="2"/>
        <v>MWG 14X - MICROONDAS</v>
      </c>
      <c r="I38" s="131" t="s">
        <v>1028</v>
      </c>
      <c r="J38" s="129" t="s">
        <v>1157</v>
      </c>
      <c r="K38" s="136">
        <v>45829</v>
      </c>
      <c r="L38" s="131" t="s">
        <v>1142</v>
      </c>
      <c r="M38" s="131" t="s">
        <v>987</v>
      </c>
      <c r="N38" s="131" t="s">
        <v>987</v>
      </c>
      <c r="O38" s="155" t="s">
        <v>1243</v>
      </c>
      <c r="P38" s="131" t="s">
        <v>23</v>
      </c>
      <c r="Q38" s="139">
        <v>45837</v>
      </c>
      <c r="R38" s="140" t="s">
        <v>1244</v>
      </c>
      <c r="S38" s="141" t="s">
        <v>1245</v>
      </c>
      <c r="T38" s="142" t="s">
        <v>1246</v>
      </c>
    </row>
    <row r="39" spans="1:20" s="127" customFormat="1" ht="22">
      <c r="A39" s="127">
        <f t="shared" si="1"/>
        <v>33</v>
      </c>
      <c r="B39" s="117">
        <v>45839</v>
      </c>
      <c r="C39" s="128" t="s">
        <v>1095</v>
      </c>
      <c r="D39" s="128" t="s">
        <v>1096</v>
      </c>
      <c r="E39" s="129">
        <v>984163122</v>
      </c>
      <c r="F39" s="129" t="s">
        <v>1029</v>
      </c>
      <c r="G39" s="129">
        <v>112580027</v>
      </c>
      <c r="H39" s="130" t="str">
        <f t="shared" si="2"/>
        <v>GBC 75030 KBB CRISTAL COCINA GAS</v>
      </c>
      <c r="I39" s="131" t="s">
        <v>1028</v>
      </c>
      <c r="J39" s="129" t="s">
        <v>1166</v>
      </c>
      <c r="K39" s="132">
        <v>45756</v>
      </c>
      <c r="L39" s="131" t="s">
        <v>1142</v>
      </c>
      <c r="M39" s="131" t="s">
        <v>987</v>
      </c>
      <c r="N39" s="131" t="s">
        <v>987</v>
      </c>
      <c r="O39" s="129" t="s">
        <v>1247</v>
      </c>
      <c r="P39" s="131" t="s">
        <v>23</v>
      </c>
      <c r="Q39" s="139">
        <v>45835</v>
      </c>
      <c r="R39" s="133" t="s">
        <v>1248</v>
      </c>
      <c r="S39" s="134">
        <v>101391235</v>
      </c>
      <c r="T39" s="131" t="s">
        <v>1312</v>
      </c>
    </row>
    <row r="40" spans="1:20" s="127" customFormat="1" ht="22">
      <c r="A40" s="127">
        <f t="shared" si="1"/>
        <v>34</v>
      </c>
      <c r="B40" s="117">
        <v>45839</v>
      </c>
      <c r="C40" s="128" t="s">
        <v>1097</v>
      </c>
      <c r="D40" s="128" t="s">
        <v>1098</v>
      </c>
      <c r="E40" s="129">
        <v>998553820</v>
      </c>
      <c r="F40" s="129" t="s">
        <v>1029</v>
      </c>
      <c r="G40" s="129">
        <v>112570093</v>
      </c>
      <c r="H40" s="130" t="str">
        <f t="shared" si="2"/>
        <v>GZC 75330 XBB CRISTAL COCINA GAS</v>
      </c>
      <c r="I40" s="131" t="s">
        <v>1028</v>
      </c>
      <c r="J40" s="129" t="s">
        <v>1190</v>
      </c>
      <c r="K40" s="132">
        <v>45494</v>
      </c>
      <c r="L40" s="131" t="s">
        <v>1142</v>
      </c>
      <c r="M40" s="131" t="s">
        <v>987</v>
      </c>
      <c r="N40" s="131" t="s">
        <v>987</v>
      </c>
      <c r="O40" s="129" t="s">
        <v>1249</v>
      </c>
      <c r="P40" s="131" t="s">
        <v>23</v>
      </c>
      <c r="Q40" s="139">
        <v>45835</v>
      </c>
      <c r="R40" s="133" t="s">
        <v>1250</v>
      </c>
      <c r="S40" s="134">
        <v>101857084</v>
      </c>
      <c r="T40" s="131" t="s">
        <v>1312</v>
      </c>
    </row>
    <row r="41" spans="1:20" s="127" customFormat="1" ht="22">
      <c r="A41" s="127">
        <f t="shared" si="1"/>
        <v>35</v>
      </c>
      <c r="B41" s="117">
        <v>45839</v>
      </c>
      <c r="C41" s="128" t="s">
        <v>1099</v>
      </c>
      <c r="D41" s="128" t="s">
        <v>1100</v>
      </c>
      <c r="E41" s="129">
        <v>984616563</v>
      </c>
      <c r="F41" s="129" t="s">
        <v>1029</v>
      </c>
      <c r="G41" s="129">
        <v>111000051</v>
      </c>
      <c r="H41" s="130" t="str">
        <f t="shared" si="2"/>
        <v>HLB 8416 "AIR FRY" - HORNO ELEC</v>
      </c>
      <c r="I41" s="131" t="s">
        <v>1028</v>
      </c>
      <c r="J41" s="129" t="s">
        <v>1173</v>
      </c>
      <c r="K41" s="132">
        <v>45775</v>
      </c>
      <c r="L41" s="131" t="s">
        <v>1142</v>
      </c>
      <c r="M41" s="131" t="s">
        <v>987</v>
      </c>
      <c r="N41" s="131" t="s">
        <v>987</v>
      </c>
      <c r="O41" s="129" t="s">
        <v>1251</v>
      </c>
      <c r="P41" s="131" t="s">
        <v>23</v>
      </c>
      <c r="Q41" s="139">
        <v>45835</v>
      </c>
      <c r="R41" s="133" t="s">
        <v>1252</v>
      </c>
      <c r="S41" s="134">
        <v>601742025</v>
      </c>
      <c r="T41" s="131" t="s">
        <v>1312</v>
      </c>
    </row>
    <row r="42" spans="1:20" s="127" customFormat="1" ht="22">
      <c r="A42" s="127">
        <f t="shared" si="1"/>
        <v>36</v>
      </c>
      <c r="B42" s="122">
        <v>45839</v>
      </c>
      <c r="C42" s="122" t="s">
        <v>1101</v>
      </c>
      <c r="D42" s="122" t="s">
        <v>1058</v>
      </c>
      <c r="E42" s="143">
        <v>995509326</v>
      </c>
      <c r="F42" s="129" t="s">
        <v>1029</v>
      </c>
      <c r="G42" s="129">
        <v>111000051</v>
      </c>
      <c r="H42" s="130" t="str">
        <f t="shared" si="2"/>
        <v>HLB 8416 "AIR FRY" - HORNO ELEC</v>
      </c>
      <c r="I42" s="131" t="s">
        <v>1028</v>
      </c>
      <c r="J42" s="122" t="s">
        <v>1173</v>
      </c>
      <c r="K42" s="122">
        <v>45829</v>
      </c>
      <c r="L42" s="131" t="s">
        <v>1142</v>
      </c>
      <c r="M42" s="131" t="s">
        <v>987</v>
      </c>
      <c r="N42" s="131" t="s">
        <v>987</v>
      </c>
      <c r="O42" s="122" t="s">
        <v>1253</v>
      </c>
      <c r="P42" s="131" t="s">
        <v>23</v>
      </c>
      <c r="Q42" s="122">
        <v>45839</v>
      </c>
      <c r="R42" s="145" t="s">
        <v>1254</v>
      </c>
      <c r="S42" s="146" t="s">
        <v>1255</v>
      </c>
      <c r="T42" s="135" t="s">
        <v>1314</v>
      </c>
    </row>
    <row r="43" spans="1:20" s="127" customFormat="1" ht="22">
      <c r="A43" s="127">
        <f t="shared" si="1"/>
        <v>37</v>
      </c>
      <c r="B43" s="122">
        <v>45839</v>
      </c>
      <c r="C43" s="122" t="s">
        <v>1102</v>
      </c>
      <c r="D43" s="122" t="s">
        <v>1103</v>
      </c>
      <c r="E43" s="143">
        <v>992819130</v>
      </c>
      <c r="F43" s="129" t="s">
        <v>1029</v>
      </c>
      <c r="G43" s="143">
        <v>40584202</v>
      </c>
      <c r="H43" s="130" t="str">
        <f t="shared" si="2"/>
        <v>ML 820 BIS - MICROONDAS</v>
      </c>
      <c r="I43" s="131" t="s">
        <v>1028</v>
      </c>
      <c r="J43" s="122" t="s">
        <v>1173</v>
      </c>
      <c r="K43" s="122">
        <v>45832</v>
      </c>
      <c r="L43" s="131" t="s">
        <v>1142</v>
      </c>
      <c r="M43" s="131" t="s">
        <v>987</v>
      </c>
      <c r="N43" s="131" t="s">
        <v>987</v>
      </c>
      <c r="O43" s="122" t="s">
        <v>1256</v>
      </c>
      <c r="P43" s="131" t="s">
        <v>23</v>
      </c>
      <c r="Q43" s="122">
        <v>45839</v>
      </c>
      <c r="R43" s="145" t="s">
        <v>1257</v>
      </c>
      <c r="S43" s="146" t="s">
        <v>1258</v>
      </c>
      <c r="T43" s="135" t="s">
        <v>1314</v>
      </c>
    </row>
    <row r="44" spans="1:20" s="127" customFormat="1" ht="22">
      <c r="A44" s="127">
        <f t="shared" si="1"/>
        <v>38</v>
      </c>
      <c r="B44" s="122">
        <v>45839</v>
      </c>
      <c r="C44" s="122" t="s">
        <v>1104</v>
      </c>
      <c r="D44" s="122" t="s">
        <v>1105</v>
      </c>
      <c r="E44" s="143">
        <v>984487440</v>
      </c>
      <c r="F44" s="129" t="s">
        <v>1029</v>
      </c>
      <c r="G44" s="143">
        <v>40446712</v>
      </c>
      <c r="H44" s="130" t="str">
        <f t="shared" si="2"/>
        <v>GFH 73 INOX CAMPANA (110V-60HZ) C/KIT</v>
      </c>
      <c r="I44" s="131" t="s">
        <v>1028</v>
      </c>
      <c r="J44" s="122" t="s">
        <v>1166</v>
      </c>
      <c r="K44" s="122">
        <v>45775</v>
      </c>
      <c r="L44" s="131" t="s">
        <v>1142</v>
      </c>
      <c r="M44" s="131" t="s">
        <v>987</v>
      </c>
      <c r="N44" s="131" t="s">
        <v>987</v>
      </c>
      <c r="O44" s="122" t="s">
        <v>1259</v>
      </c>
      <c r="P44" s="131" t="s">
        <v>23</v>
      </c>
      <c r="Q44" s="122">
        <v>45839</v>
      </c>
      <c r="R44" s="145" t="s">
        <v>1260</v>
      </c>
      <c r="S44" s="146" t="s">
        <v>1261</v>
      </c>
      <c r="T44" s="135" t="s">
        <v>1314</v>
      </c>
    </row>
    <row r="45" spans="1:20" s="127" customFormat="1" ht="22">
      <c r="A45" s="127">
        <f t="shared" si="1"/>
        <v>39</v>
      </c>
      <c r="B45" s="117">
        <v>45840</v>
      </c>
      <c r="C45" s="128" t="s">
        <v>1106</v>
      </c>
      <c r="D45" s="128" t="s">
        <v>1107</v>
      </c>
      <c r="E45" s="129">
        <v>994844364</v>
      </c>
      <c r="F45" s="129" t="s">
        <v>1029</v>
      </c>
      <c r="G45" s="129">
        <v>112500047</v>
      </c>
      <c r="H45" s="130" t="str">
        <f t="shared" si="2"/>
        <v>IZF 99700 MST COCINA INDUCCION</v>
      </c>
      <c r="I45" s="131" t="s">
        <v>1028</v>
      </c>
      <c r="J45" s="129" t="s">
        <v>1190</v>
      </c>
      <c r="K45" s="132">
        <v>45796</v>
      </c>
      <c r="L45" s="131" t="s">
        <v>1142</v>
      </c>
      <c r="M45" s="131" t="s">
        <v>987</v>
      </c>
      <c r="N45" s="131" t="s">
        <v>987</v>
      </c>
      <c r="O45" s="129" t="s">
        <v>1262</v>
      </c>
      <c r="P45" s="131" t="s">
        <v>23</v>
      </c>
      <c r="Q45" s="139">
        <v>45837</v>
      </c>
      <c r="R45" s="133" t="s">
        <v>1263</v>
      </c>
      <c r="S45" s="134">
        <v>1022597169</v>
      </c>
      <c r="T45" s="131" t="s">
        <v>1312</v>
      </c>
    </row>
    <row r="46" spans="1:20" s="127" customFormat="1" ht="22">
      <c r="A46" s="127">
        <f t="shared" si="1"/>
        <v>40</v>
      </c>
      <c r="B46" s="122">
        <v>45840</v>
      </c>
      <c r="C46" s="122" t="s">
        <v>1108</v>
      </c>
      <c r="D46" s="122" t="s">
        <v>1092</v>
      </c>
      <c r="E46" s="143">
        <v>998527264</v>
      </c>
      <c r="F46" s="129" t="s">
        <v>1029</v>
      </c>
      <c r="G46" s="143">
        <v>40467305</v>
      </c>
      <c r="H46" s="130" t="str">
        <f t="shared" si="2"/>
        <v>C 710 NEGRA CAMPANA (110V-60HZ) C/KIT</v>
      </c>
      <c r="I46" s="131" t="s">
        <v>1028</v>
      </c>
      <c r="J46" s="122" t="s">
        <v>1173</v>
      </c>
      <c r="K46" s="122">
        <v>45837</v>
      </c>
      <c r="L46" s="131" t="s">
        <v>1142</v>
      </c>
      <c r="M46" s="131" t="s">
        <v>987</v>
      </c>
      <c r="N46" s="131" t="s">
        <v>987</v>
      </c>
      <c r="O46" s="122" t="s">
        <v>1264</v>
      </c>
      <c r="P46" s="131" t="s">
        <v>23</v>
      </c>
      <c r="Q46" s="122">
        <v>45840</v>
      </c>
      <c r="R46" s="145" t="s">
        <v>1265</v>
      </c>
      <c r="S46" s="146" t="s">
        <v>1266</v>
      </c>
      <c r="T46" s="135" t="s">
        <v>1314</v>
      </c>
    </row>
    <row r="47" spans="1:20" s="127" customFormat="1" ht="22">
      <c r="A47" s="127">
        <f t="shared" si="1"/>
        <v>41</v>
      </c>
      <c r="B47" s="147">
        <v>45840</v>
      </c>
      <c r="C47" s="148" t="s">
        <v>1109</v>
      </c>
      <c r="D47" s="148" t="s">
        <v>1110</v>
      </c>
      <c r="E47" s="149">
        <v>964154449</v>
      </c>
      <c r="F47" s="129" t="s">
        <v>1029</v>
      </c>
      <c r="G47" s="150">
        <v>111570002</v>
      </c>
      <c r="H47" s="130" t="str">
        <f t="shared" si="2"/>
        <v>COCINA GOURMET BBQ 3100 G BK-SS</v>
      </c>
      <c r="I47" s="131" t="s">
        <v>1028</v>
      </c>
      <c r="J47" s="148" t="s">
        <v>1145</v>
      </c>
      <c r="K47" s="147">
        <v>45840</v>
      </c>
      <c r="L47" s="131" t="s">
        <v>1142</v>
      </c>
      <c r="M47" s="131" t="s">
        <v>987</v>
      </c>
      <c r="N47" s="131" t="s">
        <v>987</v>
      </c>
      <c r="O47" s="150" t="s">
        <v>1267</v>
      </c>
      <c r="P47" s="131" t="s">
        <v>23</v>
      </c>
      <c r="Q47" s="147">
        <v>45840</v>
      </c>
      <c r="R47" s="151" t="s">
        <v>1268</v>
      </c>
      <c r="S47" s="149">
        <v>104217799</v>
      </c>
      <c r="T47" s="135" t="s">
        <v>1314</v>
      </c>
    </row>
    <row r="48" spans="1:20" s="127" customFormat="1" ht="22">
      <c r="A48" s="127">
        <f t="shared" si="1"/>
        <v>42</v>
      </c>
      <c r="B48" s="117">
        <v>45841</v>
      </c>
      <c r="C48" s="128" t="s">
        <v>1111</v>
      </c>
      <c r="D48" s="128" t="s">
        <v>1112</v>
      </c>
      <c r="E48" s="129">
        <v>924470024</v>
      </c>
      <c r="F48" s="129" t="s">
        <v>1029</v>
      </c>
      <c r="G48" s="129">
        <v>112950020</v>
      </c>
      <c r="H48" s="130" t="str">
        <f t="shared" si="2"/>
        <v>DVN 74030 TCL BK CAMPANA (110V-60HZ) C/KIT</v>
      </c>
      <c r="I48" s="131" t="s">
        <v>1028</v>
      </c>
      <c r="J48" s="129" t="s">
        <v>1166</v>
      </c>
      <c r="K48" s="132">
        <v>45759</v>
      </c>
      <c r="L48" s="131" t="s">
        <v>1142</v>
      </c>
      <c r="M48" s="131" t="s">
        <v>987</v>
      </c>
      <c r="N48" s="131" t="s">
        <v>987</v>
      </c>
      <c r="O48" s="129" t="s">
        <v>1269</v>
      </c>
      <c r="P48" s="131" t="s">
        <v>23</v>
      </c>
      <c r="Q48" s="147">
        <v>45840</v>
      </c>
      <c r="R48" s="133" t="s">
        <v>1270</v>
      </c>
      <c r="S48" s="134">
        <v>924470024</v>
      </c>
      <c r="T48" s="135" t="s">
        <v>1313</v>
      </c>
    </row>
    <row r="49" spans="1:20" s="127" customFormat="1" ht="22">
      <c r="A49" s="127">
        <f t="shared" si="1"/>
        <v>43</v>
      </c>
      <c r="B49" s="117">
        <v>45841</v>
      </c>
      <c r="C49" s="128" t="s">
        <v>1113</v>
      </c>
      <c r="D49" s="128" t="s">
        <v>1114</v>
      </c>
      <c r="E49" s="129">
        <v>994453010</v>
      </c>
      <c r="F49" s="129" t="s">
        <v>1029</v>
      </c>
      <c r="G49" s="129">
        <v>112570126</v>
      </c>
      <c r="H49" s="130" t="str">
        <f t="shared" si="2"/>
        <v>JZC 96324 ABB BK (LAT) COCINA MIXTA GAS - INDUCCION (40213042)</v>
      </c>
      <c r="I49" s="131" t="s">
        <v>1028</v>
      </c>
      <c r="J49" s="129" t="s">
        <v>1152</v>
      </c>
      <c r="K49" s="132">
        <v>45404</v>
      </c>
      <c r="L49" s="131" t="s">
        <v>1142</v>
      </c>
      <c r="M49" s="131" t="s">
        <v>987</v>
      </c>
      <c r="N49" s="131" t="s">
        <v>987</v>
      </c>
      <c r="O49" s="129" t="s">
        <v>1271</v>
      </c>
      <c r="P49" s="131" t="s">
        <v>23</v>
      </c>
      <c r="Q49" s="147">
        <v>45840</v>
      </c>
      <c r="R49" s="133" t="s">
        <v>1272</v>
      </c>
      <c r="S49" s="134">
        <v>102896164</v>
      </c>
      <c r="T49" s="135" t="s">
        <v>1316</v>
      </c>
    </row>
    <row r="50" spans="1:20" s="127" customFormat="1" ht="22">
      <c r="A50" s="127">
        <f t="shared" si="1"/>
        <v>44</v>
      </c>
      <c r="B50" s="117">
        <v>45841</v>
      </c>
      <c r="C50" s="128" t="s">
        <v>1115</v>
      </c>
      <c r="D50" s="128" t="s">
        <v>1116</v>
      </c>
      <c r="E50" s="129">
        <v>984165280</v>
      </c>
      <c r="F50" s="129" t="s">
        <v>1029</v>
      </c>
      <c r="G50" s="129">
        <v>112580027</v>
      </c>
      <c r="H50" s="130" t="str">
        <f t="shared" si="2"/>
        <v>GBC 75030 KBB CRISTAL COCINA GAS</v>
      </c>
      <c r="I50" s="131" t="s">
        <v>1028</v>
      </c>
      <c r="J50" s="129" t="s">
        <v>1222</v>
      </c>
      <c r="K50" s="132">
        <v>45831</v>
      </c>
      <c r="L50" s="131" t="s">
        <v>1142</v>
      </c>
      <c r="M50" s="131" t="s">
        <v>987</v>
      </c>
      <c r="N50" s="131" t="s">
        <v>987</v>
      </c>
      <c r="O50" s="129" t="s">
        <v>1273</v>
      </c>
      <c r="P50" s="131" t="s">
        <v>23</v>
      </c>
      <c r="Q50" s="147">
        <v>45840</v>
      </c>
      <c r="R50" s="133" t="s">
        <v>1274</v>
      </c>
      <c r="S50" s="134">
        <v>10490325</v>
      </c>
      <c r="T50" s="135" t="s">
        <v>1313</v>
      </c>
    </row>
    <row r="51" spans="1:20" s="127" customFormat="1" ht="22">
      <c r="A51" s="127">
        <f t="shared" si="1"/>
        <v>45</v>
      </c>
      <c r="B51" s="117">
        <v>45842</v>
      </c>
      <c r="C51" s="128" t="s">
        <v>1117</v>
      </c>
      <c r="D51" s="128" t="s">
        <v>1058</v>
      </c>
      <c r="E51" s="129">
        <v>995135323</v>
      </c>
      <c r="F51" s="129" t="s">
        <v>1029</v>
      </c>
      <c r="G51" s="129">
        <v>112580017</v>
      </c>
      <c r="H51" s="130" t="str">
        <f t="shared" si="2"/>
        <v>GBC 64000 KBB CRISTAL COCINA GAS</v>
      </c>
      <c r="I51" s="131" t="s">
        <v>1028</v>
      </c>
      <c r="J51" s="129" t="s">
        <v>1166</v>
      </c>
      <c r="K51" s="132">
        <v>45831</v>
      </c>
      <c r="L51" s="131" t="s">
        <v>1142</v>
      </c>
      <c r="M51" s="131" t="s">
        <v>987</v>
      </c>
      <c r="N51" s="131" t="s">
        <v>987</v>
      </c>
      <c r="O51" s="129" t="s">
        <v>1275</v>
      </c>
      <c r="P51" s="131" t="s">
        <v>23</v>
      </c>
      <c r="Q51" s="147">
        <v>45840</v>
      </c>
      <c r="R51" s="133" t="s">
        <v>1276</v>
      </c>
      <c r="S51" s="134">
        <v>101789246</v>
      </c>
      <c r="T51" s="131" t="s">
        <v>1312</v>
      </c>
    </row>
    <row r="52" spans="1:20" s="127" customFormat="1" ht="22">
      <c r="A52" s="127">
        <f t="shared" si="1"/>
        <v>46</v>
      </c>
      <c r="B52" s="117">
        <v>45842</v>
      </c>
      <c r="C52" s="128" t="s">
        <v>1118</v>
      </c>
      <c r="D52" s="128" t="s">
        <v>1119</v>
      </c>
      <c r="E52" s="129">
        <v>985530098</v>
      </c>
      <c r="F52" s="129" t="s">
        <v>1029</v>
      </c>
      <c r="G52" s="129">
        <v>40466241</v>
      </c>
      <c r="H52" s="130" t="str">
        <f t="shared" si="2"/>
        <v>C 9310 INOX CAMPANA (110V-60HZ) C/KIT</v>
      </c>
      <c r="I52" s="131" t="s">
        <v>1028</v>
      </c>
      <c r="J52" s="129" t="s">
        <v>1173</v>
      </c>
      <c r="K52" s="132">
        <v>45840</v>
      </c>
      <c r="L52" s="131" t="s">
        <v>1142</v>
      </c>
      <c r="M52" s="131" t="s">
        <v>987</v>
      </c>
      <c r="N52" s="131" t="s">
        <v>987</v>
      </c>
      <c r="O52" s="129" t="s">
        <v>1277</v>
      </c>
      <c r="P52" s="131" t="s">
        <v>23</v>
      </c>
      <c r="Q52" s="147">
        <v>45840</v>
      </c>
      <c r="R52" s="133" t="s">
        <v>1278</v>
      </c>
      <c r="S52" s="134">
        <v>152054549</v>
      </c>
      <c r="T52" s="131" t="s">
        <v>1312</v>
      </c>
    </row>
    <row r="53" spans="1:20" s="127" customFormat="1" ht="22">
      <c r="A53" s="127">
        <f t="shared" si="1"/>
        <v>47</v>
      </c>
      <c r="B53" s="117">
        <v>45842</v>
      </c>
      <c r="C53" s="128" t="s">
        <v>1120</v>
      </c>
      <c r="D53" s="128" t="s">
        <v>1121</v>
      </c>
      <c r="E53" s="129">
        <v>98780919</v>
      </c>
      <c r="F53" s="129" t="s">
        <v>1029</v>
      </c>
      <c r="G53" s="129">
        <v>112950020</v>
      </c>
      <c r="H53" s="130" t="str">
        <f t="shared" si="2"/>
        <v>DVN 74030 TCL BK CAMPANA (110V-60HZ) C/KIT</v>
      </c>
      <c r="I53" s="131" t="s">
        <v>1028</v>
      </c>
      <c r="J53" s="129" t="s">
        <v>1152</v>
      </c>
      <c r="K53" s="132">
        <v>45539</v>
      </c>
      <c r="L53" s="131" t="s">
        <v>1142</v>
      </c>
      <c r="M53" s="131" t="s">
        <v>987</v>
      </c>
      <c r="N53" s="131" t="s">
        <v>987</v>
      </c>
      <c r="O53" s="129" t="s">
        <v>1279</v>
      </c>
      <c r="P53" s="131" t="s">
        <v>23</v>
      </c>
      <c r="Q53" s="147">
        <v>45840</v>
      </c>
      <c r="R53" s="133" t="s">
        <v>1280</v>
      </c>
      <c r="S53" s="134">
        <v>105775803</v>
      </c>
      <c r="T53" s="131" t="s">
        <v>1312</v>
      </c>
    </row>
    <row r="54" spans="1:20" s="127" customFormat="1" ht="22">
      <c r="A54" s="127">
        <f t="shared" si="1"/>
        <v>48</v>
      </c>
      <c r="B54" s="117">
        <v>45842</v>
      </c>
      <c r="C54" s="128" t="s">
        <v>1122</v>
      </c>
      <c r="D54" s="128" t="s">
        <v>1123</v>
      </c>
      <c r="E54" s="129">
        <v>987469784</v>
      </c>
      <c r="F54" s="129" t="s">
        <v>1029</v>
      </c>
      <c r="G54" s="129">
        <v>40446702</v>
      </c>
      <c r="H54" s="130" t="str">
        <f t="shared" si="2"/>
        <v>GFH 55 INOX CAMPANA (110V-60HZ) C/KIT</v>
      </c>
      <c r="I54" s="131" t="s">
        <v>1028</v>
      </c>
      <c r="J54" s="129" t="s">
        <v>1166</v>
      </c>
      <c r="K54" s="132">
        <v>45832</v>
      </c>
      <c r="L54" s="131" t="s">
        <v>1142</v>
      </c>
      <c r="M54" s="131" t="s">
        <v>987</v>
      </c>
      <c r="N54" s="131" t="s">
        <v>987</v>
      </c>
      <c r="O54" s="129" t="s">
        <v>1281</v>
      </c>
      <c r="P54" s="131" t="s">
        <v>23</v>
      </c>
      <c r="Q54" s="147">
        <v>45840</v>
      </c>
      <c r="R54" s="133" t="s">
        <v>1282</v>
      </c>
      <c r="S54" s="134">
        <v>104086616</v>
      </c>
      <c r="T54" s="131" t="s">
        <v>1312</v>
      </c>
    </row>
    <row r="55" spans="1:20" s="127" customFormat="1" ht="22">
      <c r="A55" s="127">
        <f t="shared" si="1"/>
        <v>49</v>
      </c>
      <c r="B55" s="117">
        <v>45842</v>
      </c>
      <c r="C55" s="128" t="s">
        <v>1124</v>
      </c>
      <c r="D55" s="128" t="s">
        <v>1125</v>
      </c>
      <c r="E55" s="129">
        <v>998480125</v>
      </c>
      <c r="F55" s="129" t="s">
        <v>1029</v>
      </c>
      <c r="G55" s="129">
        <v>112610071</v>
      </c>
      <c r="H55" s="130" t="str">
        <f t="shared" si="2"/>
        <v>GSC 64320 XBA IX (LAT) COCINA INOX</v>
      </c>
      <c r="I55" s="131" t="s">
        <v>1028</v>
      </c>
      <c r="J55" s="129" t="s">
        <v>1173</v>
      </c>
      <c r="K55" s="132">
        <v>45771</v>
      </c>
      <c r="L55" s="131" t="s">
        <v>1142</v>
      </c>
      <c r="M55" s="131" t="s">
        <v>987</v>
      </c>
      <c r="N55" s="131" t="s">
        <v>987</v>
      </c>
      <c r="O55" s="129" t="s">
        <v>1283</v>
      </c>
      <c r="P55" s="131" t="s">
        <v>23</v>
      </c>
      <c r="Q55" s="147">
        <v>45840</v>
      </c>
      <c r="R55" s="133" t="s">
        <v>1284</v>
      </c>
      <c r="S55" s="134">
        <v>102304621</v>
      </c>
      <c r="T55" s="131" t="s">
        <v>1312</v>
      </c>
    </row>
    <row r="56" spans="1:20" s="127" customFormat="1" ht="22">
      <c r="A56" s="127">
        <f t="shared" si="1"/>
        <v>50</v>
      </c>
      <c r="B56" s="122">
        <v>45845</v>
      </c>
      <c r="C56" s="122" t="s">
        <v>1128</v>
      </c>
      <c r="D56" s="122" t="s">
        <v>1129</v>
      </c>
      <c r="E56" s="143">
        <v>984107021</v>
      </c>
      <c r="F56" s="129" t="s">
        <v>1029</v>
      </c>
      <c r="G56" s="143">
        <v>40466241</v>
      </c>
      <c r="H56" s="130" t="str">
        <f t="shared" si="2"/>
        <v>C 9310 INOX CAMPANA (110V-60HZ) C/KIT</v>
      </c>
      <c r="I56" s="131" t="s">
        <v>1028</v>
      </c>
      <c r="J56" s="122" t="s">
        <v>1166</v>
      </c>
      <c r="K56" s="122">
        <v>45843</v>
      </c>
      <c r="L56" s="131" t="s">
        <v>1142</v>
      </c>
      <c r="M56" s="131" t="s">
        <v>987</v>
      </c>
      <c r="N56" s="131" t="s">
        <v>987</v>
      </c>
      <c r="O56" s="122" t="s">
        <v>1287</v>
      </c>
      <c r="P56" s="131" t="s">
        <v>23</v>
      </c>
      <c r="Q56" s="122">
        <v>45845</v>
      </c>
      <c r="R56" s="145" t="s">
        <v>1288</v>
      </c>
      <c r="S56" s="146" t="s">
        <v>1289</v>
      </c>
      <c r="T56" s="135" t="s">
        <v>1314</v>
      </c>
    </row>
    <row r="57" spans="1:20" s="127" customFormat="1" ht="22">
      <c r="A57" s="127">
        <f t="shared" si="1"/>
        <v>51</v>
      </c>
      <c r="B57" s="147">
        <v>45845</v>
      </c>
      <c r="C57" s="148" t="s">
        <v>1130</v>
      </c>
      <c r="D57" s="148" t="s">
        <v>1131</v>
      </c>
      <c r="E57" s="149">
        <v>963539762</v>
      </c>
      <c r="F57" s="129" t="s">
        <v>1029</v>
      </c>
      <c r="G57" s="150">
        <v>111570002</v>
      </c>
      <c r="H57" s="130" t="str">
        <f t="shared" si="2"/>
        <v>COCINA GOURMET BBQ 3100 G BK-SS</v>
      </c>
      <c r="I57" s="131" t="s">
        <v>1028</v>
      </c>
      <c r="J57" s="148" t="s">
        <v>1290</v>
      </c>
      <c r="K57" s="147">
        <v>45845</v>
      </c>
      <c r="L57" s="131" t="s">
        <v>1142</v>
      </c>
      <c r="M57" s="131" t="s">
        <v>987</v>
      </c>
      <c r="N57" s="131" t="s">
        <v>987</v>
      </c>
      <c r="O57" s="150" t="s">
        <v>1291</v>
      </c>
      <c r="P57" s="131" t="s">
        <v>23</v>
      </c>
      <c r="Q57" s="147">
        <v>45845</v>
      </c>
      <c r="R57" s="151" t="s">
        <v>1292</v>
      </c>
      <c r="S57" s="149">
        <v>105195536</v>
      </c>
      <c r="T57" s="135" t="s">
        <v>1314</v>
      </c>
    </row>
    <row r="58" spans="1:20" s="127" customFormat="1" ht="22">
      <c r="A58" s="127">
        <f t="shared" si="1"/>
        <v>52</v>
      </c>
      <c r="B58" s="154">
        <v>45845</v>
      </c>
      <c r="C58" s="148" t="s">
        <v>1130</v>
      </c>
      <c r="D58" s="148" t="s">
        <v>1131</v>
      </c>
      <c r="E58" s="149">
        <v>963539762</v>
      </c>
      <c r="F58" s="129" t="s">
        <v>1029</v>
      </c>
      <c r="G58" s="150">
        <v>111570002</v>
      </c>
      <c r="H58" s="130" t="str">
        <f t="shared" si="2"/>
        <v>COCINA GOURMET BBQ 3100 G BK-SS</v>
      </c>
      <c r="I58" s="131" t="s">
        <v>1028</v>
      </c>
      <c r="J58" s="148" t="s">
        <v>1290</v>
      </c>
      <c r="K58" s="147">
        <v>45845</v>
      </c>
      <c r="L58" s="131" t="s">
        <v>1142</v>
      </c>
      <c r="M58" s="131" t="s">
        <v>987</v>
      </c>
      <c r="N58" s="131" t="s">
        <v>987</v>
      </c>
      <c r="O58" s="150" t="s">
        <v>1293</v>
      </c>
      <c r="P58" s="131" t="s">
        <v>23</v>
      </c>
      <c r="Q58" s="154">
        <v>45845</v>
      </c>
      <c r="R58" s="151" t="s">
        <v>1292</v>
      </c>
      <c r="S58" s="149">
        <v>105195536</v>
      </c>
      <c r="T58" s="135" t="s">
        <v>1314</v>
      </c>
    </row>
    <row r="59" spans="1:20" s="127" customFormat="1" ht="22">
      <c r="A59" s="127">
        <f t="shared" si="1"/>
        <v>53</v>
      </c>
      <c r="B59" s="117">
        <v>45847</v>
      </c>
      <c r="C59" s="128" t="s">
        <v>1132</v>
      </c>
      <c r="D59" s="128" t="s">
        <v>1107</v>
      </c>
      <c r="E59" s="129">
        <v>984272334</v>
      </c>
      <c r="F59" s="129" t="s">
        <v>1029</v>
      </c>
      <c r="G59" s="129">
        <v>112500047</v>
      </c>
      <c r="H59" s="130" t="str">
        <f t="shared" si="2"/>
        <v>IZF 99700 MST COCINA INDUCCION</v>
      </c>
      <c r="I59" s="131" t="s">
        <v>1028</v>
      </c>
      <c r="J59" s="129" t="s">
        <v>1186</v>
      </c>
      <c r="K59" s="132">
        <v>45741</v>
      </c>
      <c r="L59" s="131" t="s">
        <v>1142</v>
      </c>
      <c r="M59" s="131" t="s">
        <v>987</v>
      </c>
      <c r="N59" s="131" t="s">
        <v>987</v>
      </c>
      <c r="O59" s="129" t="s">
        <v>1294</v>
      </c>
      <c r="P59" s="131" t="s">
        <v>23</v>
      </c>
      <c r="Q59" s="154">
        <v>45845</v>
      </c>
      <c r="R59" s="133" t="s">
        <v>1295</v>
      </c>
      <c r="S59" s="134">
        <v>104162245</v>
      </c>
      <c r="T59" s="131" t="s">
        <v>1312</v>
      </c>
    </row>
    <row r="60" spans="1:20" s="127" customFormat="1" ht="22">
      <c r="A60" s="127">
        <f t="shared" si="1"/>
        <v>54</v>
      </c>
      <c r="B60" s="117">
        <v>45847</v>
      </c>
      <c r="C60" s="128" t="s">
        <v>1133</v>
      </c>
      <c r="D60" s="128" t="s">
        <v>1134</v>
      </c>
      <c r="E60" s="129">
        <v>995728851</v>
      </c>
      <c r="F60" s="129" t="s">
        <v>1029</v>
      </c>
      <c r="G60" s="129">
        <v>111000051</v>
      </c>
      <c r="H60" s="130" t="str">
        <f t="shared" si="2"/>
        <v>HLB 8416 "AIR FRY" - HORNO ELEC</v>
      </c>
      <c r="I60" s="131" t="s">
        <v>1028</v>
      </c>
      <c r="J60" s="129" t="s">
        <v>1173</v>
      </c>
      <c r="K60" s="132">
        <v>45661</v>
      </c>
      <c r="L60" s="131" t="s">
        <v>1142</v>
      </c>
      <c r="M60" s="131" t="s">
        <v>987</v>
      </c>
      <c r="N60" s="131" t="s">
        <v>987</v>
      </c>
      <c r="O60" s="129" t="s">
        <v>1296</v>
      </c>
      <c r="P60" s="131" t="s">
        <v>23</v>
      </c>
      <c r="Q60" s="154">
        <v>45845</v>
      </c>
      <c r="R60" s="133" t="s">
        <v>1297</v>
      </c>
      <c r="S60" s="134">
        <v>101419281</v>
      </c>
      <c r="T60" s="135" t="s">
        <v>1316</v>
      </c>
    </row>
    <row r="61" spans="1:20" s="127" customFormat="1" ht="23" customHeight="1">
      <c r="A61" s="127">
        <f t="shared" si="1"/>
        <v>55</v>
      </c>
      <c r="B61" s="136">
        <v>45845</v>
      </c>
      <c r="C61" s="137" t="s">
        <v>1074</v>
      </c>
      <c r="D61" s="128" t="s">
        <v>1075</v>
      </c>
      <c r="E61" s="123">
        <v>996563519</v>
      </c>
      <c r="F61" s="129" t="s">
        <v>1038</v>
      </c>
      <c r="G61" s="137">
        <v>113430018</v>
      </c>
      <c r="H61" s="130" t="str">
        <f t="shared" ref="H61" si="4">VLOOKUP(G61,PROD,2,FALSE)</f>
        <v>RLF 74920 SS SBS REFRIGERADORA</v>
      </c>
      <c r="I61" s="131" t="s">
        <v>1028</v>
      </c>
      <c r="J61" s="129" t="s">
        <v>1173</v>
      </c>
      <c r="K61" s="136">
        <v>45990</v>
      </c>
      <c r="L61" s="131" t="s">
        <v>1142</v>
      </c>
      <c r="M61" s="131" t="s">
        <v>987</v>
      </c>
      <c r="N61" s="131" t="s">
        <v>987</v>
      </c>
      <c r="O61" s="155" t="s">
        <v>1211</v>
      </c>
      <c r="P61" s="131" t="s">
        <v>23</v>
      </c>
      <c r="Q61" s="139">
        <v>45833</v>
      </c>
      <c r="R61" s="140" t="s">
        <v>1212</v>
      </c>
      <c r="S61" s="141" t="s">
        <v>1213</v>
      </c>
      <c r="T61" s="142" t="s">
        <v>1214</v>
      </c>
    </row>
    <row r="62" spans="1:20" s="127" customFormat="1" ht="22">
      <c r="A62" s="127">
        <f t="shared" si="1"/>
        <v>56</v>
      </c>
      <c r="B62" s="122">
        <v>45845</v>
      </c>
      <c r="C62" s="122" t="s">
        <v>1126</v>
      </c>
      <c r="D62" s="122" t="s">
        <v>1127</v>
      </c>
      <c r="E62" s="143">
        <v>98277368</v>
      </c>
      <c r="F62" s="129" t="s">
        <v>1029</v>
      </c>
      <c r="G62" s="143">
        <v>40297052</v>
      </c>
      <c r="H62" s="130" t="str">
        <f t="shared" ref="H62" si="5">VLOOKUP(G62,PROD,2,FALSE)</f>
        <v>COCINA A GAS FS3RL966GGX</v>
      </c>
      <c r="I62" s="131" t="s">
        <v>1028</v>
      </c>
      <c r="J62" s="122" t="s">
        <v>1152</v>
      </c>
      <c r="K62" s="122">
        <v>45828</v>
      </c>
      <c r="L62" s="131" t="s">
        <v>1142</v>
      </c>
      <c r="M62" s="131" t="s">
        <v>987</v>
      </c>
      <c r="N62" s="131" t="s">
        <v>987</v>
      </c>
      <c r="O62" s="144">
        <v>325001730</v>
      </c>
      <c r="P62" s="131" t="s">
        <v>23</v>
      </c>
      <c r="Q62" s="122">
        <v>45845</v>
      </c>
      <c r="R62" s="145" t="s">
        <v>1285</v>
      </c>
      <c r="S62" s="146" t="s">
        <v>1286</v>
      </c>
      <c r="T62" s="135" t="s">
        <v>1314</v>
      </c>
    </row>
    <row r="63" spans="1:20" s="127" customFormat="1" ht="22">
      <c r="A63" s="127">
        <f t="shared" si="1"/>
        <v>57</v>
      </c>
      <c r="B63" s="117">
        <v>45848</v>
      </c>
      <c r="C63" s="128" t="s">
        <v>1135</v>
      </c>
      <c r="D63" s="128" t="s">
        <v>1069</v>
      </c>
      <c r="E63" s="129">
        <v>999666320</v>
      </c>
      <c r="F63" s="129" t="s">
        <v>1029</v>
      </c>
      <c r="G63" s="129">
        <v>111000078</v>
      </c>
      <c r="H63" s="130" t="str">
        <f t="shared" si="2"/>
        <v>HLB 8400 FBK HORNO ELEC</v>
      </c>
      <c r="I63" s="131" t="s">
        <v>1028</v>
      </c>
      <c r="J63" s="129" t="s">
        <v>1152</v>
      </c>
      <c r="K63" s="132">
        <v>45820</v>
      </c>
      <c r="L63" s="131" t="s">
        <v>1142</v>
      </c>
      <c r="M63" s="131" t="s">
        <v>987</v>
      </c>
      <c r="N63" s="131" t="s">
        <v>987</v>
      </c>
      <c r="O63" s="129" t="s">
        <v>1298</v>
      </c>
      <c r="P63" s="131" t="s">
        <v>23</v>
      </c>
      <c r="Q63" s="154">
        <v>45845</v>
      </c>
      <c r="R63" s="133" t="s">
        <v>1299</v>
      </c>
      <c r="S63" s="134">
        <v>1400516868</v>
      </c>
      <c r="T63" s="131" t="s">
        <v>1312</v>
      </c>
    </row>
    <row r="64" spans="1:20" s="127" customFormat="1" ht="22">
      <c r="A64" s="127">
        <f t="shared" si="1"/>
        <v>58</v>
      </c>
      <c r="B64" s="117">
        <v>45849</v>
      </c>
      <c r="C64" s="128" t="s">
        <v>1136</v>
      </c>
      <c r="D64" s="128" t="s">
        <v>1137</v>
      </c>
      <c r="E64" s="129">
        <v>990307165</v>
      </c>
      <c r="F64" s="129" t="s">
        <v>1029</v>
      </c>
      <c r="G64" s="129">
        <v>111040006</v>
      </c>
      <c r="H64" s="130" t="str">
        <f t="shared" si="2"/>
        <v>HSB 750 G SS HORNO A GAS</v>
      </c>
      <c r="I64" s="131" t="s">
        <v>1028</v>
      </c>
      <c r="J64" s="129" t="s">
        <v>1300</v>
      </c>
      <c r="K64" s="132">
        <v>44673</v>
      </c>
      <c r="L64" s="131" t="s">
        <v>1142</v>
      </c>
      <c r="M64" s="131" t="s">
        <v>987</v>
      </c>
      <c r="N64" s="131" t="s">
        <v>987</v>
      </c>
      <c r="O64" s="129" t="s">
        <v>1301</v>
      </c>
      <c r="P64" s="131" t="s">
        <v>23</v>
      </c>
      <c r="Q64" s="154">
        <v>45845</v>
      </c>
      <c r="R64" s="133" t="s">
        <v>1302</v>
      </c>
      <c r="S64" s="134">
        <v>10419539</v>
      </c>
      <c r="T64" s="131" t="s">
        <v>1312</v>
      </c>
    </row>
    <row r="65" spans="1:20" s="127" customFormat="1" ht="22">
      <c r="A65" s="127">
        <f t="shared" si="1"/>
        <v>59</v>
      </c>
      <c r="B65" s="117">
        <v>45849</v>
      </c>
      <c r="C65" s="128" t="s">
        <v>1138</v>
      </c>
      <c r="D65" s="128" t="s">
        <v>1046</v>
      </c>
      <c r="E65" s="129">
        <v>99569882</v>
      </c>
      <c r="F65" s="129" t="s">
        <v>1029</v>
      </c>
      <c r="G65" s="129">
        <v>40466241</v>
      </c>
      <c r="H65" s="130" t="str">
        <f t="shared" si="2"/>
        <v>C 9310 INOX CAMPANA (110V-60HZ) C/KIT</v>
      </c>
      <c r="I65" s="131" t="s">
        <v>1028</v>
      </c>
      <c r="J65" s="129" t="s">
        <v>1141</v>
      </c>
      <c r="K65" s="132">
        <v>45834</v>
      </c>
      <c r="L65" s="131" t="s">
        <v>1142</v>
      </c>
      <c r="M65" s="131" t="s">
        <v>987</v>
      </c>
      <c r="N65" s="131" t="s">
        <v>987</v>
      </c>
      <c r="O65" s="129" t="s">
        <v>1303</v>
      </c>
      <c r="P65" s="131" t="s">
        <v>23</v>
      </c>
      <c r="Q65" s="154">
        <v>45845</v>
      </c>
      <c r="R65" s="133" t="s">
        <v>1304</v>
      </c>
      <c r="S65" s="134">
        <v>301531265</v>
      </c>
      <c r="T65" s="135" t="s">
        <v>1313</v>
      </c>
    </row>
    <row r="66" spans="1:20" s="127" customFormat="1" ht="22">
      <c r="A66" s="127">
        <f t="shared" si="1"/>
        <v>60</v>
      </c>
      <c r="B66" s="122">
        <v>46192</v>
      </c>
      <c r="C66" s="122" t="s">
        <v>1139</v>
      </c>
      <c r="D66" s="122" t="s">
        <v>1140</v>
      </c>
      <c r="E66" s="143">
        <v>996747976</v>
      </c>
      <c r="F66" s="129" t="s">
        <v>1029</v>
      </c>
      <c r="G66" s="143">
        <v>111000051</v>
      </c>
      <c r="H66" s="130" t="str">
        <f t="shared" si="2"/>
        <v>HLB 8416 "AIR FRY" - HORNO ELEC</v>
      </c>
      <c r="I66" s="131" t="s">
        <v>1028</v>
      </c>
      <c r="J66" s="122" t="s">
        <v>1166</v>
      </c>
      <c r="K66" s="122">
        <v>45817</v>
      </c>
      <c r="L66" s="131" t="s">
        <v>1142</v>
      </c>
      <c r="M66" s="131" t="s">
        <v>987</v>
      </c>
      <c r="N66" s="131" t="s">
        <v>987</v>
      </c>
      <c r="O66" s="122" t="s">
        <v>1305</v>
      </c>
      <c r="P66" s="131" t="s">
        <v>23</v>
      </c>
      <c r="Q66" s="122">
        <v>46192</v>
      </c>
      <c r="R66" s="145" t="s">
        <v>1306</v>
      </c>
      <c r="S66" s="146" t="s">
        <v>1307</v>
      </c>
      <c r="T66" s="135" t="s">
        <v>1314</v>
      </c>
    </row>
    <row r="67" spans="1:20" s="127" customFormat="1" ht="22">
      <c r="A67" s="127">
        <f t="shared" si="1"/>
        <v>61</v>
      </c>
      <c r="B67" s="136">
        <v>45845</v>
      </c>
      <c r="C67" s="137" t="s">
        <v>1560</v>
      </c>
      <c r="D67" s="190" t="s">
        <v>1650</v>
      </c>
      <c r="E67" s="197">
        <v>990593737</v>
      </c>
      <c r="F67" s="190" t="s">
        <v>1640</v>
      </c>
      <c r="G67" s="191">
        <v>40446712</v>
      </c>
      <c r="H67" s="130" t="str">
        <f t="shared" si="2"/>
        <v>GFH 73 INOX CAMPANA (110V-60HZ) C/KIT</v>
      </c>
      <c r="I67" s="131" t="s">
        <v>1028</v>
      </c>
      <c r="J67" s="190" t="s">
        <v>1157</v>
      </c>
      <c r="K67" s="136">
        <v>45309</v>
      </c>
      <c r="L67" s="190" t="s">
        <v>1142</v>
      </c>
      <c r="M67" s="190" t="s">
        <v>23</v>
      </c>
      <c r="N67" s="190" t="s">
        <v>23</v>
      </c>
      <c r="O67" s="138" t="s">
        <v>1534</v>
      </c>
      <c r="P67" s="190" t="s">
        <v>23</v>
      </c>
      <c r="Q67" s="217">
        <v>45849</v>
      </c>
      <c r="R67" s="192" t="s">
        <v>1538</v>
      </c>
      <c r="S67" s="141" t="s">
        <v>1537</v>
      </c>
      <c r="T67" s="142" t="s">
        <v>1641</v>
      </c>
    </row>
    <row r="68" spans="1:20" s="127" customFormat="1" ht="22">
      <c r="A68" s="127">
        <f t="shared" si="1"/>
        <v>62</v>
      </c>
      <c r="B68" s="136">
        <v>45845</v>
      </c>
      <c r="C68" s="137" t="s">
        <v>1559</v>
      </c>
      <c r="D68" s="190" t="s">
        <v>1651</v>
      </c>
      <c r="E68" s="197">
        <v>987001205</v>
      </c>
      <c r="F68" s="190" t="s">
        <v>1640</v>
      </c>
      <c r="G68" s="191">
        <v>111570003</v>
      </c>
      <c r="H68" s="130" t="str">
        <f t="shared" si="2"/>
        <v>COCINA GOURMET BBQ 4100 G SS</v>
      </c>
      <c r="I68" s="131" t="s">
        <v>1028</v>
      </c>
      <c r="J68" s="190" t="s">
        <v>1173</v>
      </c>
      <c r="K68" s="136" t="s">
        <v>1290</v>
      </c>
      <c r="L68" s="190" t="s">
        <v>1142</v>
      </c>
      <c r="M68" s="190" t="s">
        <v>23</v>
      </c>
      <c r="N68" s="190" t="s">
        <v>23</v>
      </c>
      <c r="O68" s="138" t="s">
        <v>1541</v>
      </c>
      <c r="P68" s="190" t="s">
        <v>23</v>
      </c>
      <c r="Q68" s="217">
        <v>45849</v>
      </c>
      <c r="R68" s="192" t="s">
        <v>1544</v>
      </c>
      <c r="S68" s="141" t="s">
        <v>1543</v>
      </c>
      <c r="T68" s="142" t="s">
        <v>1642</v>
      </c>
    </row>
    <row r="69" spans="1:20" s="127" customFormat="1" ht="22">
      <c r="A69" s="127">
        <f t="shared" si="1"/>
        <v>63</v>
      </c>
      <c r="B69" s="136">
        <v>45847</v>
      </c>
      <c r="C69" s="137" t="s">
        <v>1558</v>
      </c>
      <c r="D69" s="190" t="s">
        <v>1652</v>
      </c>
      <c r="E69" s="197">
        <v>998945140</v>
      </c>
      <c r="F69" s="190" t="s">
        <v>1640</v>
      </c>
      <c r="G69" s="191">
        <v>112570093</v>
      </c>
      <c r="H69" s="130" t="str">
        <f t="shared" si="2"/>
        <v>GZC 75330 XBB CRISTAL COCINA GAS</v>
      </c>
      <c r="I69" s="131" t="s">
        <v>1028</v>
      </c>
      <c r="J69" s="190" t="s">
        <v>1173</v>
      </c>
      <c r="K69" s="136">
        <v>45833</v>
      </c>
      <c r="L69" s="190" t="s">
        <v>1142</v>
      </c>
      <c r="M69" s="190" t="s">
        <v>23</v>
      </c>
      <c r="N69" s="190" t="s">
        <v>23</v>
      </c>
      <c r="O69" s="138" t="s">
        <v>1547</v>
      </c>
      <c r="P69" s="190" t="s">
        <v>23</v>
      </c>
      <c r="Q69" s="217">
        <v>45849</v>
      </c>
      <c r="R69" s="192" t="s">
        <v>1550</v>
      </c>
      <c r="S69" s="141" t="s">
        <v>1549</v>
      </c>
      <c r="T69" s="142" t="s">
        <v>1643</v>
      </c>
    </row>
    <row r="70" spans="1:20" s="127" customFormat="1" ht="22">
      <c r="A70" s="127">
        <f t="shared" si="1"/>
        <v>64</v>
      </c>
      <c r="B70" s="122">
        <v>45848</v>
      </c>
      <c r="C70" s="122" t="s">
        <v>1126</v>
      </c>
      <c r="D70" s="122" t="s">
        <v>1127</v>
      </c>
      <c r="E70" s="143">
        <v>98277368</v>
      </c>
      <c r="F70" s="129" t="s">
        <v>1029</v>
      </c>
      <c r="G70" s="143">
        <v>40297052</v>
      </c>
      <c r="H70" s="130" t="str">
        <f t="shared" si="2"/>
        <v>COCINA A GAS FS3RL966GGX</v>
      </c>
      <c r="I70" s="131" t="s">
        <v>1028</v>
      </c>
      <c r="J70" s="122" t="s">
        <v>1152</v>
      </c>
      <c r="K70" s="122">
        <v>45828</v>
      </c>
      <c r="L70" s="131" t="s">
        <v>1142</v>
      </c>
      <c r="M70" s="131" t="s">
        <v>987</v>
      </c>
      <c r="N70" s="131" t="s">
        <v>987</v>
      </c>
      <c r="O70" s="144">
        <v>325001730</v>
      </c>
      <c r="P70" s="131" t="s">
        <v>23</v>
      </c>
      <c r="Q70" s="122">
        <v>45845</v>
      </c>
      <c r="R70" s="145" t="s">
        <v>1285</v>
      </c>
      <c r="S70" s="146" t="s">
        <v>1286</v>
      </c>
      <c r="T70" s="135" t="s">
        <v>1314</v>
      </c>
    </row>
    <row r="71" spans="1:20" s="127" customFormat="1" ht="21">
      <c r="A71" s="127">
        <f t="shared" si="1"/>
        <v>65</v>
      </c>
      <c r="B71" s="117">
        <v>45852</v>
      </c>
      <c r="C71" s="128" t="s">
        <v>1516</v>
      </c>
      <c r="D71" s="128" t="s">
        <v>1517</v>
      </c>
      <c r="E71" s="129">
        <v>989739803</v>
      </c>
      <c r="F71" s="190" t="s">
        <v>1029</v>
      </c>
      <c r="G71" s="193">
        <v>112580058</v>
      </c>
      <c r="H71" s="130" t="str">
        <f t="shared" si="2"/>
        <v>GBC 95030 KBB BK COCINA GAS</v>
      </c>
      <c r="I71" s="131" t="s">
        <v>1028</v>
      </c>
      <c r="J71" s="129" t="s">
        <v>1166</v>
      </c>
      <c r="K71" s="132">
        <v>45761</v>
      </c>
      <c r="L71" s="190" t="s">
        <v>1142</v>
      </c>
      <c r="M71" s="190" t="s">
        <v>23</v>
      </c>
      <c r="N71" s="190" t="s">
        <v>23</v>
      </c>
      <c r="O71" s="129" t="s">
        <v>1507</v>
      </c>
      <c r="P71" s="190" t="s">
        <v>23</v>
      </c>
      <c r="Q71" s="217">
        <v>45849</v>
      </c>
      <c r="R71" s="194" t="s">
        <v>1518</v>
      </c>
      <c r="S71" s="134">
        <v>100888932</v>
      </c>
      <c r="T71" s="190" t="s">
        <v>1644</v>
      </c>
    </row>
    <row r="72" spans="1:20" s="127" customFormat="1" ht="21">
      <c r="A72" s="127">
        <f t="shared" si="1"/>
        <v>66</v>
      </c>
      <c r="B72" s="117">
        <v>45852</v>
      </c>
      <c r="C72" s="128" t="s">
        <v>1672</v>
      </c>
      <c r="D72" s="128" t="s">
        <v>1684</v>
      </c>
      <c r="E72" s="129">
        <v>995102541</v>
      </c>
      <c r="F72" s="190" t="s">
        <v>1640</v>
      </c>
      <c r="G72" s="193">
        <v>111040006</v>
      </c>
      <c r="H72" s="130" t="str">
        <f t="shared" ref="H72" si="6">VLOOKUP(G72,PROD,2,FALSE)</f>
        <v>HSB 750 G SS HORNO A GAS</v>
      </c>
      <c r="I72" s="131" t="s">
        <v>1028</v>
      </c>
      <c r="J72" s="129" t="s">
        <v>1173</v>
      </c>
      <c r="K72" s="132">
        <v>45694</v>
      </c>
      <c r="L72" s="190" t="s">
        <v>1142</v>
      </c>
      <c r="M72" s="190" t="s">
        <v>23</v>
      </c>
      <c r="N72" s="190" t="s">
        <v>23</v>
      </c>
      <c r="O72" s="129" t="s">
        <v>1671</v>
      </c>
      <c r="P72" s="190" t="s">
        <v>23</v>
      </c>
      <c r="Q72" s="217">
        <v>45850</v>
      </c>
      <c r="R72" s="256" t="s">
        <v>1685</v>
      </c>
      <c r="S72" s="134">
        <v>100682608</v>
      </c>
      <c r="T72" s="190" t="s">
        <v>1686</v>
      </c>
    </row>
    <row r="73" spans="1:20" s="127" customFormat="1" ht="21">
      <c r="A73" s="127">
        <f t="shared" si="1"/>
        <v>67</v>
      </c>
      <c r="B73" s="196">
        <v>45852</v>
      </c>
      <c r="C73" s="190" t="s">
        <v>1483</v>
      </c>
      <c r="D73" s="190" t="s">
        <v>1484</v>
      </c>
      <c r="E73" s="197">
        <v>984169601</v>
      </c>
      <c r="F73" s="190" t="s">
        <v>1029</v>
      </c>
      <c r="G73" s="195">
        <v>41560041</v>
      </c>
      <c r="H73" s="130" t="str">
        <f t="shared" si="2"/>
        <v>HBB 535 INOX HORNO ELEC</v>
      </c>
      <c r="I73" s="131" t="s">
        <v>1028</v>
      </c>
      <c r="J73" s="190" t="s">
        <v>1173</v>
      </c>
      <c r="K73" s="196">
        <v>45843</v>
      </c>
      <c r="L73" s="190" t="s">
        <v>1142</v>
      </c>
      <c r="M73" s="190" t="s">
        <v>23</v>
      </c>
      <c r="N73" s="190" t="s">
        <v>23</v>
      </c>
      <c r="O73" s="197" t="s">
        <v>1482</v>
      </c>
      <c r="P73" s="190" t="s">
        <v>23</v>
      </c>
      <c r="Q73" s="217">
        <v>45849</v>
      </c>
      <c r="R73" s="198" t="s">
        <v>1486</v>
      </c>
      <c r="S73" s="146" t="s">
        <v>1485</v>
      </c>
      <c r="T73" s="190" t="s">
        <v>1314</v>
      </c>
    </row>
    <row r="74" spans="1:20" s="127" customFormat="1" ht="21">
      <c r="A74" s="127">
        <f t="shared" si="1"/>
        <v>68</v>
      </c>
      <c r="B74" s="196">
        <v>45852</v>
      </c>
      <c r="C74" s="190" t="s">
        <v>1489</v>
      </c>
      <c r="D74" s="190" t="s">
        <v>1490</v>
      </c>
      <c r="E74" s="197">
        <v>998401375</v>
      </c>
      <c r="F74" s="190" t="s">
        <v>1029</v>
      </c>
      <c r="G74" s="195">
        <v>112580027</v>
      </c>
      <c r="H74" s="130" t="str">
        <f t="shared" si="2"/>
        <v>GBC 75030 KBB CRISTAL COCINA GAS</v>
      </c>
      <c r="I74" s="131" t="s">
        <v>1028</v>
      </c>
      <c r="J74" s="190" t="s">
        <v>1186</v>
      </c>
      <c r="K74" s="196">
        <v>45838</v>
      </c>
      <c r="L74" s="190" t="s">
        <v>1142</v>
      </c>
      <c r="M74" s="190" t="s">
        <v>23</v>
      </c>
      <c r="N74" s="190" t="s">
        <v>23</v>
      </c>
      <c r="O74" s="197" t="s">
        <v>1488</v>
      </c>
      <c r="P74" s="190" t="s">
        <v>23</v>
      </c>
      <c r="Q74" s="217">
        <v>45849</v>
      </c>
      <c r="R74" s="198" t="s">
        <v>1492</v>
      </c>
      <c r="S74" s="146" t="s">
        <v>1491</v>
      </c>
      <c r="T74" s="190" t="s">
        <v>1314</v>
      </c>
    </row>
    <row r="75" spans="1:20" s="127" customFormat="1" ht="21">
      <c r="A75" s="127">
        <f t="shared" ref="A75:A91" si="7">1+A74</f>
        <v>69</v>
      </c>
      <c r="B75" s="196">
        <v>45852</v>
      </c>
      <c r="C75" s="190" t="s">
        <v>1495</v>
      </c>
      <c r="D75" s="190" t="s">
        <v>1496</v>
      </c>
      <c r="E75" s="197">
        <v>724109046</v>
      </c>
      <c r="F75" s="190" t="s">
        <v>1029</v>
      </c>
      <c r="G75" s="195">
        <v>40466241</v>
      </c>
      <c r="H75" s="130" t="str">
        <f t="shared" si="2"/>
        <v>C 9310 INOX CAMPANA (110V-60HZ) C/KIT</v>
      </c>
      <c r="I75" s="131" t="s">
        <v>1028</v>
      </c>
      <c r="J75" s="190" t="s">
        <v>1152</v>
      </c>
      <c r="K75" s="196">
        <v>45842</v>
      </c>
      <c r="L75" s="190" t="s">
        <v>1142</v>
      </c>
      <c r="M75" s="190" t="s">
        <v>23</v>
      </c>
      <c r="N75" s="190" t="s">
        <v>23</v>
      </c>
      <c r="O75" s="197" t="s">
        <v>1494</v>
      </c>
      <c r="P75" s="190" t="s">
        <v>23</v>
      </c>
      <c r="Q75" s="217">
        <v>45849</v>
      </c>
      <c r="R75" s="198" t="s">
        <v>1498</v>
      </c>
      <c r="S75" s="146" t="s">
        <v>1497</v>
      </c>
      <c r="T75" s="190" t="s">
        <v>1314</v>
      </c>
    </row>
    <row r="76" spans="1:20" s="127" customFormat="1" ht="21">
      <c r="A76" s="127">
        <f t="shared" si="7"/>
        <v>70</v>
      </c>
      <c r="B76" s="196">
        <v>45853</v>
      </c>
      <c r="C76" s="190" t="s">
        <v>1502</v>
      </c>
      <c r="D76" s="190" t="s">
        <v>1503</v>
      </c>
      <c r="E76" s="197">
        <v>72888566</v>
      </c>
      <c r="F76" s="190" t="s">
        <v>1029</v>
      </c>
      <c r="G76" s="195">
        <v>40446712</v>
      </c>
      <c r="H76" s="130" t="str">
        <f t="shared" si="2"/>
        <v>GFH 73 INOX CAMPANA (110V-60HZ) C/KIT</v>
      </c>
      <c r="I76" s="131" t="s">
        <v>1028</v>
      </c>
      <c r="J76" s="190" t="s">
        <v>1499</v>
      </c>
      <c r="K76" s="196">
        <v>45848</v>
      </c>
      <c r="L76" s="190" t="s">
        <v>1142</v>
      </c>
      <c r="M76" s="190" t="s">
        <v>23</v>
      </c>
      <c r="N76" s="190" t="s">
        <v>23</v>
      </c>
      <c r="O76" s="197" t="s">
        <v>1501</v>
      </c>
      <c r="P76" s="190" t="s">
        <v>23</v>
      </c>
      <c r="Q76" s="217">
        <v>45849</v>
      </c>
      <c r="R76" s="198" t="s">
        <v>1505</v>
      </c>
      <c r="S76" s="146" t="s">
        <v>1504</v>
      </c>
      <c r="T76" s="190" t="s">
        <v>1314</v>
      </c>
    </row>
    <row r="77" spans="1:20" s="127" customFormat="1" ht="22">
      <c r="A77" s="127">
        <f t="shared" si="7"/>
        <v>71</v>
      </c>
      <c r="B77" s="136">
        <v>45853</v>
      </c>
      <c r="C77" s="137" t="s">
        <v>1557</v>
      </c>
      <c r="D77" s="190" t="s">
        <v>1653</v>
      </c>
      <c r="E77" s="197">
        <v>984884651</v>
      </c>
      <c r="F77" s="190" t="s">
        <v>1640</v>
      </c>
      <c r="G77" s="191">
        <v>41596006</v>
      </c>
      <c r="H77" s="130" t="str">
        <f t="shared" si="2"/>
        <v>HLF 824 G SS HORNO A GAS</v>
      </c>
      <c r="I77" s="131" t="s">
        <v>1028</v>
      </c>
      <c r="J77" s="190" t="s">
        <v>1190</v>
      </c>
      <c r="K77" s="136">
        <v>45493</v>
      </c>
      <c r="L77" s="190" t="s">
        <v>1142</v>
      </c>
      <c r="M77" s="190" t="s">
        <v>23</v>
      </c>
      <c r="N77" s="190" t="s">
        <v>23</v>
      </c>
      <c r="O77" s="138" t="s">
        <v>1552</v>
      </c>
      <c r="P77" s="190" t="s">
        <v>23</v>
      </c>
      <c r="Q77" s="217">
        <v>45851</v>
      </c>
      <c r="R77" s="192" t="s">
        <v>1555</v>
      </c>
      <c r="S77" s="141" t="s">
        <v>1554</v>
      </c>
      <c r="T77" s="142" t="s">
        <v>1645</v>
      </c>
    </row>
    <row r="78" spans="1:20" s="127" customFormat="1" ht="21">
      <c r="A78" s="127">
        <f t="shared" si="7"/>
        <v>72</v>
      </c>
      <c r="B78" s="117">
        <v>45854</v>
      </c>
      <c r="C78" s="128" t="s">
        <v>1523</v>
      </c>
      <c r="D78" s="128" t="s">
        <v>1524</v>
      </c>
      <c r="E78" s="129">
        <v>996480012</v>
      </c>
      <c r="F78" s="190" t="s">
        <v>1029</v>
      </c>
      <c r="G78" s="193">
        <v>112580017</v>
      </c>
      <c r="H78" s="130" t="str">
        <f t="shared" si="2"/>
        <v>GBC 64000 KBB CRISTAL COCINA GAS</v>
      </c>
      <c r="I78" s="131" t="s">
        <v>1028</v>
      </c>
      <c r="J78" s="129" t="s">
        <v>1166</v>
      </c>
      <c r="K78" s="132">
        <v>45834</v>
      </c>
      <c r="L78" s="190" t="s">
        <v>1142</v>
      </c>
      <c r="M78" s="190" t="s">
        <v>23</v>
      </c>
      <c r="N78" s="190" t="s">
        <v>23</v>
      </c>
      <c r="O78" s="129" t="s">
        <v>1520</v>
      </c>
      <c r="P78" s="190" t="s">
        <v>23</v>
      </c>
      <c r="Q78" s="217">
        <v>45851</v>
      </c>
      <c r="R78" s="194" t="s">
        <v>1525</v>
      </c>
      <c r="S78" s="134">
        <v>1726067992</v>
      </c>
      <c r="T78" s="190" t="s">
        <v>1313</v>
      </c>
    </row>
    <row r="79" spans="1:20" s="127" customFormat="1" ht="21">
      <c r="A79" s="127">
        <f t="shared" si="7"/>
        <v>73</v>
      </c>
      <c r="B79" s="196">
        <v>45854</v>
      </c>
      <c r="C79" s="190" t="s">
        <v>1578</v>
      </c>
      <c r="D79" s="190" t="s">
        <v>1579</v>
      </c>
      <c r="E79" s="197">
        <v>979245788</v>
      </c>
      <c r="F79" s="190" t="s">
        <v>1029</v>
      </c>
      <c r="G79" s="195">
        <v>111020071</v>
      </c>
      <c r="H79" s="130" t="str">
        <f t="shared" si="2"/>
        <v>HBB 510 BK 220-240  50/60 HORNO ELEC</v>
      </c>
      <c r="I79" s="131" t="s">
        <v>1028</v>
      </c>
      <c r="J79" s="190" t="s">
        <v>1166</v>
      </c>
      <c r="K79" s="196">
        <v>45842</v>
      </c>
      <c r="L79" s="190" t="s">
        <v>1142</v>
      </c>
      <c r="M79" s="190" t="s">
        <v>23</v>
      </c>
      <c r="N79" s="190" t="s">
        <v>23</v>
      </c>
      <c r="O79" s="197" t="s">
        <v>1577</v>
      </c>
      <c r="P79" s="190" t="s">
        <v>23</v>
      </c>
      <c r="Q79" s="217">
        <v>45851</v>
      </c>
      <c r="R79" s="199" t="s">
        <v>1581</v>
      </c>
      <c r="S79" s="146" t="s">
        <v>1580</v>
      </c>
      <c r="T79" s="190" t="s">
        <v>1314</v>
      </c>
    </row>
    <row r="80" spans="1:20" s="127" customFormat="1" ht="21">
      <c r="A80" s="127">
        <f t="shared" si="7"/>
        <v>74</v>
      </c>
      <c r="B80" s="196">
        <v>45854</v>
      </c>
      <c r="C80" s="190" t="s">
        <v>1584</v>
      </c>
      <c r="D80" s="190" t="s">
        <v>1585</v>
      </c>
      <c r="E80" s="197">
        <v>983160221</v>
      </c>
      <c r="F80" s="190" t="s">
        <v>1029</v>
      </c>
      <c r="G80" s="195">
        <v>111000050</v>
      </c>
      <c r="H80" s="130" t="str">
        <f t="shared" si="2"/>
        <v>HLB 8510 P "MAESTRO PIZZA"</v>
      </c>
      <c r="I80" s="131" t="s">
        <v>1028</v>
      </c>
      <c r="J80" s="190" t="s">
        <v>1173</v>
      </c>
      <c r="K80" s="196">
        <v>45852</v>
      </c>
      <c r="L80" s="190" t="s">
        <v>1142</v>
      </c>
      <c r="M80" s="190" t="s">
        <v>23</v>
      </c>
      <c r="N80" s="190" t="s">
        <v>23</v>
      </c>
      <c r="O80" s="197" t="s">
        <v>1583</v>
      </c>
      <c r="P80" s="190" t="s">
        <v>23</v>
      </c>
      <c r="Q80" s="217">
        <v>45851</v>
      </c>
      <c r="R80" s="199" t="s">
        <v>1587</v>
      </c>
      <c r="S80" s="146" t="s">
        <v>1586</v>
      </c>
      <c r="T80" s="190" t="s">
        <v>1314</v>
      </c>
    </row>
    <row r="81" spans="1:20" s="127" customFormat="1" ht="22">
      <c r="A81" s="127">
        <f t="shared" si="7"/>
        <v>75</v>
      </c>
      <c r="B81" s="136">
        <v>45854</v>
      </c>
      <c r="C81" s="137" t="s">
        <v>1562</v>
      </c>
      <c r="D81" s="190" t="s">
        <v>1654</v>
      </c>
      <c r="E81" s="197">
        <v>980379450</v>
      </c>
      <c r="F81" s="190" t="s">
        <v>1640</v>
      </c>
      <c r="G81" s="191">
        <v>113430018</v>
      </c>
      <c r="H81" s="130" t="str">
        <f t="shared" si="2"/>
        <v>RLF 74920 SS SBS REFRIGERADORA</v>
      </c>
      <c r="I81" s="131" t="s">
        <v>1028</v>
      </c>
      <c r="J81" s="190" t="s">
        <v>1173</v>
      </c>
      <c r="K81" s="136">
        <v>45799</v>
      </c>
      <c r="L81" s="190" t="s">
        <v>1142</v>
      </c>
      <c r="M81" s="190" t="s">
        <v>23</v>
      </c>
      <c r="N81" s="190" t="s">
        <v>23</v>
      </c>
      <c r="O81" s="138" t="s">
        <v>1564</v>
      </c>
      <c r="P81" s="190" t="s">
        <v>23</v>
      </c>
      <c r="Q81" s="217">
        <v>45851</v>
      </c>
      <c r="R81" s="192" t="s">
        <v>1565</v>
      </c>
      <c r="S81" s="141" t="s">
        <v>1563</v>
      </c>
      <c r="T81" s="142" t="s">
        <v>1561</v>
      </c>
    </row>
    <row r="82" spans="1:20" s="127" customFormat="1" ht="22">
      <c r="A82" s="127">
        <f t="shared" si="7"/>
        <v>76</v>
      </c>
      <c r="B82" s="136">
        <v>45854</v>
      </c>
      <c r="C82" s="137" t="s">
        <v>1570</v>
      </c>
      <c r="D82" s="190" t="s">
        <v>1567</v>
      </c>
      <c r="E82" s="197">
        <v>997038770</v>
      </c>
      <c r="F82" s="190" t="s">
        <v>1640</v>
      </c>
      <c r="G82" s="191">
        <v>10210152</v>
      </c>
      <c r="H82" s="130" t="str">
        <f t="shared" si="2"/>
        <v>IRS 953 COCINA INDUCCION</v>
      </c>
      <c r="I82" s="131" t="s">
        <v>1028</v>
      </c>
      <c r="J82" s="190" t="s">
        <v>1567</v>
      </c>
      <c r="K82" s="136" t="s">
        <v>1567</v>
      </c>
      <c r="L82" s="190" t="s">
        <v>1142</v>
      </c>
      <c r="M82" s="190" t="s">
        <v>23</v>
      </c>
      <c r="N82" s="190" t="s">
        <v>23</v>
      </c>
      <c r="O82" s="138" t="s">
        <v>1569</v>
      </c>
      <c r="P82" s="190" t="s">
        <v>23</v>
      </c>
      <c r="Q82" s="217">
        <v>45851</v>
      </c>
      <c r="R82" s="192" t="s">
        <v>1573</v>
      </c>
      <c r="S82" s="141" t="s">
        <v>1572</v>
      </c>
      <c r="T82" s="142" t="s">
        <v>1646</v>
      </c>
    </row>
    <row r="83" spans="1:20" s="127" customFormat="1" ht="22">
      <c r="A83" s="127">
        <f t="shared" si="7"/>
        <v>77</v>
      </c>
      <c r="B83" s="136">
        <v>45854</v>
      </c>
      <c r="C83" s="137" t="s">
        <v>1570</v>
      </c>
      <c r="D83" s="190" t="s">
        <v>1567</v>
      </c>
      <c r="E83" s="197">
        <v>997038770</v>
      </c>
      <c r="F83" s="190" t="s">
        <v>1640</v>
      </c>
      <c r="G83" s="191">
        <v>10210109</v>
      </c>
      <c r="H83" s="130" t="str">
        <f t="shared" si="2"/>
        <v>IRS 953 COCINA INDUCCION + JGO. DE OLLAS (NC:10210152)</v>
      </c>
      <c r="I83" s="131" t="s">
        <v>1028</v>
      </c>
      <c r="J83" s="190" t="s">
        <v>1567</v>
      </c>
      <c r="K83" s="136" t="s">
        <v>1567</v>
      </c>
      <c r="L83" s="190" t="s">
        <v>1142</v>
      </c>
      <c r="M83" s="190" t="s">
        <v>23</v>
      </c>
      <c r="N83" s="190" t="s">
        <v>23</v>
      </c>
      <c r="O83" s="138" t="s">
        <v>1575</v>
      </c>
      <c r="P83" s="190" t="s">
        <v>23</v>
      </c>
      <c r="Q83" s="217">
        <v>45851</v>
      </c>
      <c r="R83" s="192" t="s">
        <v>1573</v>
      </c>
      <c r="S83" s="141" t="s">
        <v>1572</v>
      </c>
      <c r="T83" s="142" t="s">
        <v>1647</v>
      </c>
    </row>
    <row r="84" spans="1:20" s="127" customFormat="1" ht="21">
      <c r="A84" s="127">
        <f t="shared" si="7"/>
        <v>78</v>
      </c>
      <c r="B84" s="254">
        <v>45854</v>
      </c>
      <c r="C84" s="201" t="s">
        <v>1612</v>
      </c>
      <c r="D84" s="202" t="s">
        <v>1046</v>
      </c>
      <c r="E84" s="203">
        <v>984881496</v>
      </c>
      <c r="F84" s="204" t="s">
        <v>1029</v>
      </c>
      <c r="G84" s="193">
        <v>112580058</v>
      </c>
      <c r="H84" s="130" t="str">
        <f t="shared" ref="H84:H90" si="8">VLOOKUP(G84,PROD,2,FALSE)</f>
        <v>GBC 95030 KBB BK COCINA GAS</v>
      </c>
      <c r="I84" s="131" t="s">
        <v>1028</v>
      </c>
      <c r="J84" s="203" t="s">
        <v>1166</v>
      </c>
      <c r="K84" s="205">
        <v>45764</v>
      </c>
      <c r="L84" s="190" t="s">
        <v>1142</v>
      </c>
      <c r="M84" s="190" t="s">
        <v>23</v>
      </c>
      <c r="N84" s="190" t="s">
        <v>23</v>
      </c>
      <c r="O84" s="206" t="s">
        <v>1611</v>
      </c>
      <c r="P84" s="190" t="s">
        <v>23</v>
      </c>
      <c r="Q84" s="217">
        <v>45851</v>
      </c>
      <c r="R84" s="207" t="s">
        <v>1613</v>
      </c>
      <c r="S84" s="214" t="s">
        <v>1628</v>
      </c>
      <c r="T84" s="208" t="s">
        <v>1648</v>
      </c>
    </row>
    <row r="85" spans="1:20" s="127" customFormat="1" ht="21">
      <c r="A85" s="127">
        <f t="shared" si="7"/>
        <v>79</v>
      </c>
      <c r="B85" s="254">
        <v>45855</v>
      </c>
      <c r="C85" s="201" t="s">
        <v>1626</v>
      </c>
      <c r="D85" s="202" t="s">
        <v>1627</v>
      </c>
      <c r="E85" s="203">
        <v>72818600</v>
      </c>
      <c r="F85" s="204" t="s">
        <v>1029</v>
      </c>
      <c r="G85" s="193">
        <v>112580058</v>
      </c>
      <c r="H85" s="130" t="str">
        <f t="shared" si="8"/>
        <v>GBC 95030 KBB BK COCINA GAS</v>
      </c>
      <c r="I85" s="131" t="s">
        <v>1028</v>
      </c>
      <c r="J85" s="203" t="s">
        <v>1166</v>
      </c>
      <c r="K85" s="205">
        <v>45769</v>
      </c>
      <c r="L85" s="190" t="s">
        <v>1142</v>
      </c>
      <c r="M85" s="190" t="s">
        <v>23</v>
      </c>
      <c r="N85" s="190" t="s">
        <v>23</v>
      </c>
      <c r="O85" s="206" t="s">
        <v>1623</v>
      </c>
      <c r="P85" s="190" t="s">
        <v>23</v>
      </c>
      <c r="Q85" s="217">
        <v>45851</v>
      </c>
      <c r="R85" s="207" t="s">
        <v>1629</v>
      </c>
      <c r="S85" s="214">
        <v>101298701</v>
      </c>
      <c r="T85" s="208" t="s">
        <v>1313</v>
      </c>
    </row>
    <row r="86" spans="1:20" s="127" customFormat="1" ht="21">
      <c r="A86" s="127">
        <f t="shared" si="7"/>
        <v>80</v>
      </c>
      <c r="B86" s="209">
        <v>45855</v>
      </c>
      <c r="C86" s="208" t="s">
        <v>1590</v>
      </c>
      <c r="D86" s="168" t="s">
        <v>1591</v>
      </c>
      <c r="E86" s="184">
        <v>984364527</v>
      </c>
      <c r="F86" s="204" t="s">
        <v>1029</v>
      </c>
      <c r="G86" s="195">
        <v>40467305</v>
      </c>
      <c r="H86" s="130" t="str">
        <f t="shared" si="8"/>
        <v>C 710 NEGRA CAMPANA (110V-60HZ) C/KIT</v>
      </c>
      <c r="I86" s="131" t="s">
        <v>1028</v>
      </c>
      <c r="J86" s="168" t="s">
        <v>1173</v>
      </c>
      <c r="K86" s="210">
        <v>45830</v>
      </c>
      <c r="L86" s="190" t="s">
        <v>1142</v>
      </c>
      <c r="M86" s="190" t="s">
        <v>23</v>
      </c>
      <c r="N86" s="190" t="s">
        <v>23</v>
      </c>
      <c r="O86" s="211" t="s">
        <v>1589</v>
      </c>
      <c r="P86" s="190" t="s">
        <v>23</v>
      </c>
      <c r="Q86" s="218">
        <v>45853</v>
      </c>
      <c r="R86" s="212" t="s">
        <v>1593</v>
      </c>
      <c r="S86" s="215" t="s">
        <v>1592</v>
      </c>
      <c r="T86" s="208" t="s">
        <v>1314</v>
      </c>
    </row>
    <row r="87" spans="1:20" s="127" customFormat="1" ht="21">
      <c r="A87" s="127">
        <f t="shared" si="7"/>
        <v>81</v>
      </c>
      <c r="B87" s="209">
        <v>45855</v>
      </c>
      <c r="C87" s="208" t="s">
        <v>1596</v>
      </c>
      <c r="D87" s="168" t="s">
        <v>1597</v>
      </c>
      <c r="E87" s="184">
        <v>983347819</v>
      </c>
      <c r="F87" s="204" t="s">
        <v>1029</v>
      </c>
      <c r="G87" s="195">
        <v>112580027</v>
      </c>
      <c r="H87" s="130" t="str">
        <f t="shared" si="8"/>
        <v>GBC 75030 KBB CRISTAL COCINA GAS</v>
      </c>
      <c r="I87" s="131" t="s">
        <v>1028</v>
      </c>
      <c r="J87" s="168" t="s">
        <v>1166</v>
      </c>
      <c r="K87" s="210">
        <v>45643</v>
      </c>
      <c r="L87" s="190" t="s">
        <v>1142</v>
      </c>
      <c r="M87" s="190" t="s">
        <v>23</v>
      </c>
      <c r="N87" s="190" t="s">
        <v>23</v>
      </c>
      <c r="O87" s="211" t="s">
        <v>1595</v>
      </c>
      <c r="P87" s="190" t="s">
        <v>23</v>
      </c>
      <c r="Q87" s="218">
        <v>45853</v>
      </c>
      <c r="R87" s="212" t="s">
        <v>1599</v>
      </c>
      <c r="S87" s="215" t="s">
        <v>1598</v>
      </c>
      <c r="T87" s="208" t="s">
        <v>1314</v>
      </c>
    </row>
    <row r="88" spans="1:20" s="127" customFormat="1" ht="21">
      <c r="A88" s="127">
        <f t="shared" si="7"/>
        <v>82</v>
      </c>
      <c r="B88" s="209">
        <v>45855</v>
      </c>
      <c r="C88" s="208" t="s">
        <v>1602</v>
      </c>
      <c r="D88" s="168" t="s">
        <v>1603</v>
      </c>
      <c r="E88" s="184">
        <v>992150336</v>
      </c>
      <c r="F88" s="204" t="s">
        <v>1029</v>
      </c>
      <c r="G88" s="195">
        <v>113430018</v>
      </c>
      <c r="H88" s="130" t="str">
        <f t="shared" si="8"/>
        <v>RLF 74920 SS SBS REFRIGERADORA</v>
      </c>
      <c r="I88" s="131" t="s">
        <v>1028</v>
      </c>
      <c r="J88" s="168" t="s">
        <v>1173</v>
      </c>
      <c r="K88" s="210">
        <v>45748</v>
      </c>
      <c r="L88" s="190" t="s">
        <v>1142</v>
      </c>
      <c r="M88" s="190" t="s">
        <v>23</v>
      </c>
      <c r="N88" s="190" t="s">
        <v>23</v>
      </c>
      <c r="O88" s="211" t="s">
        <v>1601</v>
      </c>
      <c r="P88" s="190" t="s">
        <v>23</v>
      </c>
      <c r="Q88" s="218">
        <v>45853</v>
      </c>
      <c r="R88" s="212" t="s">
        <v>1605</v>
      </c>
      <c r="S88" s="215" t="s">
        <v>1604</v>
      </c>
      <c r="T88" s="208" t="s">
        <v>1314</v>
      </c>
    </row>
    <row r="89" spans="1:20" s="127" customFormat="1" ht="21">
      <c r="A89" s="127">
        <f t="shared" si="7"/>
        <v>83</v>
      </c>
      <c r="B89" s="209">
        <v>45855</v>
      </c>
      <c r="C89" s="208" t="s">
        <v>1076</v>
      </c>
      <c r="D89" s="168" t="s">
        <v>1608</v>
      </c>
      <c r="E89" s="184">
        <v>72891663</v>
      </c>
      <c r="F89" s="204" t="s">
        <v>1029</v>
      </c>
      <c r="G89" s="195">
        <v>113430051</v>
      </c>
      <c r="H89" s="130" t="str">
        <f t="shared" si="8"/>
        <v>RMF 77960 GBK MX REFRIGERADORA</v>
      </c>
      <c r="I89" s="131" t="s">
        <v>1028</v>
      </c>
      <c r="J89" s="168" t="s">
        <v>1190</v>
      </c>
      <c r="K89" s="210">
        <v>45840</v>
      </c>
      <c r="L89" s="190" t="s">
        <v>1142</v>
      </c>
      <c r="M89" s="190" t="s">
        <v>23</v>
      </c>
      <c r="N89" s="190" t="s">
        <v>23</v>
      </c>
      <c r="O89" s="211" t="s">
        <v>1607</v>
      </c>
      <c r="P89" s="190" t="s">
        <v>23</v>
      </c>
      <c r="Q89" s="218">
        <v>45853</v>
      </c>
      <c r="R89" s="212" t="s">
        <v>1609</v>
      </c>
      <c r="S89" s="215" t="s">
        <v>1217</v>
      </c>
      <c r="T89" s="208" t="s">
        <v>1314</v>
      </c>
    </row>
    <row r="90" spans="1:20" s="127" customFormat="1" ht="21">
      <c r="A90" s="127">
        <f t="shared" si="7"/>
        <v>84</v>
      </c>
      <c r="B90" s="200">
        <v>45856</v>
      </c>
      <c r="C90" s="201" t="s">
        <v>1637</v>
      </c>
      <c r="D90" s="202" t="s">
        <v>1638</v>
      </c>
      <c r="E90" s="203">
        <v>999745484</v>
      </c>
      <c r="F90" s="204" t="s">
        <v>1029</v>
      </c>
      <c r="G90" s="193">
        <v>112950021</v>
      </c>
      <c r="H90" s="130" t="str">
        <f t="shared" si="8"/>
        <v>DVN 94030 TCL BK CAMPANA (110V-60HZ) C/KIT</v>
      </c>
      <c r="I90" s="131" t="s">
        <v>1028</v>
      </c>
      <c r="J90" s="203" t="s">
        <v>1300</v>
      </c>
      <c r="K90" s="205">
        <v>45779</v>
      </c>
      <c r="L90" s="190" t="s">
        <v>1142</v>
      </c>
      <c r="M90" s="190" t="s">
        <v>23</v>
      </c>
      <c r="N90" s="190" t="s">
        <v>23</v>
      </c>
      <c r="O90" s="206" t="s">
        <v>1631</v>
      </c>
      <c r="P90" s="190" t="s">
        <v>23</v>
      </c>
      <c r="Q90" s="218">
        <v>45853</v>
      </c>
      <c r="R90" s="207" t="s">
        <v>1639</v>
      </c>
      <c r="S90" s="214">
        <v>101795144</v>
      </c>
      <c r="T90" s="213" t="s">
        <v>1649</v>
      </c>
    </row>
    <row r="91" spans="1:20" s="127" customFormat="1" ht="21">
      <c r="A91" s="127">
        <f t="shared" si="7"/>
        <v>85</v>
      </c>
      <c r="B91" s="200">
        <v>45856</v>
      </c>
      <c r="C91" s="201" t="s">
        <v>1677</v>
      </c>
      <c r="D91" s="202" t="s">
        <v>1681</v>
      </c>
      <c r="E91" s="203">
        <v>987427633</v>
      </c>
      <c r="F91" s="204" t="s">
        <v>1640</v>
      </c>
      <c r="G91" s="193">
        <v>113430051</v>
      </c>
      <c r="H91" s="130" t="str">
        <f t="shared" ref="H91" si="9">VLOOKUP(G91,PROD,2,FALSE)</f>
        <v>RMF 77960 GBK MX REFRIGERADORA</v>
      </c>
      <c r="I91" s="131" t="s">
        <v>1028</v>
      </c>
      <c r="J91" s="203" t="s">
        <v>1300</v>
      </c>
      <c r="K91" s="205">
        <v>45709</v>
      </c>
      <c r="L91" s="190" t="s">
        <v>1142</v>
      </c>
      <c r="M91" s="190" t="s">
        <v>23</v>
      </c>
      <c r="N91" s="190" t="s">
        <v>23</v>
      </c>
      <c r="O91" s="206" t="s">
        <v>1676</v>
      </c>
      <c r="P91" s="190" t="s">
        <v>23</v>
      </c>
      <c r="Q91" s="218">
        <v>45855</v>
      </c>
      <c r="R91" s="255" t="s">
        <v>1682</v>
      </c>
      <c r="S91" s="214">
        <v>103678710</v>
      </c>
      <c r="T91" s="213" t="s">
        <v>1683</v>
      </c>
    </row>
    <row r="92" spans="1:20">
      <c r="C92" s="118"/>
      <c r="D92" s="119"/>
    </row>
    <row r="93" spans="1:20">
      <c r="C93" s="118"/>
      <c r="D93" s="119"/>
    </row>
    <row r="94" spans="1:20">
      <c r="C94" s="118"/>
      <c r="D94" s="119"/>
    </row>
    <row r="95" spans="1:20">
      <c r="C95" s="118"/>
      <c r="D95" s="119"/>
    </row>
    <row r="96" spans="1:20">
      <c r="C96" s="118"/>
      <c r="D96" s="119"/>
    </row>
    <row r="97" spans="3:4">
      <c r="C97" s="118"/>
      <c r="D97" s="119"/>
    </row>
    <row r="98" spans="3:4">
      <c r="C98" s="118"/>
      <c r="D98" s="119"/>
    </row>
    <row r="99" spans="3:4">
      <c r="C99" s="118"/>
      <c r="D99" s="119"/>
    </row>
    <row r="100" spans="3:4">
      <c r="C100" s="118"/>
      <c r="D100" s="119"/>
    </row>
    <row r="101" spans="3:4">
      <c r="C101" s="118"/>
      <c r="D101" s="119"/>
    </row>
    <row r="102" spans="3:4">
      <c r="C102" s="118"/>
      <c r="D102" s="119"/>
    </row>
    <row r="103" spans="3:4">
      <c r="C103" s="118"/>
      <c r="D103" s="119"/>
    </row>
    <row r="104" spans="3:4">
      <c r="C104" s="118"/>
      <c r="D104" s="119"/>
    </row>
    <row r="105" spans="3:4">
      <c r="C105" s="118"/>
      <c r="D105" s="119"/>
    </row>
    <row r="106" spans="3:4">
      <c r="C106" s="118"/>
      <c r="D106" s="119"/>
    </row>
    <row r="107" spans="3:4">
      <c r="C107" s="118"/>
      <c r="D107" s="119"/>
    </row>
    <row r="108" spans="3:4">
      <c r="C108" s="118"/>
      <c r="D108" s="119"/>
    </row>
    <row r="109" spans="3:4">
      <c r="C109" s="118"/>
      <c r="D109" s="119"/>
    </row>
    <row r="110" spans="3:4">
      <c r="C110" s="118"/>
      <c r="D110" s="119"/>
    </row>
    <row r="111" spans="3:4">
      <c r="C111" s="118"/>
      <c r="D111" s="119"/>
    </row>
    <row r="112" spans="3:4">
      <c r="C112" s="118"/>
      <c r="D112" s="119"/>
    </row>
    <row r="113" spans="3:4">
      <c r="C113" s="118"/>
      <c r="D113" s="119"/>
    </row>
    <row r="114" spans="3:4">
      <c r="C114" s="118"/>
      <c r="D114" s="119"/>
    </row>
    <row r="115" spans="3:4">
      <c r="C115" s="118"/>
      <c r="D115" s="119"/>
    </row>
    <row r="116" spans="3:4">
      <c r="C116" s="118"/>
      <c r="D116" s="119"/>
    </row>
    <row r="117" spans="3:4">
      <c r="C117" s="118"/>
      <c r="D117" s="119"/>
    </row>
    <row r="118" spans="3:4">
      <c r="C118" s="118"/>
      <c r="D118" s="119"/>
    </row>
    <row r="119" spans="3:4">
      <c r="C119" s="118"/>
      <c r="D119" s="119"/>
    </row>
    <row r="120" spans="3:4">
      <c r="C120" s="118"/>
      <c r="D120" s="119"/>
    </row>
    <row r="121" spans="3:4">
      <c r="C121" s="118"/>
      <c r="D121" s="119"/>
    </row>
    <row r="122" spans="3:4">
      <c r="C122" s="118"/>
      <c r="D122" s="119"/>
    </row>
    <row r="123" spans="3:4">
      <c r="C123" s="118"/>
      <c r="D123" s="119"/>
    </row>
    <row r="124" spans="3:4">
      <c r="C124" s="118"/>
      <c r="D124" s="119"/>
    </row>
    <row r="125" spans="3:4">
      <c r="C125" s="118"/>
      <c r="D125" s="119"/>
    </row>
    <row r="126" spans="3:4">
      <c r="C126" s="118"/>
      <c r="D126" s="119"/>
    </row>
    <row r="127" spans="3:4">
      <c r="C127" s="118"/>
      <c r="D127" s="119"/>
    </row>
    <row r="128" spans="3:4">
      <c r="C128" s="118"/>
      <c r="D128" s="119"/>
    </row>
    <row r="129" spans="3:4">
      <c r="C129" s="118"/>
      <c r="D129" s="119"/>
    </row>
    <row r="130" spans="3:4">
      <c r="C130" s="118"/>
      <c r="D130" s="119"/>
    </row>
    <row r="131" spans="3:4">
      <c r="C131" s="118"/>
      <c r="D131" s="119"/>
    </row>
    <row r="132" spans="3:4">
      <c r="C132" s="118"/>
      <c r="D132" s="119"/>
    </row>
    <row r="133" spans="3:4">
      <c r="C133" s="118"/>
      <c r="D133" s="119"/>
    </row>
    <row r="134" spans="3:4">
      <c r="C134" s="118"/>
      <c r="D134" s="119"/>
    </row>
    <row r="135" spans="3:4">
      <c r="C135" s="118"/>
      <c r="D135" s="119"/>
    </row>
    <row r="136" spans="3:4">
      <c r="C136" s="118"/>
      <c r="D136" s="119"/>
    </row>
    <row r="137" spans="3:4">
      <c r="C137" s="118"/>
      <c r="D137" s="119"/>
    </row>
    <row r="138" spans="3:4">
      <c r="C138" s="118"/>
      <c r="D138" s="119"/>
    </row>
    <row r="139" spans="3:4">
      <c r="C139" s="118"/>
      <c r="D139" s="119"/>
    </row>
    <row r="140" spans="3:4">
      <c r="C140" s="118"/>
      <c r="D140" s="119"/>
    </row>
    <row r="141" spans="3:4">
      <c r="C141" s="118"/>
      <c r="D141" s="119"/>
    </row>
    <row r="142" spans="3:4">
      <c r="C142" s="118"/>
      <c r="D142" s="119"/>
    </row>
    <row r="143" spans="3:4">
      <c r="C143" s="118"/>
      <c r="D143" s="119"/>
    </row>
    <row r="144" spans="3:4">
      <c r="C144" s="118"/>
      <c r="D144" s="119"/>
    </row>
    <row r="145" spans="3:4">
      <c r="C145" s="118"/>
      <c r="D145" s="119"/>
    </row>
    <row r="146" spans="3:4">
      <c r="C146" s="118"/>
      <c r="D146" s="119"/>
    </row>
    <row r="147" spans="3:4">
      <c r="C147" s="118"/>
      <c r="D147" s="119"/>
    </row>
    <row r="148" spans="3:4">
      <c r="C148" s="118"/>
      <c r="D148" s="119"/>
    </row>
    <row r="149" spans="3:4">
      <c r="C149" s="118"/>
      <c r="D149" s="119"/>
    </row>
    <row r="150" spans="3:4">
      <c r="C150" s="118"/>
      <c r="D150" s="119"/>
    </row>
    <row r="151" spans="3:4">
      <c r="C151" s="118"/>
      <c r="D151" s="119"/>
    </row>
    <row r="152" spans="3:4">
      <c r="C152" s="118"/>
      <c r="D152" s="119"/>
    </row>
    <row r="153" spans="3:4">
      <c r="C153" s="118"/>
      <c r="D153" s="119"/>
    </row>
    <row r="154" spans="3:4">
      <c r="C154" s="118"/>
      <c r="D154" s="119"/>
    </row>
    <row r="155" spans="3:4">
      <c r="C155" s="118"/>
      <c r="D155" s="119"/>
    </row>
    <row r="156" spans="3:4">
      <c r="C156" s="118"/>
      <c r="D156" s="119"/>
    </row>
    <row r="157" spans="3:4">
      <c r="C157" s="118"/>
      <c r="D157" s="119"/>
    </row>
    <row r="158" spans="3:4">
      <c r="C158" s="118"/>
      <c r="D158" s="119"/>
    </row>
    <row r="159" spans="3:4">
      <c r="C159" s="118"/>
      <c r="D159" s="119"/>
    </row>
    <row r="160" spans="3:4">
      <c r="C160" s="118"/>
      <c r="D160" s="119"/>
    </row>
    <row r="161" spans="3:4">
      <c r="C161" s="118"/>
      <c r="D161" s="119"/>
    </row>
    <row r="162" spans="3:4">
      <c r="C162" s="118"/>
      <c r="D162" s="119"/>
    </row>
    <row r="163" spans="3:4">
      <c r="C163" s="118"/>
      <c r="D163" s="119"/>
    </row>
    <row r="164" spans="3:4">
      <c r="C164" s="118"/>
      <c r="D164" s="119"/>
    </row>
    <row r="165" spans="3:4">
      <c r="C165" s="118"/>
      <c r="D165" s="119"/>
    </row>
    <row r="166" spans="3:4">
      <c r="C166" s="118"/>
      <c r="D166" s="119"/>
    </row>
    <row r="167" spans="3:4">
      <c r="C167" s="118"/>
      <c r="D167" s="119"/>
    </row>
    <row r="168" spans="3:4">
      <c r="C168" s="118"/>
      <c r="D168" s="119"/>
    </row>
    <row r="169" spans="3:4">
      <c r="C169" s="118"/>
      <c r="D169" s="119"/>
    </row>
    <row r="170" spans="3:4">
      <c r="C170" s="118"/>
      <c r="D170" s="119"/>
    </row>
    <row r="171" spans="3:4">
      <c r="C171" s="118"/>
      <c r="D171" s="119"/>
    </row>
    <row r="172" spans="3:4">
      <c r="C172" s="118"/>
      <c r="D172" s="119"/>
    </row>
    <row r="173" spans="3:4">
      <c r="C173" s="118"/>
      <c r="D173" s="119"/>
    </row>
    <row r="174" spans="3:4">
      <c r="C174" s="118"/>
      <c r="D174" s="119"/>
    </row>
    <row r="175" spans="3:4">
      <c r="C175" s="118"/>
      <c r="D175" s="119"/>
    </row>
    <row r="176" spans="3:4">
      <c r="C176" s="118"/>
      <c r="D176" s="119"/>
    </row>
    <row r="177" spans="3:4">
      <c r="C177" s="118"/>
      <c r="D177" s="119"/>
    </row>
    <row r="178" spans="3:4">
      <c r="C178" s="118"/>
      <c r="D178" s="119"/>
    </row>
    <row r="179" spans="3:4">
      <c r="C179" s="118"/>
      <c r="D179" s="119"/>
    </row>
    <row r="180" spans="3:4">
      <c r="C180" s="118"/>
      <c r="D180" s="119"/>
    </row>
    <row r="181" spans="3:4">
      <c r="C181" s="118"/>
      <c r="D181" s="119"/>
    </row>
    <row r="182" spans="3:4">
      <c r="C182" s="118"/>
      <c r="D182" s="119"/>
    </row>
    <row r="183" spans="3:4">
      <c r="C183" s="118"/>
      <c r="D183" s="119"/>
    </row>
    <row r="184" spans="3:4">
      <c r="C184" s="118"/>
      <c r="D184" s="119"/>
    </row>
    <row r="185" spans="3:4">
      <c r="C185" s="118"/>
      <c r="D185" s="119"/>
    </row>
    <row r="186" spans="3:4">
      <c r="C186" s="118"/>
      <c r="D186" s="119"/>
    </row>
    <row r="187" spans="3:4">
      <c r="C187" s="118"/>
      <c r="D187" s="119"/>
    </row>
    <row r="188" spans="3:4">
      <c r="C188" s="118"/>
      <c r="D188" s="119"/>
    </row>
    <row r="189" spans="3:4">
      <c r="C189" s="118"/>
      <c r="D189" s="119"/>
    </row>
    <row r="190" spans="3:4">
      <c r="C190" s="118"/>
      <c r="D190" s="119"/>
    </row>
    <row r="191" spans="3:4">
      <c r="C191" s="118"/>
      <c r="D191" s="119"/>
    </row>
    <row r="192" spans="3:4">
      <c r="C192" s="118"/>
      <c r="D192" s="119"/>
    </row>
    <row r="193" spans="3:4">
      <c r="C193" s="118"/>
      <c r="D193" s="119"/>
    </row>
    <row r="194" spans="3:4">
      <c r="C194" s="118"/>
      <c r="D194" s="119"/>
    </row>
    <row r="195" spans="3:4">
      <c r="C195" s="118"/>
      <c r="D195" s="119"/>
    </row>
    <row r="196" spans="3:4">
      <c r="C196" s="118"/>
      <c r="D196" s="119"/>
    </row>
    <row r="197" spans="3:4">
      <c r="C197" s="118"/>
      <c r="D197" s="119"/>
    </row>
    <row r="198" spans="3:4">
      <c r="C198" s="118"/>
      <c r="D198" s="119"/>
    </row>
    <row r="199" spans="3:4">
      <c r="C199" s="118"/>
      <c r="D199" s="119"/>
    </row>
    <row r="200" spans="3:4">
      <c r="C200" s="118"/>
      <c r="D200" s="119"/>
    </row>
    <row r="201" spans="3:4">
      <c r="C201" s="118"/>
      <c r="D201" s="119"/>
    </row>
    <row r="202" spans="3:4">
      <c r="C202" s="118"/>
      <c r="D202" s="119"/>
    </row>
    <row r="203" spans="3:4">
      <c r="C203" s="118"/>
      <c r="D203" s="119"/>
    </row>
    <row r="204" spans="3:4">
      <c r="C204" s="118"/>
      <c r="D204" s="119"/>
    </row>
    <row r="205" spans="3:4">
      <c r="C205" s="118"/>
      <c r="D205" s="119"/>
    </row>
    <row r="206" spans="3:4">
      <c r="C206" s="118"/>
      <c r="D206" s="119"/>
    </row>
    <row r="207" spans="3:4">
      <c r="C207" s="118"/>
      <c r="D207" s="119"/>
    </row>
    <row r="208" spans="3:4">
      <c r="C208" s="118"/>
      <c r="D208" s="119"/>
    </row>
    <row r="209" spans="3:4">
      <c r="C209" s="118"/>
      <c r="D209" s="119"/>
    </row>
    <row r="210" spans="3:4">
      <c r="C210" s="118"/>
      <c r="D210" s="119"/>
    </row>
    <row r="211" spans="3:4">
      <c r="C211" s="118"/>
      <c r="D211" s="119"/>
    </row>
    <row r="212" spans="3:4">
      <c r="C212" s="118"/>
      <c r="D212" s="119"/>
    </row>
    <row r="213" spans="3:4">
      <c r="C213" s="118"/>
      <c r="D213" s="119"/>
    </row>
    <row r="214" spans="3:4">
      <c r="C214" s="118"/>
      <c r="D214" s="119"/>
    </row>
    <row r="215" spans="3:4">
      <c r="C215" s="118"/>
      <c r="D215" s="119"/>
    </row>
    <row r="216" spans="3:4">
      <c r="C216" s="118"/>
      <c r="D216" s="119"/>
    </row>
    <row r="217" spans="3:4">
      <c r="C217" s="118"/>
      <c r="D217" s="119"/>
    </row>
    <row r="218" spans="3:4">
      <c r="C218" s="118"/>
      <c r="D218" s="119"/>
    </row>
    <row r="219" spans="3:4">
      <c r="C219" s="118"/>
      <c r="D219" s="119"/>
    </row>
    <row r="220" spans="3:4">
      <c r="C220" s="118"/>
      <c r="D220" s="119"/>
    </row>
    <row r="221" spans="3:4">
      <c r="C221" s="118"/>
      <c r="D221" s="119"/>
    </row>
    <row r="222" spans="3:4">
      <c r="C222" s="118"/>
      <c r="D222" s="119"/>
    </row>
    <row r="223" spans="3:4">
      <c r="C223" s="118"/>
      <c r="D223" s="119"/>
    </row>
    <row r="224" spans="3:4">
      <c r="C224" s="118"/>
      <c r="D224" s="119"/>
    </row>
    <row r="225" spans="3:4">
      <c r="C225" s="118"/>
      <c r="D225" s="119"/>
    </row>
    <row r="226" spans="3:4">
      <c r="C226" s="118"/>
      <c r="D226" s="119"/>
    </row>
    <row r="227" spans="3:4">
      <c r="C227" s="118"/>
      <c r="D227" s="119"/>
    </row>
    <row r="228" spans="3:4">
      <c r="C228" s="118"/>
      <c r="D228" s="119"/>
    </row>
    <row r="229" spans="3:4">
      <c r="C229" s="118"/>
      <c r="D229" s="119"/>
    </row>
    <row r="230" spans="3:4">
      <c r="C230" s="118"/>
      <c r="D230" s="119"/>
    </row>
    <row r="231" spans="3:4">
      <c r="C231" s="118"/>
      <c r="D231" s="119"/>
    </row>
    <row r="232" spans="3:4">
      <c r="C232" s="118"/>
      <c r="D232" s="119"/>
    </row>
    <row r="233" spans="3:4">
      <c r="C233" s="118"/>
      <c r="D233" s="119"/>
    </row>
    <row r="234" spans="3:4">
      <c r="C234" s="118"/>
      <c r="D234" s="119"/>
    </row>
    <row r="235" spans="3:4">
      <c r="C235" s="118"/>
      <c r="D235" s="119"/>
    </row>
    <row r="236" spans="3:4">
      <c r="C236" s="118"/>
      <c r="D236" s="119"/>
    </row>
    <row r="237" spans="3:4">
      <c r="C237" s="118"/>
      <c r="D237" s="119"/>
    </row>
    <row r="238" spans="3:4">
      <c r="C238" s="118"/>
      <c r="D238" s="119"/>
    </row>
    <row r="239" spans="3:4">
      <c r="C239" s="120"/>
      <c r="D239" s="121"/>
    </row>
  </sheetData>
  <hyperlinks>
    <hyperlink ref="R7" r:id="rId1" xr:uid="{16528740-6103-714E-88AC-0473242D9F66}"/>
    <hyperlink ref="R8" r:id="rId2" xr:uid="{BD2C8233-339A-3745-9B44-F43488958933}"/>
    <hyperlink ref="R19" r:id="rId3" xr:uid="{2E3957B2-2A38-9248-BBED-5B78574EF6B0}"/>
    <hyperlink ref="R21" r:id="rId4" xr:uid="{AED38EC5-2537-2440-B02A-6D28CACA6126}"/>
    <hyperlink ref="R22" r:id="rId5" xr:uid="{6E2D0A84-956F-944C-9BA2-DDCF727133AB}"/>
    <hyperlink ref="R23" r:id="rId6" xr:uid="{A8F84802-13CA-6F47-910F-E43F4FB0E4B2}"/>
    <hyperlink ref="R24" r:id="rId7" xr:uid="{D3BF06FD-CC64-F34B-AA3E-1ACCD721F93F}"/>
    <hyperlink ref="R25" r:id="rId8" xr:uid="{3A51E1AB-92F5-544B-A20D-DE0AD1ECEE0F}"/>
    <hyperlink ref="R26" r:id="rId9" xr:uid="{53551E65-3D1F-D949-9EC1-C8FD15215D5C}"/>
    <hyperlink ref="R29" r:id="rId10" xr:uid="{3B57CF3B-38C9-854A-AF56-D42038209C35}"/>
    <hyperlink ref="R30" r:id="rId11" xr:uid="{1971FCC9-B01D-8A4B-8EF1-DDC2D0418A0D}"/>
    <hyperlink ref="R32" r:id="rId12" xr:uid="{673907A9-CA75-1B43-9648-68E7F2DC70C8}"/>
    <hyperlink ref="R33" r:id="rId13" xr:uid="{1AD9A1B0-16F6-AF4E-891C-7BA9E3ADF407}"/>
    <hyperlink ref="R37" r:id="rId14" xr:uid="{E7F85B76-081A-F44F-9E6F-DF66AEA1F91D}"/>
    <hyperlink ref="R39" r:id="rId15" xr:uid="{84C01903-6E34-CC45-BA0E-0D073FBE1AD2}"/>
    <hyperlink ref="R40" r:id="rId16" xr:uid="{C3F610C1-189B-2C4C-ACD3-AF88FD8C330B}"/>
    <hyperlink ref="R41" r:id="rId17" xr:uid="{930607B2-F784-3D44-B5E2-CB25D963880F}"/>
    <hyperlink ref="R45" r:id="rId18" xr:uid="{0A7C8751-CE9B-A14A-A2B9-3951280982EE}"/>
    <hyperlink ref="R48" r:id="rId19" xr:uid="{983B1B63-67C0-CE4B-9B1C-A309A8D343A5}"/>
    <hyperlink ref="R49" r:id="rId20" xr:uid="{762C369A-11F5-CC4C-826F-6E91D18072C2}"/>
    <hyperlink ref="R50" r:id="rId21" xr:uid="{62290678-9F77-EA4F-B001-320876D68D80}"/>
    <hyperlink ref="R51" r:id="rId22" xr:uid="{266A0F00-FC3E-EB48-B323-DA53A7CEA72B}"/>
    <hyperlink ref="R52" r:id="rId23" xr:uid="{E47A02E7-06FF-0F46-96D6-36E3500B1EE7}"/>
    <hyperlink ref="R53" r:id="rId24" xr:uid="{DF33E304-5A9D-664C-9803-B54D03454B9E}"/>
    <hyperlink ref="R54" r:id="rId25" xr:uid="{020A7748-EE4A-EB43-87AC-3AB0105DC8D7}"/>
    <hyperlink ref="R55" r:id="rId26" xr:uid="{B6EE1AD3-F2A5-C446-9F5D-1A0A51E77BA6}"/>
    <hyperlink ref="R59" r:id="rId27" xr:uid="{4A97D35E-ACCF-5B49-958F-4C87083567A7}"/>
    <hyperlink ref="R60" r:id="rId28" xr:uid="{CE7B69C2-BB01-C14A-8D34-3C37BDEE2128}"/>
    <hyperlink ref="R63" r:id="rId29" xr:uid="{BC3AB982-762C-4F48-AABD-182C19D2D0C5}"/>
    <hyperlink ref="R64" r:id="rId30" xr:uid="{1A10A30C-8FA7-6B45-9F01-FD90169E08B4}"/>
    <hyperlink ref="R65" r:id="rId31" xr:uid="{7B389115-3DE1-7E41-93C5-E108D7DFD027}"/>
    <hyperlink ref="R9" r:id="rId32" xr:uid="{45B366E8-3FE9-324F-B732-7B77E09CF7C8}"/>
    <hyperlink ref="R10" r:id="rId33" xr:uid="{5C683981-AACA-A541-9563-6E1B9089F3D1}"/>
    <hyperlink ref="R38" r:id="rId34" xr:uid="{044F5EDF-FAA3-CC4E-8008-86DF286CDE3C}"/>
    <hyperlink ref="R27" r:id="rId35" xr:uid="{934D6622-CFB3-084E-BCBD-70994FCC923D}"/>
    <hyperlink ref="R34" r:id="rId36" xr:uid="{431688A7-2881-B94A-90FA-76C77F4ADF75}"/>
    <hyperlink ref="R35" r:id="rId37" xr:uid="{8706083B-58E9-604E-93D5-9009F1612FC0}"/>
    <hyperlink ref="R15" r:id="rId38" xr:uid="{B2FC479C-853B-9A4D-B139-EBCB81C46B38}"/>
    <hyperlink ref="R11" r:id="rId39" xr:uid="{7E02824D-8600-EE4E-A6B9-6F1C526DE424}"/>
    <hyperlink ref="R66" r:id="rId40" xr:uid="{895C98AA-1898-A34B-B722-66F6190BEF04}"/>
    <hyperlink ref="R12" r:id="rId41" xr:uid="{AC5011A0-A8D3-724A-B122-1E08A4EB82DC}"/>
    <hyperlink ref="R14" r:id="rId42" xr:uid="{50213EC7-34FD-FF4A-8179-E23C010A6542}"/>
    <hyperlink ref="R16" r:id="rId43" xr:uid="{8384659A-852C-874E-B9A8-F08CB3AAC3F1}"/>
    <hyperlink ref="R18" r:id="rId44" xr:uid="{67C8237B-E03E-7C46-97A3-5DD698CFF806}"/>
    <hyperlink ref="R20" r:id="rId45" xr:uid="{187EBC76-F3DC-7D4D-9DBF-F41C0BD7A4F7}"/>
    <hyperlink ref="R31" r:id="rId46" xr:uid="{41043C3E-56A5-754B-8BB5-BF9385E8482B}"/>
    <hyperlink ref="R36" r:id="rId47" xr:uid="{0C226CF5-4BB7-D940-BE95-7264FAE4474D}"/>
    <hyperlink ref="R42" r:id="rId48" xr:uid="{E6903BE6-C71F-154F-9440-F1AFA1D5E86D}"/>
    <hyperlink ref="R43" r:id="rId49" xr:uid="{F34982C1-DEDC-A445-8307-FA679530B046}"/>
    <hyperlink ref="R44" r:id="rId50" xr:uid="{97DBE0BA-EEC9-6D4B-8D4B-1E19CF69688A}"/>
    <hyperlink ref="R46" r:id="rId51" xr:uid="{CD8AF9A3-2BA7-124B-910F-60A2B2E04F51}"/>
    <hyperlink ref="R56" r:id="rId52" xr:uid="{2BCEBD49-BC1C-C840-8CFC-7EB4A128B790}"/>
    <hyperlink ref="R17" r:id="rId53" xr:uid="{4BDF9048-B5EE-E14B-8956-0A5298DA65ED}"/>
    <hyperlink ref="R13" r:id="rId54" xr:uid="{52924D27-0D65-4543-B284-0539C1BF855A}"/>
    <hyperlink ref="R47" r:id="rId55" xr:uid="{465E484A-2C7C-E548-B9B6-575D30D6D9D5}"/>
    <hyperlink ref="R57" r:id="rId56" xr:uid="{1353D4DE-20A1-944E-88AD-00B4650EC068}"/>
    <hyperlink ref="R58" r:id="rId57" xr:uid="{5A2812FE-D447-AC47-8449-0EECA24104DA}"/>
    <hyperlink ref="R71" r:id="rId58" xr:uid="{36A58802-7D9B-6747-8E01-8433A96A9C12}"/>
    <hyperlink ref="R78" r:id="rId59" xr:uid="{CFC44A7E-C55C-414F-8305-09298F5965E1}"/>
    <hyperlink ref="R84" r:id="rId60" xr:uid="{C3843485-B791-DC4A-AB45-7AA758A6B2FD}"/>
    <hyperlink ref="R85" r:id="rId61" xr:uid="{E9A600FF-EACC-D84E-8FFC-2C1475E2FA43}"/>
    <hyperlink ref="R90" r:id="rId62" xr:uid="{D342F4B3-352E-FF40-8E48-E434DF573C25}"/>
    <hyperlink ref="R73" r:id="rId63" xr:uid="{5027C955-131B-0440-B121-BB010AFB6268}"/>
    <hyperlink ref="R74" r:id="rId64" xr:uid="{88DC0136-181C-4D4C-BF89-DBF6DC719839}"/>
    <hyperlink ref="R75" r:id="rId65" xr:uid="{EF7E5168-2E82-274B-967D-185583F786A2}"/>
    <hyperlink ref="R76" r:id="rId66" xr:uid="{477E147C-753D-704F-A907-40B71B414727}"/>
    <hyperlink ref="R79" r:id="rId67" xr:uid="{BE34C139-2890-1648-9C6D-BF1DF2CF4DDB}"/>
    <hyperlink ref="R80" r:id="rId68" xr:uid="{31E0BCAF-2CC8-D147-BCA7-C186AEC9E065}"/>
    <hyperlink ref="R86" r:id="rId69" xr:uid="{D49761F7-2B62-074D-A7FF-6292F9E5704C}"/>
    <hyperlink ref="R87" r:id="rId70" xr:uid="{C7C88157-4A22-2C4A-BF4F-12674A14F312}"/>
    <hyperlink ref="R88" r:id="rId71" xr:uid="{04B63878-4263-6149-937E-839D915CD7C3}"/>
    <hyperlink ref="R89" r:id="rId72" xr:uid="{A9180815-5256-F842-B707-97BDAD59CABC}"/>
    <hyperlink ref="R67" r:id="rId73" xr:uid="{D85BD79D-0A3D-284B-B4BC-8C88F46EA560}"/>
    <hyperlink ref="R68" r:id="rId74" xr:uid="{F8B72E3E-D261-0E42-9659-AA5CA1AA9391}"/>
    <hyperlink ref="R69" r:id="rId75" xr:uid="{F27CC977-3545-C046-8806-8D7D1F9C0A02}"/>
    <hyperlink ref="R77" r:id="rId76" xr:uid="{12077A45-288C-1449-8739-863D7F361023}"/>
    <hyperlink ref="R81" r:id="rId77" xr:uid="{4DDA2A41-7CCC-A842-824F-DECDFD73356B}"/>
    <hyperlink ref="R82" r:id="rId78" display="ferzamora1980@gmail.com" xr:uid="{898AAA57-5BB9-3E44-BCB3-4AF9E247823A}"/>
    <hyperlink ref="R83" r:id="rId79" display="ferzamora1980@gmail.com" xr:uid="{3F015FFC-3264-9543-8478-8768AD0AE194}"/>
    <hyperlink ref="R62" r:id="rId80" xr:uid="{0BEA09A4-9B50-DA46-BD87-4AB7E8D1E81D}"/>
    <hyperlink ref="R28" r:id="rId81" xr:uid="{7575DE55-C888-BC4A-86A1-B69C539A8AB4}"/>
    <hyperlink ref="R61" r:id="rId82" xr:uid="{6AA934C4-2C22-0D45-8B8C-3C470A14A43A}"/>
    <hyperlink ref="R70" r:id="rId83" xr:uid="{8D50FE76-2396-A644-8169-5BDBA206C36B}"/>
    <hyperlink ref="R91" r:id="rId84" xr:uid="{13522D23-D92F-514B-BEC2-B19343C790AB}"/>
    <hyperlink ref="R72" r:id="rId85" xr:uid="{2F68A2FB-7A3D-A54E-B79C-3206CF37930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08C3-3C6B-4867-8B42-063AD6B2E8DB}">
  <dimension ref="A2:U58"/>
  <sheetViews>
    <sheetView workbookViewId="0">
      <selection activeCell="K23" sqref="K23"/>
    </sheetView>
  </sheetViews>
  <sheetFormatPr baseColWidth="10" defaultRowHeight="15"/>
  <cols>
    <col min="1" max="1" width="4.1640625" customWidth="1"/>
    <col min="2" max="2" width="11.83203125" customWidth="1"/>
    <col min="3" max="3" width="23.5" customWidth="1"/>
    <col min="4" max="4" width="24.6640625" bestFit="1" customWidth="1"/>
    <col min="5" max="5" width="16.1640625" customWidth="1"/>
    <col min="6" max="6" width="88.5" customWidth="1"/>
    <col min="7" max="7" width="22.66406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4.1640625" customWidth="1"/>
    <col min="14" max="14" width="14.83203125" customWidth="1"/>
    <col min="15" max="15" width="8.1640625" customWidth="1"/>
    <col min="16" max="16" width="20.1640625" customWidth="1"/>
    <col min="17" max="17" width="11.5" customWidth="1"/>
    <col min="18" max="18" width="6" customWidth="1"/>
    <col min="19" max="19" width="25" customWidth="1"/>
    <col min="20" max="20" width="18" customWidth="1"/>
    <col min="21" max="21" width="33.83203125" customWidth="1"/>
  </cols>
  <sheetData>
    <row r="2" spans="1:21" ht="18">
      <c r="C2" s="52"/>
      <c r="D2" s="52"/>
      <c r="E2" s="52"/>
      <c r="F2" s="52"/>
      <c r="G2" s="52"/>
      <c r="H2" s="52"/>
      <c r="I2" s="52"/>
      <c r="J2" s="52"/>
      <c r="K2" s="65"/>
      <c r="L2" s="52"/>
      <c r="M2" s="52"/>
      <c r="N2" s="52"/>
      <c r="O2" s="52"/>
      <c r="P2" s="52"/>
      <c r="Q2" s="52"/>
      <c r="R2" s="52"/>
      <c r="S2" s="52"/>
    </row>
    <row r="3" spans="1:21" ht="18">
      <c r="A3" s="63"/>
      <c r="C3" s="59" t="s">
        <v>0</v>
      </c>
      <c r="D3" s="52"/>
      <c r="E3" s="64"/>
      <c r="F3" s="52"/>
      <c r="G3" s="51"/>
      <c r="H3" s="65"/>
      <c r="I3" s="57"/>
      <c r="J3" s="56"/>
      <c r="K3" s="65"/>
      <c r="L3" s="58"/>
      <c r="M3" s="58"/>
      <c r="N3" s="65"/>
      <c r="O3" s="72"/>
      <c r="P3" s="52"/>
      <c r="Q3" s="52"/>
      <c r="R3" s="52"/>
      <c r="S3" s="52"/>
    </row>
    <row r="4" spans="1:21" ht="18">
      <c r="A4" s="63"/>
      <c r="C4" s="70" t="s">
        <v>1</v>
      </c>
      <c r="D4" s="52"/>
      <c r="E4" s="65"/>
      <c r="F4" s="52"/>
      <c r="G4" s="67"/>
      <c r="H4" s="66"/>
      <c r="I4" s="54"/>
      <c r="J4" s="53" t="s">
        <v>1012</v>
      </c>
      <c r="K4" s="66"/>
      <c r="L4" s="61"/>
      <c r="M4" s="62"/>
      <c r="N4" s="65" t="s">
        <v>1414</v>
      </c>
      <c r="O4" s="72"/>
      <c r="P4" s="60"/>
      <c r="Q4" s="52"/>
      <c r="R4" s="52"/>
      <c r="S4" s="52"/>
    </row>
    <row r="5" spans="1:21" s="3" customFormat="1" ht="58" customHeight="1">
      <c r="A5" s="55"/>
      <c r="B5" s="109" t="s">
        <v>969</v>
      </c>
      <c r="C5" s="109" t="s">
        <v>970</v>
      </c>
      <c r="D5" s="109" t="s">
        <v>971</v>
      </c>
      <c r="E5" s="109" t="s">
        <v>972</v>
      </c>
      <c r="F5" s="124" t="s">
        <v>973</v>
      </c>
      <c r="G5" s="109" t="s">
        <v>974</v>
      </c>
      <c r="H5" s="109" t="s">
        <v>975</v>
      </c>
      <c r="I5" s="109" t="s">
        <v>976</v>
      </c>
      <c r="J5" s="109" t="s">
        <v>977</v>
      </c>
      <c r="K5" s="109" t="s">
        <v>978</v>
      </c>
      <c r="L5" s="125" t="s">
        <v>979</v>
      </c>
      <c r="M5" s="125" t="s">
        <v>980</v>
      </c>
      <c r="N5" s="109" t="s">
        <v>981</v>
      </c>
      <c r="O5" s="126" t="s">
        <v>982</v>
      </c>
      <c r="P5" s="109" t="s">
        <v>983</v>
      </c>
      <c r="Q5" s="109" t="s">
        <v>984</v>
      </c>
      <c r="R5" s="109" t="s">
        <v>20</v>
      </c>
      <c r="S5" s="109" t="s">
        <v>21</v>
      </c>
      <c r="T5" s="109" t="s">
        <v>985</v>
      </c>
      <c r="U5" s="109" t="s">
        <v>986</v>
      </c>
    </row>
    <row r="6" spans="1:21" s="168" customFormat="1" ht="21">
      <c r="A6" s="168">
        <v>1</v>
      </c>
      <c r="B6" s="122">
        <v>45823</v>
      </c>
      <c r="C6" s="122" t="s">
        <v>1157</v>
      </c>
      <c r="D6" s="122" t="s">
        <v>1415</v>
      </c>
      <c r="E6" s="195">
        <v>40466111</v>
      </c>
      <c r="F6" s="219" t="str">
        <f t="shared" ref="F6:F35" si="0">VLOOKUP(E6,PROD,2,FALSE)</f>
        <v>C 910 NEGRA CAMPANA (110V-60HZ) C/KIT</v>
      </c>
      <c r="G6" s="220" t="s">
        <v>1158</v>
      </c>
      <c r="H6" s="144" t="s">
        <v>23</v>
      </c>
      <c r="I6" s="122" t="s">
        <v>1142</v>
      </c>
      <c r="J6" s="122" t="s">
        <v>1432</v>
      </c>
      <c r="K6" s="122">
        <v>45827</v>
      </c>
      <c r="L6" s="122" t="s">
        <v>1041</v>
      </c>
      <c r="M6" s="122" t="s">
        <v>1042</v>
      </c>
      <c r="N6" s="143">
        <v>980157531</v>
      </c>
      <c r="O6" s="221">
        <v>15</v>
      </c>
      <c r="P6" s="122" t="s">
        <v>1433</v>
      </c>
      <c r="Q6" s="122" t="s">
        <v>1142</v>
      </c>
      <c r="R6" s="122"/>
      <c r="S6" s="122" t="str">
        <f>D6</f>
        <v>001-001-000001009</v>
      </c>
      <c r="T6" s="146" t="s">
        <v>1160</v>
      </c>
      <c r="U6" s="222" t="s">
        <v>1159</v>
      </c>
    </row>
    <row r="7" spans="1:21" s="168" customFormat="1" ht="21">
      <c r="A7" s="168">
        <v>2</v>
      </c>
      <c r="B7" s="122">
        <v>45817</v>
      </c>
      <c r="C7" s="122" t="s">
        <v>1166</v>
      </c>
      <c r="D7" s="122" t="s">
        <v>1416</v>
      </c>
      <c r="E7" s="195">
        <v>111000051</v>
      </c>
      <c r="F7" s="219" t="str">
        <f t="shared" si="0"/>
        <v>HLB 8416 "AIR FRY" - HORNO ELEC</v>
      </c>
      <c r="G7" s="220" t="s">
        <v>1305</v>
      </c>
      <c r="H7" s="144" t="s">
        <v>23</v>
      </c>
      <c r="I7" s="122" t="s">
        <v>1142</v>
      </c>
      <c r="J7" s="122" t="s">
        <v>1432</v>
      </c>
      <c r="K7" s="122">
        <v>46192</v>
      </c>
      <c r="L7" s="122" t="s">
        <v>1139</v>
      </c>
      <c r="M7" s="122" t="s">
        <v>1140</v>
      </c>
      <c r="N7" s="143">
        <v>996747976</v>
      </c>
      <c r="O7" s="221">
        <v>25</v>
      </c>
      <c r="P7" s="122" t="s">
        <v>1433</v>
      </c>
      <c r="Q7" s="122" t="s">
        <v>1142</v>
      </c>
      <c r="R7" s="122"/>
      <c r="S7" s="122" t="str">
        <f t="shared" ref="S7:S35" si="1">D7</f>
        <v>001-500-000074126</v>
      </c>
      <c r="T7" s="146" t="s">
        <v>1307</v>
      </c>
      <c r="U7" s="222" t="s">
        <v>1306</v>
      </c>
    </row>
    <row r="8" spans="1:21" s="168" customFormat="1" ht="21">
      <c r="A8" s="168">
        <v>3</v>
      </c>
      <c r="B8" s="122">
        <v>45824</v>
      </c>
      <c r="C8" s="122" t="s">
        <v>1152</v>
      </c>
      <c r="D8" s="122" t="s">
        <v>1417</v>
      </c>
      <c r="E8" s="195">
        <v>40297051</v>
      </c>
      <c r="F8" s="219" t="str">
        <f t="shared" si="0"/>
        <v>COCINA A GAS FS3RS966GGX</v>
      </c>
      <c r="G8" s="223" t="s">
        <v>1161</v>
      </c>
      <c r="H8" s="144" t="s">
        <v>23</v>
      </c>
      <c r="I8" s="122" t="s">
        <v>1142</v>
      </c>
      <c r="J8" s="122" t="s">
        <v>1432</v>
      </c>
      <c r="K8" s="122">
        <v>45827</v>
      </c>
      <c r="L8" s="122" t="s">
        <v>1043</v>
      </c>
      <c r="M8" s="122" t="s">
        <v>1044</v>
      </c>
      <c r="N8" s="143">
        <v>984341604</v>
      </c>
      <c r="O8" s="221">
        <v>29</v>
      </c>
      <c r="P8" s="122" t="s">
        <v>1433</v>
      </c>
      <c r="Q8" s="122" t="s">
        <v>1142</v>
      </c>
      <c r="R8" s="122"/>
      <c r="S8" s="122" t="str">
        <f t="shared" si="1"/>
        <v>040-103-000014150</v>
      </c>
      <c r="T8" s="146" t="s">
        <v>1163</v>
      </c>
      <c r="U8" s="222" t="s">
        <v>1162</v>
      </c>
    </row>
    <row r="9" spans="1:21" s="168" customFormat="1" ht="21">
      <c r="A9" s="168">
        <v>4</v>
      </c>
      <c r="B9" s="122">
        <v>45824</v>
      </c>
      <c r="C9" s="122" t="s">
        <v>1166</v>
      </c>
      <c r="D9" s="122" t="s">
        <v>1418</v>
      </c>
      <c r="E9" s="195">
        <v>111000051</v>
      </c>
      <c r="F9" s="219" t="str">
        <f t="shared" si="0"/>
        <v>HLB 8416 "AIR FRY" - HORNO ELEC</v>
      </c>
      <c r="G9" s="220" t="s">
        <v>1167</v>
      </c>
      <c r="H9" s="144" t="s">
        <v>23</v>
      </c>
      <c r="I9" s="122" t="s">
        <v>1142</v>
      </c>
      <c r="J9" s="122" t="s">
        <v>1432</v>
      </c>
      <c r="K9" s="122">
        <v>45828</v>
      </c>
      <c r="L9" s="122" t="s">
        <v>1047</v>
      </c>
      <c r="M9" s="122" t="s">
        <v>1048</v>
      </c>
      <c r="N9" s="143">
        <v>998133816</v>
      </c>
      <c r="O9" s="221">
        <v>25</v>
      </c>
      <c r="P9" s="122" t="s">
        <v>1433</v>
      </c>
      <c r="Q9" s="122" t="s">
        <v>1142</v>
      </c>
      <c r="R9" s="122"/>
      <c r="S9" s="122" t="str">
        <f t="shared" si="1"/>
        <v>001-500-000079289</v>
      </c>
      <c r="T9" s="146" t="s">
        <v>1169</v>
      </c>
      <c r="U9" s="222" t="s">
        <v>1168</v>
      </c>
    </row>
    <row r="10" spans="1:21" s="168" customFormat="1" ht="21">
      <c r="A10" s="168">
        <v>5</v>
      </c>
      <c r="B10" s="122">
        <v>45826</v>
      </c>
      <c r="C10" s="122" t="s">
        <v>1145</v>
      </c>
      <c r="D10" s="122" t="s">
        <v>1419</v>
      </c>
      <c r="E10" s="195">
        <v>115890043</v>
      </c>
      <c r="F10" s="219" t="str">
        <f t="shared" si="0"/>
        <v>TRITURADOR TRS 520</v>
      </c>
      <c r="G10" s="220" t="s">
        <v>1170</v>
      </c>
      <c r="H10" s="144" t="s">
        <v>23</v>
      </c>
      <c r="I10" s="122" t="s">
        <v>1142</v>
      </c>
      <c r="J10" s="122" t="s">
        <v>1432</v>
      </c>
      <c r="K10" s="122">
        <v>45828</v>
      </c>
      <c r="L10" s="122" t="s">
        <v>1049</v>
      </c>
      <c r="M10" s="122" t="s">
        <v>1050</v>
      </c>
      <c r="N10" s="143">
        <v>980719356</v>
      </c>
      <c r="O10" s="221">
        <v>15</v>
      </c>
      <c r="P10" s="122" t="s">
        <v>1433</v>
      </c>
      <c r="Q10" s="122" t="s">
        <v>1142</v>
      </c>
      <c r="R10" s="122"/>
      <c r="S10" s="122" t="str">
        <f>D10</f>
        <v>043-903-000078603</v>
      </c>
      <c r="T10" s="146" t="s">
        <v>1172</v>
      </c>
      <c r="U10" s="222" t="s">
        <v>1171</v>
      </c>
    </row>
    <row r="11" spans="1:21" s="168" customFormat="1" ht="21">
      <c r="A11" s="168">
        <v>6</v>
      </c>
      <c r="B11" s="122">
        <v>45815</v>
      </c>
      <c r="C11" s="122" t="s">
        <v>1173</v>
      </c>
      <c r="D11" s="122" t="s">
        <v>1420</v>
      </c>
      <c r="E11" s="195">
        <v>111010040</v>
      </c>
      <c r="F11" s="219" t="str">
        <f t="shared" si="0"/>
        <v>HSB 610 NEGRO HORNO ELEC</v>
      </c>
      <c r="G11" s="220" t="s">
        <v>1174</v>
      </c>
      <c r="H11" s="144" t="s">
        <v>23</v>
      </c>
      <c r="I11" s="122" t="s">
        <v>1142</v>
      </c>
      <c r="J11" s="122" t="s">
        <v>1432</v>
      </c>
      <c r="K11" s="122">
        <v>45828</v>
      </c>
      <c r="L11" s="122" t="s">
        <v>1051</v>
      </c>
      <c r="M11" s="122" t="s">
        <v>1052</v>
      </c>
      <c r="N11" s="143">
        <v>995422469</v>
      </c>
      <c r="O11" s="221">
        <v>25</v>
      </c>
      <c r="P11" s="122" t="s">
        <v>1433</v>
      </c>
      <c r="Q11" s="122" t="s">
        <v>1142</v>
      </c>
      <c r="R11" s="122"/>
      <c r="S11" s="122" t="str">
        <f t="shared" si="1"/>
        <v>043-902-000052192</v>
      </c>
      <c r="T11" s="146" t="s">
        <v>1176</v>
      </c>
      <c r="U11" s="222" t="s">
        <v>1175</v>
      </c>
    </row>
    <row r="12" spans="1:21" s="168" customFormat="1" ht="21">
      <c r="A12" s="168">
        <v>8</v>
      </c>
      <c r="B12" s="122">
        <v>45827</v>
      </c>
      <c r="C12" s="122" t="s">
        <v>1173</v>
      </c>
      <c r="D12" s="122" t="s">
        <v>1422</v>
      </c>
      <c r="E12" s="195">
        <v>40466241</v>
      </c>
      <c r="F12" s="219" t="str">
        <f t="shared" si="0"/>
        <v>C 9310 INOX CAMPANA (110V-60HZ) C/KIT</v>
      </c>
      <c r="G12" s="220" t="s">
        <v>1183</v>
      </c>
      <c r="H12" s="144" t="s">
        <v>23</v>
      </c>
      <c r="I12" s="122" t="s">
        <v>1142</v>
      </c>
      <c r="J12" s="122" t="s">
        <v>1432</v>
      </c>
      <c r="K12" s="122">
        <v>45829</v>
      </c>
      <c r="L12" s="122" t="s">
        <v>1057</v>
      </c>
      <c r="M12" s="122" t="s">
        <v>1058</v>
      </c>
      <c r="N12" s="143">
        <v>968139215</v>
      </c>
      <c r="O12" s="221">
        <v>15</v>
      </c>
      <c r="P12" s="122" t="s">
        <v>1433</v>
      </c>
      <c r="Q12" s="122" t="s">
        <v>1142</v>
      </c>
      <c r="R12" s="122"/>
      <c r="S12" s="122" t="str">
        <f t="shared" si="1"/>
        <v>016-902-000513966</v>
      </c>
      <c r="T12" s="146" t="s">
        <v>1185</v>
      </c>
      <c r="U12" s="222" t="s">
        <v>1184</v>
      </c>
    </row>
    <row r="13" spans="1:21" s="168" customFormat="1" ht="21">
      <c r="A13" s="168">
        <v>9</v>
      </c>
      <c r="B13" s="122">
        <v>45784</v>
      </c>
      <c r="C13" s="122" t="s">
        <v>1190</v>
      </c>
      <c r="D13" s="122" t="s">
        <v>1423</v>
      </c>
      <c r="E13" s="195">
        <v>40782127</v>
      </c>
      <c r="F13" s="219" t="str">
        <f t="shared" si="0"/>
        <v>DW8 57 FIM PANELABLE LAVAVAJILLAS</v>
      </c>
      <c r="G13" s="220" t="s">
        <v>1191</v>
      </c>
      <c r="H13" s="144" t="s">
        <v>23</v>
      </c>
      <c r="I13" s="122" t="s">
        <v>1142</v>
      </c>
      <c r="J13" s="122" t="s">
        <v>1432</v>
      </c>
      <c r="K13" s="122">
        <v>45831</v>
      </c>
      <c r="L13" s="122" t="s">
        <v>1060</v>
      </c>
      <c r="M13" s="122" t="s">
        <v>1061</v>
      </c>
      <c r="N13" s="143">
        <v>959466093</v>
      </c>
      <c r="O13" s="221">
        <v>25</v>
      </c>
      <c r="P13" s="122" t="s">
        <v>1433</v>
      </c>
      <c r="Q13" s="122" t="s">
        <v>1142</v>
      </c>
      <c r="R13" s="122"/>
      <c r="S13" s="122" t="str">
        <f t="shared" si="1"/>
        <v>040-103-000313410</v>
      </c>
      <c r="T13" s="146" t="s">
        <v>1193</v>
      </c>
      <c r="U13" s="222" t="s">
        <v>1192</v>
      </c>
    </row>
    <row r="14" spans="1:21" s="168" customFormat="1" ht="21">
      <c r="A14" s="168">
        <v>10</v>
      </c>
      <c r="B14" s="122">
        <v>45834</v>
      </c>
      <c r="C14" s="122" t="s">
        <v>1222</v>
      </c>
      <c r="D14" s="122" t="s">
        <v>1424</v>
      </c>
      <c r="E14" s="195">
        <v>40446712</v>
      </c>
      <c r="F14" s="219" t="str">
        <f t="shared" si="0"/>
        <v>GFH 73 INOX CAMPANA (110V-60HZ) C/KIT</v>
      </c>
      <c r="G14" s="220" t="s">
        <v>1223</v>
      </c>
      <c r="H14" s="144" t="s">
        <v>23</v>
      </c>
      <c r="I14" s="122" t="s">
        <v>1142</v>
      </c>
      <c r="J14" s="122" t="s">
        <v>1432</v>
      </c>
      <c r="K14" s="122">
        <v>45835</v>
      </c>
      <c r="L14" s="122" t="s">
        <v>1081</v>
      </c>
      <c r="M14" s="122" t="s">
        <v>1082</v>
      </c>
      <c r="N14" s="143">
        <v>995465919</v>
      </c>
      <c r="O14" s="221">
        <v>15</v>
      </c>
      <c r="P14" s="122" t="s">
        <v>1433</v>
      </c>
      <c r="Q14" s="122" t="s">
        <v>1142</v>
      </c>
      <c r="R14" s="122"/>
      <c r="S14" s="122" t="str">
        <f t="shared" si="1"/>
        <v>001-101-0000003663</v>
      </c>
      <c r="T14" s="146" t="s">
        <v>1225</v>
      </c>
      <c r="U14" s="222" t="s">
        <v>1224</v>
      </c>
    </row>
    <row r="15" spans="1:21" s="168" customFormat="1" ht="21">
      <c r="A15" s="168">
        <v>7</v>
      </c>
      <c r="B15" s="122">
        <v>45819</v>
      </c>
      <c r="C15" s="122" t="s">
        <v>1173</v>
      </c>
      <c r="D15" s="122" t="s">
        <v>1421</v>
      </c>
      <c r="E15" s="195">
        <v>112570126</v>
      </c>
      <c r="F15" s="219" t="str">
        <f t="shared" ref="F15" si="2">VLOOKUP(E15,PROD,2,FALSE)</f>
        <v>JZC 96324 ABB BK (LAT) COCINA MIXTA GAS - INDUCCION (40213042)</v>
      </c>
      <c r="G15" s="220" t="s">
        <v>1180</v>
      </c>
      <c r="H15" s="144" t="s">
        <v>23</v>
      </c>
      <c r="I15" s="122" t="s">
        <v>1142</v>
      </c>
      <c r="J15" s="122" t="s">
        <v>1432</v>
      </c>
      <c r="K15" s="122">
        <v>45835</v>
      </c>
      <c r="L15" s="122" t="s">
        <v>1055</v>
      </c>
      <c r="M15" s="122" t="s">
        <v>1056</v>
      </c>
      <c r="N15" s="143">
        <v>993192807</v>
      </c>
      <c r="O15" s="221">
        <v>29</v>
      </c>
      <c r="P15" s="122" t="s">
        <v>1433</v>
      </c>
      <c r="Q15" s="122" t="s">
        <v>1142</v>
      </c>
      <c r="R15" s="122"/>
      <c r="S15" s="122" t="str">
        <f t="shared" ref="S15" si="3">D15</f>
        <v>043-901-000008111</v>
      </c>
      <c r="T15" s="146" t="s">
        <v>1182</v>
      </c>
      <c r="U15" s="222" t="s">
        <v>1181</v>
      </c>
    </row>
    <row r="16" spans="1:21" s="168" customFormat="1" ht="21">
      <c r="A16" s="168">
        <v>11</v>
      </c>
      <c r="B16" s="122">
        <v>45834</v>
      </c>
      <c r="C16" s="122" t="s">
        <v>1186</v>
      </c>
      <c r="D16" s="122" t="s">
        <v>1425</v>
      </c>
      <c r="E16" s="195">
        <v>112500049</v>
      </c>
      <c r="F16" s="219" t="str">
        <f t="shared" si="0"/>
        <v>IZS 86630 MST COCINA INDUCCION</v>
      </c>
      <c r="G16" s="220" t="s">
        <v>1239</v>
      </c>
      <c r="H16" s="144" t="s">
        <v>23</v>
      </c>
      <c r="I16" s="122" t="s">
        <v>1142</v>
      </c>
      <c r="J16" s="122" t="s">
        <v>1432</v>
      </c>
      <c r="K16" s="122">
        <v>45836</v>
      </c>
      <c r="L16" s="122" t="s">
        <v>1089</v>
      </c>
      <c r="M16" s="122" t="s">
        <v>1090</v>
      </c>
      <c r="N16" s="143">
        <v>999516651</v>
      </c>
      <c r="O16" s="221">
        <v>25</v>
      </c>
      <c r="P16" s="122" t="s">
        <v>1433</v>
      </c>
      <c r="Q16" s="122" t="s">
        <v>1142</v>
      </c>
      <c r="R16" s="122"/>
      <c r="S16" s="122" t="str">
        <f t="shared" si="1"/>
        <v>006-002-000158219</v>
      </c>
      <c r="T16" s="146" t="s">
        <v>1241</v>
      </c>
      <c r="U16" s="222" t="s">
        <v>1240</v>
      </c>
    </row>
    <row r="17" spans="1:21" s="168" customFormat="1" ht="21">
      <c r="A17" s="168">
        <v>12</v>
      </c>
      <c r="B17" s="122">
        <v>45829</v>
      </c>
      <c r="C17" s="122" t="s">
        <v>1173</v>
      </c>
      <c r="D17" s="122" t="s">
        <v>1426</v>
      </c>
      <c r="E17" s="195">
        <v>111000051</v>
      </c>
      <c r="F17" s="219" t="str">
        <f t="shared" si="0"/>
        <v>HLB 8416 "AIR FRY" - HORNO ELEC</v>
      </c>
      <c r="G17" s="220" t="s">
        <v>1253</v>
      </c>
      <c r="H17" s="144" t="s">
        <v>23</v>
      </c>
      <c r="I17" s="122" t="s">
        <v>1142</v>
      </c>
      <c r="J17" s="122" t="s">
        <v>1432</v>
      </c>
      <c r="K17" s="122">
        <v>45839</v>
      </c>
      <c r="L17" s="122" t="s">
        <v>1101</v>
      </c>
      <c r="M17" s="122" t="s">
        <v>1058</v>
      </c>
      <c r="N17" s="143">
        <v>995509326</v>
      </c>
      <c r="O17" s="221">
        <v>25</v>
      </c>
      <c r="P17" s="122" t="s">
        <v>1433</v>
      </c>
      <c r="Q17" s="122" t="s">
        <v>1142</v>
      </c>
      <c r="R17" s="122"/>
      <c r="S17" s="122" t="str">
        <f t="shared" si="1"/>
        <v>043-903-000079297</v>
      </c>
      <c r="T17" s="146" t="s">
        <v>1255</v>
      </c>
      <c r="U17" s="222" t="s">
        <v>1254</v>
      </c>
    </row>
    <row r="18" spans="1:21" s="168" customFormat="1" ht="21">
      <c r="A18" s="168">
        <v>13</v>
      </c>
      <c r="B18" s="122">
        <v>45832</v>
      </c>
      <c r="C18" s="122" t="s">
        <v>1173</v>
      </c>
      <c r="D18" s="122" t="s">
        <v>1427</v>
      </c>
      <c r="E18" s="195">
        <v>40584202</v>
      </c>
      <c r="F18" s="219" t="str">
        <f t="shared" si="0"/>
        <v>ML 820 BIS - MICROONDAS</v>
      </c>
      <c r="G18" s="220" t="s">
        <v>1256</v>
      </c>
      <c r="H18" s="144" t="s">
        <v>23</v>
      </c>
      <c r="I18" s="122" t="s">
        <v>1142</v>
      </c>
      <c r="J18" s="122" t="s">
        <v>1432</v>
      </c>
      <c r="K18" s="122">
        <v>45839</v>
      </c>
      <c r="L18" s="122" t="s">
        <v>1102</v>
      </c>
      <c r="M18" s="122" t="s">
        <v>1103</v>
      </c>
      <c r="N18" s="143">
        <v>992819130</v>
      </c>
      <c r="O18" s="221">
        <v>25</v>
      </c>
      <c r="P18" s="122" t="s">
        <v>1433</v>
      </c>
      <c r="Q18" s="122" t="s">
        <v>1142</v>
      </c>
      <c r="R18" s="122"/>
      <c r="S18" s="122" t="str">
        <f t="shared" si="1"/>
        <v>093-905-000080505</v>
      </c>
      <c r="T18" s="146" t="s">
        <v>1258</v>
      </c>
      <c r="U18" s="222" t="s">
        <v>1257</v>
      </c>
    </row>
    <row r="19" spans="1:21" s="168" customFormat="1" ht="21">
      <c r="A19" s="168">
        <v>14</v>
      </c>
      <c r="B19" s="122">
        <v>45775</v>
      </c>
      <c r="C19" s="122" t="s">
        <v>1166</v>
      </c>
      <c r="D19" s="122" t="s">
        <v>1428</v>
      </c>
      <c r="E19" s="195">
        <v>40446712</v>
      </c>
      <c r="F19" s="219" t="str">
        <f t="shared" si="0"/>
        <v>GFH 73 INOX CAMPANA (110V-60HZ) C/KIT</v>
      </c>
      <c r="G19" s="220" t="s">
        <v>1259</v>
      </c>
      <c r="H19" s="144" t="s">
        <v>23</v>
      </c>
      <c r="I19" s="122" t="s">
        <v>1142</v>
      </c>
      <c r="J19" s="122" t="s">
        <v>1432</v>
      </c>
      <c r="K19" s="122">
        <v>45839</v>
      </c>
      <c r="L19" s="122" t="s">
        <v>1104</v>
      </c>
      <c r="M19" s="122" t="s">
        <v>1105</v>
      </c>
      <c r="N19" s="143">
        <v>984487440</v>
      </c>
      <c r="O19" s="221">
        <v>15</v>
      </c>
      <c r="P19" s="122" t="s">
        <v>1433</v>
      </c>
      <c r="Q19" s="122" t="s">
        <v>1142</v>
      </c>
      <c r="R19" s="122"/>
      <c r="S19" s="122" t="str">
        <f t="shared" si="1"/>
        <v>001-500-000072835</v>
      </c>
      <c r="T19" s="146" t="s">
        <v>1261</v>
      </c>
      <c r="U19" s="222" t="s">
        <v>1260</v>
      </c>
    </row>
    <row r="20" spans="1:21" s="168" customFormat="1" ht="21">
      <c r="A20" s="168">
        <v>15</v>
      </c>
      <c r="B20" s="122">
        <v>45837</v>
      </c>
      <c r="C20" s="122" t="s">
        <v>1173</v>
      </c>
      <c r="D20" s="122" t="s">
        <v>1429</v>
      </c>
      <c r="E20" s="195">
        <v>40467305</v>
      </c>
      <c r="F20" s="219" t="str">
        <f t="shared" si="0"/>
        <v>C 710 NEGRA CAMPANA (110V-60HZ) C/KIT</v>
      </c>
      <c r="G20" s="220" t="s">
        <v>1264</v>
      </c>
      <c r="H20" s="144" t="s">
        <v>23</v>
      </c>
      <c r="I20" s="122" t="s">
        <v>1142</v>
      </c>
      <c r="J20" s="122" t="s">
        <v>1432</v>
      </c>
      <c r="K20" s="122">
        <v>45840</v>
      </c>
      <c r="L20" s="122" t="s">
        <v>1108</v>
      </c>
      <c r="M20" s="122" t="s">
        <v>1092</v>
      </c>
      <c r="N20" s="143">
        <v>998527264</v>
      </c>
      <c r="O20" s="221">
        <v>15</v>
      </c>
      <c r="P20" s="122" t="s">
        <v>1433</v>
      </c>
      <c r="Q20" s="122" t="s">
        <v>1142</v>
      </c>
      <c r="R20" s="122"/>
      <c r="S20" s="122" t="str">
        <f t="shared" si="1"/>
        <v>016-907-000289717</v>
      </c>
      <c r="T20" s="146" t="s">
        <v>1266</v>
      </c>
      <c r="U20" s="222" t="s">
        <v>1265</v>
      </c>
    </row>
    <row r="21" spans="1:21" s="168" customFormat="1" ht="21">
      <c r="A21" s="168">
        <v>17</v>
      </c>
      <c r="B21" s="122">
        <v>45843</v>
      </c>
      <c r="C21" s="122" t="s">
        <v>1166</v>
      </c>
      <c r="D21" s="122" t="s">
        <v>1431</v>
      </c>
      <c r="E21" s="195">
        <v>40466241</v>
      </c>
      <c r="F21" s="219" t="str">
        <f t="shared" si="0"/>
        <v>C 9310 INOX CAMPANA (110V-60HZ) C/KIT</v>
      </c>
      <c r="G21" s="220" t="s">
        <v>1287</v>
      </c>
      <c r="H21" s="144" t="s">
        <v>23</v>
      </c>
      <c r="I21" s="122" t="s">
        <v>1142</v>
      </c>
      <c r="J21" s="122" t="s">
        <v>1432</v>
      </c>
      <c r="K21" s="122">
        <v>45845</v>
      </c>
      <c r="L21" s="122" t="s">
        <v>1128</v>
      </c>
      <c r="M21" s="122" t="s">
        <v>1129</v>
      </c>
      <c r="N21" s="143">
        <v>984107021</v>
      </c>
      <c r="O21" s="221">
        <v>15</v>
      </c>
      <c r="P21" s="122" t="s">
        <v>1433</v>
      </c>
      <c r="Q21" s="122" t="s">
        <v>1142</v>
      </c>
      <c r="R21" s="122"/>
      <c r="S21" s="122" t="str">
        <f t="shared" si="1"/>
        <v>001-500-000074780</v>
      </c>
      <c r="T21" s="146" t="s">
        <v>1289</v>
      </c>
      <c r="U21" s="222" t="s">
        <v>1288</v>
      </c>
    </row>
    <row r="22" spans="1:21" s="168" customFormat="1" ht="21">
      <c r="A22" s="168">
        <v>18</v>
      </c>
      <c r="B22" s="196">
        <v>45846</v>
      </c>
      <c r="C22" s="190" t="s">
        <v>1173</v>
      </c>
      <c r="D22" s="190" t="s">
        <v>1464</v>
      </c>
      <c r="E22" s="195">
        <v>40461506</v>
      </c>
      <c r="F22" s="219" t="str">
        <f t="shared" si="0"/>
        <v>C 610 BLANCA CAMPANA (110V-60HZ) C/KIT</v>
      </c>
      <c r="G22" s="195" t="s">
        <v>1465</v>
      </c>
      <c r="H22" s="144" t="s">
        <v>23</v>
      </c>
      <c r="I22" s="122" t="s">
        <v>1142</v>
      </c>
      <c r="J22" s="122" t="s">
        <v>1432</v>
      </c>
      <c r="K22" s="196">
        <v>45847</v>
      </c>
      <c r="L22" s="190" t="s">
        <v>1466</v>
      </c>
      <c r="M22" s="190" t="s">
        <v>1467</v>
      </c>
      <c r="N22" s="190">
        <v>987150330</v>
      </c>
      <c r="O22" s="224">
        <v>15</v>
      </c>
      <c r="P22" s="122" t="s">
        <v>1433</v>
      </c>
      <c r="Q22" s="122" t="s">
        <v>1142</v>
      </c>
      <c r="R22" s="122"/>
      <c r="S22" s="190" t="str">
        <f t="shared" si="1"/>
        <v>016-902-000516311</v>
      </c>
      <c r="T22" s="146" t="s">
        <v>1468</v>
      </c>
      <c r="U22" s="225" t="s">
        <v>1469</v>
      </c>
    </row>
    <row r="23" spans="1:21" s="168" customFormat="1" ht="21">
      <c r="A23" s="168">
        <v>16</v>
      </c>
      <c r="B23" s="122">
        <v>45828</v>
      </c>
      <c r="C23" s="122" t="s">
        <v>1152</v>
      </c>
      <c r="D23" s="122" t="s">
        <v>1430</v>
      </c>
      <c r="E23" s="195">
        <v>40297052</v>
      </c>
      <c r="F23" s="219" t="str">
        <f t="shared" ref="F23" si="4">VLOOKUP(E23,PROD,2,FALSE)</f>
        <v>COCINA A GAS FS3RL966GGX</v>
      </c>
      <c r="G23" s="223">
        <v>325001730</v>
      </c>
      <c r="H23" s="144" t="s">
        <v>23</v>
      </c>
      <c r="I23" s="122" t="s">
        <v>1142</v>
      </c>
      <c r="J23" s="122" t="s">
        <v>1432</v>
      </c>
      <c r="K23" s="122">
        <v>45848</v>
      </c>
      <c r="L23" s="122" t="s">
        <v>1126</v>
      </c>
      <c r="M23" s="122" t="s">
        <v>1127</v>
      </c>
      <c r="N23" s="143">
        <v>98277368</v>
      </c>
      <c r="O23" s="221">
        <v>29</v>
      </c>
      <c r="P23" s="122" t="s">
        <v>1433</v>
      </c>
      <c r="Q23" s="122" t="s">
        <v>1142</v>
      </c>
      <c r="R23" s="122"/>
      <c r="S23" s="122" t="str">
        <f t="shared" ref="S23" si="5">D23</f>
        <v>044-013-000021254</v>
      </c>
      <c r="T23" s="146" t="s">
        <v>1286</v>
      </c>
      <c r="U23" s="222" t="s">
        <v>1285</v>
      </c>
    </row>
    <row r="24" spans="1:21" s="168" customFormat="1" ht="21">
      <c r="A24" s="168">
        <v>19</v>
      </c>
      <c r="B24" s="196">
        <v>45786</v>
      </c>
      <c r="C24" s="190" t="s">
        <v>1166</v>
      </c>
      <c r="D24" s="190" t="s">
        <v>1470</v>
      </c>
      <c r="E24" s="195">
        <v>112580027</v>
      </c>
      <c r="F24" s="219" t="str">
        <f t="shared" si="0"/>
        <v>GBC 75030 KBB CRISTAL COCINA GAS</v>
      </c>
      <c r="G24" s="195" t="s">
        <v>1471</v>
      </c>
      <c r="H24" s="144" t="s">
        <v>23</v>
      </c>
      <c r="I24" s="122" t="s">
        <v>1142</v>
      </c>
      <c r="J24" s="122" t="s">
        <v>1432</v>
      </c>
      <c r="K24" s="196">
        <v>45849</v>
      </c>
      <c r="L24" s="190" t="s">
        <v>1472</v>
      </c>
      <c r="M24" s="190" t="s">
        <v>1037</v>
      </c>
      <c r="N24" s="190">
        <v>983393222</v>
      </c>
      <c r="O24" s="224">
        <v>29</v>
      </c>
      <c r="P24" s="122" t="s">
        <v>1433</v>
      </c>
      <c r="Q24" s="122" t="s">
        <v>1142</v>
      </c>
      <c r="R24" s="122"/>
      <c r="S24" s="190" t="str">
        <f t="shared" si="1"/>
        <v>001-502-000000271</v>
      </c>
      <c r="T24" s="146" t="s">
        <v>1473</v>
      </c>
      <c r="U24" s="225" t="s">
        <v>1474</v>
      </c>
    </row>
    <row r="25" spans="1:21" s="168" customFormat="1" ht="21">
      <c r="A25" s="168">
        <v>20</v>
      </c>
      <c r="B25" s="196">
        <v>45848</v>
      </c>
      <c r="C25" s="190" t="s">
        <v>1173</v>
      </c>
      <c r="D25" s="190" t="s">
        <v>1475</v>
      </c>
      <c r="E25" s="195">
        <v>40466241</v>
      </c>
      <c r="F25" s="219" t="str">
        <f t="shared" si="0"/>
        <v>C 9310 INOX CAMPANA (110V-60HZ) C/KIT</v>
      </c>
      <c r="G25" s="195" t="s">
        <v>1476</v>
      </c>
      <c r="H25" s="144" t="s">
        <v>23</v>
      </c>
      <c r="I25" s="122" t="s">
        <v>1142</v>
      </c>
      <c r="J25" s="122" t="s">
        <v>1432</v>
      </c>
      <c r="K25" s="196">
        <v>45849</v>
      </c>
      <c r="L25" s="190" t="s">
        <v>1477</v>
      </c>
      <c r="M25" s="190" t="s">
        <v>1478</v>
      </c>
      <c r="N25" s="190">
        <v>998060605</v>
      </c>
      <c r="O25" s="224">
        <v>15</v>
      </c>
      <c r="P25" s="122" t="s">
        <v>1433</v>
      </c>
      <c r="Q25" s="122" t="s">
        <v>1142</v>
      </c>
      <c r="R25" s="122"/>
      <c r="S25" s="190" t="str">
        <f t="shared" si="1"/>
        <v>093-902-000056064</v>
      </c>
      <c r="T25" s="146" t="s">
        <v>1479</v>
      </c>
      <c r="U25" s="226" t="s">
        <v>1480</v>
      </c>
    </row>
    <row r="26" spans="1:21" s="168" customFormat="1" ht="21">
      <c r="A26" s="168">
        <v>21</v>
      </c>
      <c r="B26" s="196">
        <v>45843</v>
      </c>
      <c r="C26" s="190" t="s">
        <v>1173</v>
      </c>
      <c r="D26" s="190" t="s">
        <v>1481</v>
      </c>
      <c r="E26" s="195">
        <v>41560041</v>
      </c>
      <c r="F26" s="219" t="str">
        <f t="shared" si="0"/>
        <v>HBB 535 INOX HORNO ELEC</v>
      </c>
      <c r="G26" s="195" t="s">
        <v>1482</v>
      </c>
      <c r="H26" s="144" t="s">
        <v>23</v>
      </c>
      <c r="I26" s="122" t="s">
        <v>1142</v>
      </c>
      <c r="J26" s="122" t="s">
        <v>1432</v>
      </c>
      <c r="K26" s="196">
        <v>45852</v>
      </c>
      <c r="L26" s="190" t="s">
        <v>1483</v>
      </c>
      <c r="M26" s="190" t="s">
        <v>1484</v>
      </c>
      <c r="N26" s="190">
        <v>984169601</v>
      </c>
      <c r="O26" s="224">
        <v>25</v>
      </c>
      <c r="P26" s="122" t="s">
        <v>1433</v>
      </c>
      <c r="Q26" s="122" t="s">
        <v>1142</v>
      </c>
      <c r="R26" s="122"/>
      <c r="S26" s="190" t="str">
        <f t="shared" si="1"/>
        <v>016-907-000260525</v>
      </c>
      <c r="T26" s="146" t="s">
        <v>1485</v>
      </c>
      <c r="U26" s="226" t="s">
        <v>1486</v>
      </c>
    </row>
    <row r="27" spans="1:21" s="168" customFormat="1" ht="21">
      <c r="A27" s="168">
        <v>22</v>
      </c>
      <c r="B27" s="196">
        <v>45838</v>
      </c>
      <c r="C27" s="190" t="s">
        <v>1186</v>
      </c>
      <c r="D27" s="190" t="s">
        <v>1487</v>
      </c>
      <c r="E27" s="195">
        <v>112580027</v>
      </c>
      <c r="F27" s="219" t="str">
        <f t="shared" si="0"/>
        <v>GBC 75030 KBB CRISTAL COCINA GAS</v>
      </c>
      <c r="G27" s="195" t="s">
        <v>1488</v>
      </c>
      <c r="H27" s="144" t="s">
        <v>23</v>
      </c>
      <c r="I27" s="122" t="s">
        <v>1142</v>
      </c>
      <c r="J27" s="122" t="s">
        <v>1432</v>
      </c>
      <c r="K27" s="196">
        <v>45852</v>
      </c>
      <c r="L27" s="190" t="s">
        <v>1489</v>
      </c>
      <c r="M27" s="190" t="s">
        <v>1490</v>
      </c>
      <c r="N27" s="190">
        <v>998401375</v>
      </c>
      <c r="O27" s="224">
        <v>29</v>
      </c>
      <c r="P27" s="122" t="s">
        <v>1433</v>
      </c>
      <c r="Q27" s="122" t="s">
        <v>1142</v>
      </c>
      <c r="R27" s="122"/>
      <c r="S27" s="190" t="str">
        <f t="shared" si="1"/>
        <v>006-002-000158241</v>
      </c>
      <c r="T27" s="146" t="s">
        <v>1491</v>
      </c>
      <c r="U27" s="226" t="s">
        <v>1492</v>
      </c>
    </row>
    <row r="28" spans="1:21" s="168" customFormat="1" ht="21">
      <c r="A28" s="168">
        <v>23</v>
      </c>
      <c r="B28" s="196">
        <v>45842</v>
      </c>
      <c r="C28" s="190" t="s">
        <v>1152</v>
      </c>
      <c r="D28" s="190" t="s">
        <v>1493</v>
      </c>
      <c r="E28" s="195">
        <v>40466241</v>
      </c>
      <c r="F28" s="219" t="str">
        <f t="shared" si="0"/>
        <v>C 9310 INOX CAMPANA (110V-60HZ) C/KIT</v>
      </c>
      <c r="G28" s="195" t="s">
        <v>1494</v>
      </c>
      <c r="H28" s="144" t="s">
        <v>23</v>
      </c>
      <c r="I28" s="122" t="s">
        <v>1142</v>
      </c>
      <c r="J28" s="122" t="s">
        <v>1432</v>
      </c>
      <c r="K28" s="196">
        <v>45852</v>
      </c>
      <c r="L28" s="190" t="s">
        <v>1495</v>
      </c>
      <c r="M28" s="190" t="s">
        <v>1496</v>
      </c>
      <c r="N28" s="190">
        <v>724109046</v>
      </c>
      <c r="O28" s="224">
        <v>15</v>
      </c>
      <c r="P28" s="122" t="s">
        <v>1433</v>
      </c>
      <c r="Q28" s="122" t="s">
        <v>1142</v>
      </c>
      <c r="R28" s="122"/>
      <c r="S28" s="190" t="str">
        <f t="shared" si="1"/>
        <v>040-103-000014393</v>
      </c>
      <c r="T28" s="146" t="s">
        <v>1497</v>
      </c>
      <c r="U28" s="226" t="s">
        <v>1498</v>
      </c>
    </row>
    <row r="29" spans="1:21" s="168" customFormat="1" ht="21">
      <c r="A29" s="168">
        <v>24</v>
      </c>
      <c r="B29" s="196">
        <v>45848</v>
      </c>
      <c r="C29" s="190" t="s">
        <v>1499</v>
      </c>
      <c r="D29" s="190" t="s">
        <v>1500</v>
      </c>
      <c r="E29" s="195">
        <v>40446712</v>
      </c>
      <c r="F29" s="219" t="str">
        <f t="shared" si="0"/>
        <v>GFH 73 INOX CAMPANA (110V-60HZ) C/KIT</v>
      </c>
      <c r="G29" s="195" t="s">
        <v>1501</v>
      </c>
      <c r="H29" s="144" t="s">
        <v>23</v>
      </c>
      <c r="I29" s="122" t="s">
        <v>1142</v>
      </c>
      <c r="J29" s="122" t="s">
        <v>1432</v>
      </c>
      <c r="K29" s="196">
        <v>45853</v>
      </c>
      <c r="L29" s="190" t="s">
        <v>1502</v>
      </c>
      <c r="M29" s="190" t="s">
        <v>1503</v>
      </c>
      <c r="N29" s="190">
        <v>72888566</v>
      </c>
      <c r="O29" s="224">
        <v>15</v>
      </c>
      <c r="P29" s="122" t="s">
        <v>1433</v>
      </c>
      <c r="Q29" s="122" t="s">
        <v>1142</v>
      </c>
      <c r="R29" s="122"/>
      <c r="S29" s="190" t="str">
        <f t="shared" si="1"/>
        <v>001-101-000003681</v>
      </c>
      <c r="T29" s="146" t="s">
        <v>1504</v>
      </c>
      <c r="U29" s="226" t="s">
        <v>1505</v>
      </c>
    </row>
    <row r="30" spans="1:21" s="168" customFormat="1" ht="21">
      <c r="A30" s="168">
        <v>25</v>
      </c>
      <c r="B30" s="196">
        <v>45842</v>
      </c>
      <c r="C30" s="190" t="s">
        <v>1166</v>
      </c>
      <c r="D30" s="190" t="s">
        <v>1576</v>
      </c>
      <c r="E30" s="195">
        <v>111020071</v>
      </c>
      <c r="F30" s="219" t="str">
        <f t="shared" si="0"/>
        <v>HBB 510 BK 220-240  50/60 HORNO ELEC</v>
      </c>
      <c r="G30" s="195" t="s">
        <v>1577</v>
      </c>
      <c r="H30" s="144" t="s">
        <v>23</v>
      </c>
      <c r="I30" s="122" t="s">
        <v>1142</v>
      </c>
      <c r="J30" s="122" t="s">
        <v>1432</v>
      </c>
      <c r="K30" s="196">
        <v>45854</v>
      </c>
      <c r="L30" s="190" t="s">
        <v>1578</v>
      </c>
      <c r="M30" s="190" t="s">
        <v>1579</v>
      </c>
      <c r="N30" s="190">
        <v>979245788</v>
      </c>
      <c r="O30" s="224">
        <v>25</v>
      </c>
      <c r="P30" s="122" t="s">
        <v>1433</v>
      </c>
      <c r="Q30" s="122" t="s">
        <v>1142</v>
      </c>
      <c r="R30" s="122"/>
      <c r="S30" s="190" t="str">
        <f t="shared" si="1"/>
        <v>001-500-000074746</v>
      </c>
      <c r="T30" s="146" t="s">
        <v>1580</v>
      </c>
      <c r="U30" s="227" t="s">
        <v>1581</v>
      </c>
    </row>
    <row r="31" spans="1:21" s="168" customFormat="1" ht="21">
      <c r="A31" s="168">
        <v>26</v>
      </c>
      <c r="B31" s="196">
        <v>45852</v>
      </c>
      <c r="C31" s="190" t="s">
        <v>1173</v>
      </c>
      <c r="D31" s="190" t="s">
        <v>1582</v>
      </c>
      <c r="E31" s="195">
        <v>111000050</v>
      </c>
      <c r="F31" s="219" t="str">
        <f t="shared" si="0"/>
        <v>HLB 8510 P "MAESTRO PIZZA"</v>
      </c>
      <c r="G31" s="195" t="s">
        <v>1583</v>
      </c>
      <c r="H31" s="144" t="s">
        <v>23</v>
      </c>
      <c r="I31" s="122" t="s">
        <v>1142</v>
      </c>
      <c r="J31" s="122" t="s">
        <v>1432</v>
      </c>
      <c r="K31" s="196">
        <v>45854</v>
      </c>
      <c r="L31" s="190" t="s">
        <v>1584</v>
      </c>
      <c r="M31" s="190" t="s">
        <v>1585</v>
      </c>
      <c r="N31" s="190">
        <v>983160221</v>
      </c>
      <c r="O31" s="224">
        <v>25</v>
      </c>
      <c r="P31" s="122" t="s">
        <v>1433</v>
      </c>
      <c r="Q31" s="122" t="s">
        <v>1142</v>
      </c>
      <c r="R31" s="122"/>
      <c r="S31" s="190" t="str">
        <f t="shared" si="1"/>
        <v>043-905-000082709</v>
      </c>
      <c r="T31" s="146" t="s">
        <v>1586</v>
      </c>
      <c r="U31" s="227" t="s">
        <v>1587</v>
      </c>
    </row>
    <row r="32" spans="1:21" s="168" customFormat="1" ht="21">
      <c r="A32" s="168">
        <v>27</v>
      </c>
      <c r="B32" s="196">
        <v>45830</v>
      </c>
      <c r="C32" s="190" t="s">
        <v>1173</v>
      </c>
      <c r="D32" s="190" t="s">
        <v>1588</v>
      </c>
      <c r="E32" s="195">
        <v>40467305</v>
      </c>
      <c r="F32" s="219" t="str">
        <f t="shared" si="0"/>
        <v>C 710 NEGRA CAMPANA (110V-60HZ) C/KIT</v>
      </c>
      <c r="G32" s="195" t="s">
        <v>1589</v>
      </c>
      <c r="H32" s="144" t="s">
        <v>23</v>
      </c>
      <c r="I32" s="122" t="s">
        <v>1142</v>
      </c>
      <c r="J32" s="122" t="s">
        <v>1432</v>
      </c>
      <c r="K32" s="196">
        <v>45855</v>
      </c>
      <c r="L32" s="190" t="s">
        <v>1590</v>
      </c>
      <c r="M32" s="190" t="s">
        <v>1591</v>
      </c>
      <c r="N32" s="190">
        <v>984364527</v>
      </c>
      <c r="O32" s="224">
        <v>15</v>
      </c>
      <c r="P32" s="122" t="s">
        <v>1433</v>
      </c>
      <c r="Q32" s="122" t="s">
        <v>1142</v>
      </c>
      <c r="R32" s="122"/>
      <c r="S32" s="190" t="str">
        <f t="shared" si="1"/>
        <v>043-903-000079347</v>
      </c>
      <c r="T32" s="146" t="s">
        <v>1592</v>
      </c>
      <c r="U32" s="227" t="s">
        <v>1593</v>
      </c>
    </row>
    <row r="33" spans="1:21" s="168" customFormat="1" ht="21">
      <c r="A33" s="168">
        <v>28</v>
      </c>
      <c r="B33" s="196">
        <v>45643</v>
      </c>
      <c r="C33" s="190" t="s">
        <v>1166</v>
      </c>
      <c r="D33" s="190" t="s">
        <v>1594</v>
      </c>
      <c r="E33" s="195">
        <v>112580027</v>
      </c>
      <c r="F33" s="219" t="str">
        <f t="shared" si="0"/>
        <v>GBC 75030 KBB CRISTAL COCINA GAS</v>
      </c>
      <c r="G33" s="195" t="s">
        <v>1595</v>
      </c>
      <c r="H33" s="144" t="s">
        <v>23</v>
      </c>
      <c r="I33" s="122" t="s">
        <v>1142</v>
      </c>
      <c r="J33" s="122" t="s">
        <v>1432</v>
      </c>
      <c r="K33" s="196">
        <v>45855</v>
      </c>
      <c r="L33" s="190" t="s">
        <v>1596</v>
      </c>
      <c r="M33" s="190" t="s">
        <v>1597</v>
      </c>
      <c r="N33" s="190">
        <v>983347819</v>
      </c>
      <c r="O33" s="224">
        <v>29</v>
      </c>
      <c r="P33" s="122" t="s">
        <v>1433</v>
      </c>
      <c r="Q33" s="122" t="s">
        <v>1142</v>
      </c>
      <c r="R33" s="122"/>
      <c r="S33" s="190" t="str">
        <f t="shared" si="1"/>
        <v>004-010-000000738</v>
      </c>
      <c r="T33" s="146" t="s">
        <v>1598</v>
      </c>
      <c r="U33" s="227" t="s">
        <v>1599</v>
      </c>
    </row>
    <row r="34" spans="1:21" s="168" customFormat="1" ht="21">
      <c r="A34" s="168">
        <v>29</v>
      </c>
      <c r="B34" s="196">
        <v>45748</v>
      </c>
      <c r="C34" s="190" t="s">
        <v>1173</v>
      </c>
      <c r="D34" s="190" t="s">
        <v>1600</v>
      </c>
      <c r="E34" s="195">
        <v>113430018</v>
      </c>
      <c r="F34" s="219" t="str">
        <f t="shared" si="0"/>
        <v>RLF 74920 SS SBS REFRIGERADORA</v>
      </c>
      <c r="G34" s="195" t="s">
        <v>1601</v>
      </c>
      <c r="H34" s="144" t="s">
        <v>23</v>
      </c>
      <c r="I34" s="122" t="s">
        <v>1142</v>
      </c>
      <c r="J34" s="122" t="s">
        <v>1432</v>
      </c>
      <c r="K34" s="196">
        <v>45855</v>
      </c>
      <c r="L34" s="190" t="s">
        <v>1602</v>
      </c>
      <c r="M34" s="190" t="s">
        <v>1603</v>
      </c>
      <c r="N34" s="190">
        <v>992150336</v>
      </c>
      <c r="O34" s="224">
        <v>30</v>
      </c>
      <c r="P34" s="122" t="s">
        <v>1433</v>
      </c>
      <c r="Q34" s="122" t="s">
        <v>1142</v>
      </c>
      <c r="R34" s="122"/>
      <c r="S34" s="190" t="str">
        <f t="shared" si="1"/>
        <v>043-904-000068029</v>
      </c>
      <c r="T34" s="146" t="s">
        <v>1604</v>
      </c>
      <c r="U34" s="227" t="s">
        <v>1605</v>
      </c>
    </row>
    <row r="35" spans="1:21" s="168" customFormat="1" ht="21">
      <c r="A35" s="168">
        <v>30</v>
      </c>
      <c r="B35" s="196">
        <v>45840</v>
      </c>
      <c r="C35" s="190" t="s">
        <v>1190</v>
      </c>
      <c r="D35" s="190" t="s">
        <v>1606</v>
      </c>
      <c r="E35" s="195">
        <v>113430051</v>
      </c>
      <c r="F35" s="219" t="str">
        <f t="shared" si="0"/>
        <v>RMF 77960 GBK MX REFRIGERADORA</v>
      </c>
      <c r="G35" s="195" t="s">
        <v>1607</v>
      </c>
      <c r="H35" s="144" t="s">
        <v>23</v>
      </c>
      <c r="I35" s="122" t="s">
        <v>1142</v>
      </c>
      <c r="J35" s="122" t="s">
        <v>1432</v>
      </c>
      <c r="K35" s="196">
        <v>45855</v>
      </c>
      <c r="L35" s="190" t="s">
        <v>1076</v>
      </c>
      <c r="M35" s="190" t="s">
        <v>1608</v>
      </c>
      <c r="N35" s="190">
        <v>72891663</v>
      </c>
      <c r="O35" s="224">
        <v>30</v>
      </c>
      <c r="P35" s="122" t="s">
        <v>1433</v>
      </c>
      <c r="Q35" s="122" t="s">
        <v>1142</v>
      </c>
      <c r="R35" s="122"/>
      <c r="S35" s="190" t="str">
        <f t="shared" si="1"/>
        <v>040-103-000014492</v>
      </c>
      <c r="T35" s="146" t="s">
        <v>1217</v>
      </c>
      <c r="U35" s="227" t="s">
        <v>1609</v>
      </c>
    </row>
    <row r="36" spans="1:21" s="168" customFormat="1" ht="21">
      <c r="O36" s="185">
        <f>SUM(O6:O35)</f>
        <v>664</v>
      </c>
    </row>
    <row r="37" spans="1:21" s="168" customFormat="1" ht="21"/>
    <row r="38" spans="1:21" s="168" customFormat="1" ht="21"/>
    <row r="39" spans="1:21" s="168" customFormat="1" ht="21"/>
    <row r="40" spans="1:21" s="168" customFormat="1" ht="21"/>
    <row r="41" spans="1:21" s="168" customFormat="1" ht="21"/>
    <row r="42" spans="1:21" s="168" customFormat="1" ht="21"/>
    <row r="43" spans="1:21" s="168" customFormat="1" ht="21"/>
    <row r="44" spans="1:21" s="168" customFormat="1" ht="21"/>
    <row r="45" spans="1:21" s="168" customFormat="1" ht="21"/>
    <row r="46" spans="1:21" s="168" customFormat="1" ht="21"/>
    <row r="47" spans="1:21" s="168" customFormat="1" ht="21"/>
    <row r="48" spans="1:21" s="168" customFormat="1" ht="21"/>
    <row r="49" s="168" customFormat="1" ht="21"/>
    <row r="50" s="168" customFormat="1" ht="21"/>
    <row r="51" s="168" customFormat="1" ht="21"/>
    <row r="52" s="168" customFormat="1" ht="21"/>
    <row r="53" s="168" customFormat="1" ht="21"/>
    <row r="54" s="168" customFormat="1" ht="21"/>
    <row r="55" s="168" customFormat="1" ht="21"/>
    <row r="56" s="168" customFormat="1" ht="21"/>
    <row r="57" s="168" customFormat="1" ht="21"/>
    <row r="58" s="168" customFormat="1" ht="21"/>
  </sheetData>
  <hyperlinks>
    <hyperlink ref="U10" r:id="rId1" xr:uid="{8C73CE0C-613F-A14C-A679-554E82BC6197}"/>
    <hyperlink ref="U6" r:id="rId2" xr:uid="{12FD5180-49EE-C64B-8852-2E9D9CC585A0}"/>
    <hyperlink ref="U7" r:id="rId3" xr:uid="{DA74B252-000C-914E-8721-D3F52A4B4071}"/>
    <hyperlink ref="U8" r:id="rId4" xr:uid="{3480361B-32D9-B542-9218-1C48A38ACDD7}"/>
    <hyperlink ref="U9" r:id="rId5" xr:uid="{9561CB3B-576D-C146-BA15-4DC848242620}"/>
    <hyperlink ref="U11" r:id="rId6" xr:uid="{C3DB4493-3A89-664C-AD7B-B3877E074C1E}"/>
    <hyperlink ref="U12" r:id="rId7" xr:uid="{35A91BDF-E1A5-E345-8435-24A4A80E58A8}"/>
    <hyperlink ref="U13" r:id="rId8" xr:uid="{8C634B6C-8AA1-C24B-96EF-A7EB93BE2EF7}"/>
    <hyperlink ref="U14" r:id="rId9" xr:uid="{F60A94C3-4FC7-6F49-9522-5F5839EFA08E}"/>
    <hyperlink ref="U16" r:id="rId10" xr:uid="{72C88F7A-C4FF-2C41-BD01-1D7AADDA692E}"/>
    <hyperlink ref="U17" r:id="rId11" xr:uid="{CC6238CD-DFC8-054D-B076-949DA82D9856}"/>
    <hyperlink ref="U18" r:id="rId12" xr:uid="{76DEAF17-0141-D747-BFD5-0A4527EAB653}"/>
    <hyperlink ref="U19" r:id="rId13" xr:uid="{01D6C82A-6410-1E43-A479-D6BA901BDB63}"/>
    <hyperlink ref="U20" r:id="rId14" xr:uid="{DAD0610D-961E-3145-B7C7-3F65DF18179D}"/>
    <hyperlink ref="U21" r:id="rId15" xr:uid="{40482692-FB2E-014A-B727-CCFFE7C23BE5}"/>
    <hyperlink ref="U22" r:id="rId16" xr:uid="{2DE289E9-22E0-404C-9E6C-D52BBB9D0971}"/>
    <hyperlink ref="U24" r:id="rId17" xr:uid="{04424B86-36D1-2242-9B30-2190865B07E8}"/>
    <hyperlink ref="U25" r:id="rId18" xr:uid="{A5C91A96-0429-0247-A706-1C200E867A96}"/>
    <hyperlink ref="U26" r:id="rId19" xr:uid="{CFDC1770-0D77-CA43-BECC-E9E63128A8EC}"/>
    <hyperlink ref="U27" r:id="rId20" xr:uid="{0A6F67A4-CA38-9848-A243-00AADC627077}"/>
    <hyperlink ref="U28" r:id="rId21" xr:uid="{1A8C58CD-A6AC-FC49-ACFF-B329795064C3}"/>
    <hyperlink ref="U29" r:id="rId22" xr:uid="{46870864-75F3-BC47-8C3B-D8178D29D556}"/>
    <hyperlink ref="U30" r:id="rId23" xr:uid="{1A57E7D7-977F-5E40-A2E5-48BB49D1327E}"/>
    <hyperlink ref="U31" r:id="rId24" xr:uid="{0F40028B-9C5D-944C-A5FD-4AF76CB664C5}"/>
    <hyperlink ref="U32" r:id="rId25" xr:uid="{9D75AF40-7BFA-AF48-90C0-45AAB74EF52A}"/>
    <hyperlink ref="U33" r:id="rId26" xr:uid="{D5B5753E-E777-8541-863A-F332E7D7B415}"/>
    <hyperlink ref="U34" r:id="rId27" xr:uid="{FF1E55CB-2D8E-5E4B-BF7F-444C8718D001}"/>
    <hyperlink ref="U35" r:id="rId28" xr:uid="{BEBC155B-6254-A244-9C25-3020C596C299}"/>
    <hyperlink ref="U15" r:id="rId29" xr:uid="{858233DF-EA60-2B4F-AB15-664605FAF15F}"/>
    <hyperlink ref="U23" r:id="rId30" xr:uid="{B9A12129-5CF9-0C48-AD12-077D4D60FE0E}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ALMACEN</vt:lpstr>
      <vt:lpstr>CONSOLIDADO</vt:lpstr>
      <vt:lpstr>UN PRODUCTO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2025-07-02T17:46:19Z</dcterms:created>
  <dcterms:modified xsi:type="dcterms:W3CDTF">2025-07-29T17:07:58Z</dcterms:modified>
</cp:coreProperties>
</file>