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TODO TEKA 2026/TODO TEKA 2025/TODO 2025/REPORTES 2025/"/>
    </mc:Choice>
  </mc:AlternateContent>
  <xr:revisionPtr revIDLastSave="0" documentId="13_ncr:1_{51475D19-B96C-A74B-BAB7-3B0F2268C4DA}" xr6:coauthVersionLast="47" xr6:coauthVersionMax="47" xr10:uidLastSave="{00000000-0000-0000-0000-000000000000}"/>
  <bookViews>
    <workbookView xWindow="0" yWindow="620" windowWidth="51200" windowHeight="25920" activeTab="1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ALMACEN" sheetId="10" r:id="rId5"/>
    <sheet name="CONSOLIDADO" sheetId="7" r:id="rId6"/>
    <sheet name="UN PRODUCTO" sheetId="9" r:id="rId7"/>
  </sheets>
  <definedNames>
    <definedName name="_xlnm._FilterDatabase" localSheetId="3" hidden="1">'BASE '!$A$1:$B$907</definedName>
    <definedName name="_xlnm._FilterDatabase" localSheetId="5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7" l="1"/>
  <c r="H45" i="7"/>
  <c r="H135" i="7"/>
  <c r="Q135" i="7"/>
  <c r="H170" i="7"/>
  <c r="Q170" i="7"/>
  <c r="Q18" i="7"/>
  <c r="H18" i="7"/>
  <c r="N27" i="1"/>
  <c r="H19" i="1"/>
  <c r="H18" i="1"/>
  <c r="H13" i="1"/>
  <c r="H9" i="1"/>
  <c r="H16" i="1"/>
  <c r="Q189" i="7"/>
  <c r="H189" i="7"/>
  <c r="Q188" i="7"/>
  <c r="H188" i="7"/>
  <c r="O39" i="9"/>
  <c r="O26" i="4"/>
  <c r="S25" i="4"/>
  <c r="F25" i="4"/>
  <c r="Q8" i="7"/>
  <c r="Q9" i="7"/>
  <c r="Q10" i="7"/>
  <c r="Q11" i="7"/>
  <c r="Q12" i="7"/>
  <c r="Q13" i="7"/>
  <c r="Q14" i="7"/>
  <c r="Q15" i="7"/>
  <c r="Q16" i="7"/>
  <c r="Q17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7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7" i="7"/>
  <c r="H16" i="7"/>
  <c r="H15" i="7"/>
  <c r="H14" i="7"/>
  <c r="H13" i="7"/>
  <c r="H12" i="7"/>
  <c r="H11" i="7"/>
  <c r="H10" i="7"/>
  <c r="H9" i="7"/>
  <c r="H8" i="7"/>
  <c r="H7" i="7"/>
  <c r="S117" i="3"/>
  <c r="S116" i="3"/>
  <c r="S115" i="3"/>
  <c r="S114" i="3"/>
  <c r="S24" i="4"/>
  <c r="F24" i="4"/>
  <c r="S113" i="3" l="1"/>
  <c r="S112" i="3"/>
  <c r="O118" i="3"/>
  <c r="S111" i="3"/>
  <c r="S110" i="3"/>
  <c r="S109" i="3"/>
  <c r="F117" i="3"/>
  <c r="F116" i="3"/>
  <c r="F115" i="3"/>
  <c r="F114" i="3"/>
  <c r="F113" i="3"/>
  <c r="F112" i="3"/>
  <c r="S23" i="4"/>
  <c r="F23" i="4"/>
  <c r="S22" i="4"/>
  <c r="F22" i="4"/>
  <c r="S108" i="3"/>
  <c r="S107" i="3"/>
  <c r="S106" i="3"/>
  <c r="S105" i="3"/>
  <c r="S104" i="3"/>
  <c r="S103" i="3"/>
  <c r="S102" i="3"/>
  <c r="F111" i="3"/>
  <c r="F110" i="3"/>
  <c r="F109" i="3"/>
  <c r="F108" i="3"/>
  <c r="F107" i="3"/>
  <c r="F106" i="3"/>
  <c r="F105" i="3"/>
  <c r="S101" i="3"/>
  <c r="S100" i="3"/>
  <c r="S99" i="3"/>
  <c r="S98" i="3"/>
  <c r="S97" i="3"/>
  <c r="S96" i="3"/>
  <c r="S95" i="3"/>
  <c r="S94" i="3"/>
  <c r="F104" i="3"/>
  <c r="F103" i="3"/>
  <c r="F102" i="3"/>
  <c r="F101" i="3"/>
  <c r="F100" i="3"/>
  <c r="F99" i="3"/>
  <c r="F98" i="3"/>
  <c r="F97" i="3"/>
  <c r="F96" i="3"/>
  <c r="F95" i="3"/>
  <c r="S93" i="3"/>
  <c r="S92" i="3"/>
  <c r="S89" i="3"/>
  <c r="S90" i="3"/>
  <c r="S91" i="3"/>
  <c r="S88" i="3"/>
  <c r="S87" i="3"/>
  <c r="S38" i="9"/>
  <c r="F38" i="9"/>
  <c r="S37" i="9"/>
  <c r="F37" i="9"/>
  <c r="S36" i="9"/>
  <c r="F36" i="9"/>
  <c r="S35" i="9"/>
  <c r="F35" i="9"/>
  <c r="S34" i="9"/>
  <c r="F34" i="9"/>
  <c r="S33" i="9"/>
  <c r="F33" i="9"/>
  <c r="S85" i="3"/>
  <c r="S84" i="3"/>
  <c r="S82" i="3"/>
  <c r="S81" i="3"/>
  <c r="S79" i="3"/>
  <c r="S78" i="3"/>
  <c r="S77" i="3"/>
  <c r="S75" i="3"/>
  <c r="S73" i="3"/>
  <c r="S72" i="3"/>
  <c r="S71" i="3"/>
  <c r="S69" i="3"/>
  <c r="S68" i="3"/>
  <c r="S66" i="3"/>
  <c r="S65" i="3"/>
  <c r="S64" i="3"/>
  <c r="S25" i="9" l="1"/>
  <c r="S62" i="3"/>
  <c r="S61" i="3"/>
  <c r="S60" i="3"/>
  <c r="S58" i="3"/>
  <c r="S57" i="3"/>
  <c r="S56" i="3"/>
  <c r="S55" i="3"/>
  <c r="S53" i="3"/>
  <c r="S52" i="3"/>
  <c r="S51" i="3"/>
  <c r="S21" i="4"/>
  <c r="F21" i="4"/>
  <c r="S20" i="4"/>
  <c r="F20" i="4"/>
  <c r="S19" i="4"/>
  <c r="F19" i="4"/>
  <c r="S18" i="4"/>
  <c r="F18" i="4"/>
  <c r="S17" i="4"/>
  <c r="F17" i="4"/>
  <c r="S49" i="3"/>
  <c r="S48" i="3"/>
  <c r="F49" i="3"/>
  <c r="S15" i="4"/>
  <c r="S46" i="3"/>
  <c r="S45" i="3"/>
  <c r="S43" i="3"/>
  <c r="S41" i="3"/>
  <c r="S34" i="3"/>
  <c r="S33" i="3"/>
  <c r="S32" i="3"/>
  <c r="S31" i="3"/>
  <c r="S29" i="3"/>
  <c r="O9" i="10"/>
  <c r="F8" i="10"/>
  <c r="F16" i="9" l="1"/>
  <c r="S27" i="3"/>
  <c r="S26" i="3"/>
  <c r="S25" i="3"/>
  <c r="S23" i="3"/>
  <c r="S22" i="3"/>
  <c r="S16" i="4"/>
  <c r="F16" i="4"/>
  <c r="F15" i="4"/>
  <c r="S14" i="4"/>
  <c r="F14" i="4"/>
  <c r="S13" i="4"/>
  <c r="F13" i="4"/>
  <c r="S20" i="3"/>
  <c r="S18" i="3"/>
  <c r="S17" i="3"/>
  <c r="S16" i="3"/>
  <c r="S15" i="3"/>
  <c r="S13" i="3"/>
  <c r="S12" i="3"/>
  <c r="S11" i="3"/>
  <c r="S9" i="3"/>
  <c r="S7" i="3"/>
  <c r="J37" i="1"/>
  <c r="H14" i="1"/>
  <c r="G40" i="1"/>
  <c r="J36" i="1"/>
  <c r="H25" i="1"/>
  <c r="H12" i="1"/>
  <c r="S86" i="3"/>
  <c r="S83" i="3"/>
  <c r="S74" i="3"/>
  <c r="S70" i="3"/>
  <c r="S67" i="3"/>
  <c r="S76" i="3" l="1"/>
  <c r="S80" i="3"/>
  <c r="S63" i="3"/>
  <c r="S59" i="3"/>
  <c r="S10" i="4"/>
  <c r="F10" i="4"/>
  <c r="J34" i="1"/>
  <c r="J35" i="1"/>
  <c r="J33" i="1"/>
  <c r="H26" i="1"/>
  <c r="S54" i="3"/>
  <c r="S50" i="3"/>
  <c r="S47" i="3"/>
  <c r="S44" i="3"/>
  <c r="S42" i="3"/>
  <c r="S39" i="3"/>
  <c r="S37" i="3"/>
  <c r="S35" i="3"/>
  <c r="J40" i="1" l="1"/>
  <c r="S30" i="3"/>
  <c r="S24" i="3"/>
  <c r="S21" i="3"/>
  <c r="F53" i="3"/>
  <c r="F52" i="3"/>
  <c r="F51" i="3"/>
  <c r="F50" i="3"/>
  <c r="H23" i="1" l="1"/>
  <c r="H24" i="1"/>
  <c r="E124" i="3"/>
  <c r="H122" i="3"/>
  <c r="H123" i="3"/>
  <c r="H121" i="3"/>
  <c r="H124" i="3" l="1"/>
  <c r="H21" i="1"/>
  <c r="H22" i="1"/>
  <c r="S32" i="9"/>
  <c r="F32" i="9"/>
  <c r="S12" i="4"/>
  <c r="F12" i="4"/>
  <c r="S40" i="3"/>
  <c r="S38" i="3"/>
  <c r="S36" i="3"/>
  <c r="S11" i="4" l="1"/>
  <c r="F11" i="4"/>
  <c r="F9" i="4"/>
  <c r="S14" i="3" l="1"/>
  <c r="S8" i="3"/>
  <c r="S27" i="9" l="1"/>
  <c r="S28" i="9"/>
  <c r="S29" i="9"/>
  <c r="S30" i="9"/>
  <c r="S31" i="9"/>
  <c r="S26" i="9"/>
  <c r="F26" i="9"/>
  <c r="F31" i="9"/>
  <c r="F30" i="9"/>
  <c r="F29" i="9"/>
  <c r="F28" i="9"/>
  <c r="F27" i="9"/>
  <c r="F7" i="4" l="1"/>
  <c r="F8" i="4"/>
  <c r="F6" i="4"/>
  <c r="H20" i="1"/>
  <c r="H17" i="1"/>
  <c r="H15" i="1"/>
  <c r="H11" i="1"/>
  <c r="H10" i="1"/>
  <c r="S19" i="3" l="1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F14" i="9" l="1"/>
  <c r="F6" i="9"/>
  <c r="F25" i="9" l="1"/>
  <c r="F24" i="9"/>
  <c r="F23" i="9"/>
  <c r="F22" i="9"/>
  <c r="F21" i="9"/>
  <c r="F20" i="9"/>
  <c r="F19" i="9"/>
  <c r="F18" i="9"/>
  <c r="F17" i="9"/>
  <c r="F15" i="9"/>
  <c r="F13" i="9"/>
  <c r="F12" i="9"/>
  <c r="F11" i="9"/>
  <c r="F10" i="9"/>
  <c r="F9" i="9"/>
  <c r="F8" i="9"/>
  <c r="F7" i="9"/>
  <c r="F94" i="3" l="1"/>
  <c r="F93" i="3"/>
  <c r="F92" i="3"/>
  <c r="F91" i="3"/>
  <c r="F90" i="3"/>
  <c r="S28" i="3"/>
  <c r="S10" i="3"/>
  <c r="S6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</calcChain>
</file>

<file path=xl/sharedStrings.xml><?xml version="1.0" encoding="utf-8"?>
<sst xmlns="http://schemas.openxmlformats.org/spreadsheetml/2006/main" count="5483" uniqueCount="1780">
  <si>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</si>
  <si>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</si>
  <si>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</si>
  <si>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</si>
  <si>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</si>
  <si>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</si>
  <si>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</si>
  <si>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</si>
  <si>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</si>
  <si>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</si>
  <si>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</si>
  <si>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</si>
  <si>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</si>
  <si>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</si>
  <si>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</si>
  <si>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</si>
  <si>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</si>
  <si>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</si>
  <si>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</si>
  <si>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</si>
  <si>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</si>
  <si>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</si>
  <si>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</si>
  <si>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</si>
  <si>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</si>
  <si>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</si>
  <si>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</si>
  <si>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</si>
  <si>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</si>
  <si>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</si>
  <si>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</si>
  <si>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</si>
  <si>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</si>
  <si>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</si>
  <si>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</si>
  <si>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</si>
  <si>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</si>
  <si>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</si>
  <si>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</si>
  <si>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</si>
  <si>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</si>
  <si>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</si>
  <si>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</si>
  <si>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</si>
  <si>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</si>
  <si>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</si>
  <si>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>Capelo</t>
  </si>
  <si>
    <t>Cuenca</t>
  </si>
  <si>
    <t>Cliente final</t>
  </si>
  <si>
    <t>PRODUCTOS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</si>
  <si>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</si>
  <si>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</si>
  <si>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</si>
  <si>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</si>
  <si>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</si>
  <si>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</si>
  <si>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</si>
  <si>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</si>
  <si>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Sap</t>
  </si>
  <si>
    <t>CLIENTE FINAL</t>
  </si>
  <si>
    <t xml:space="preserve">BBQ 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</si>
  <si>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</si>
  <si>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</si>
  <si>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</si>
  <si>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</si>
  <si>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</si>
  <si>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</si>
  <si>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</si>
  <si>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</si>
  <si>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</si>
  <si>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</si>
  <si>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</si>
  <si>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</si>
  <si>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</si>
  <si>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</si>
  <si>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</si>
  <si>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</si>
  <si>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</si>
  <si>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</si>
  <si>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</si>
  <si>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</si>
  <si>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</si>
  <si>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</si>
  <si>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</si>
  <si>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</si>
  <si>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</si>
  <si>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</si>
  <si>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</si>
  <si>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</si>
  <si>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</si>
  <si>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</si>
  <si>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</si>
  <si>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</si>
  <si>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</si>
  <si>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</si>
  <si>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</si>
  <si>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</si>
  <si>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</si>
  <si>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</si>
  <si>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</si>
  <si>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</si>
  <si>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</si>
  <si>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</si>
  <si>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</si>
  <si>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</si>
  <si>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</si>
  <si>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</si>
  <si>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</si>
  <si>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</si>
  <si>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</si>
  <si>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</si>
  <si>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</si>
  <si>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</si>
  <si>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</si>
  <si>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</si>
  <si>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</si>
  <si>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</si>
  <si>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</si>
  <si>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</si>
  <si>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</si>
  <si>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</si>
  <si>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</si>
  <si>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</si>
  <si>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</si>
  <si>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</si>
  <si>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</si>
  <si>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</si>
  <si>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</si>
  <si>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</si>
  <si>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</si>
  <si>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</si>
  <si>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</si>
  <si>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</si>
  <si>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</si>
  <si>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</si>
  <si>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</si>
  <si>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</si>
  <si>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</si>
  <si>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</si>
  <si>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</si>
  <si>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</si>
  <si>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</si>
  <si>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</si>
  <si>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</si>
  <si>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</si>
  <si>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</si>
  <si>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</si>
  <si>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</si>
  <si>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</si>
  <si>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</si>
  <si>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</si>
  <si>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</si>
  <si>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</si>
  <si>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</si>
  <si>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</si>
  <si>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</si>
  <si>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</si>
  <si>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</si>
  <si>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</si>
  <si>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</si>
  <si>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</si>
  <si>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</si>
  <si>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</si>
  <si>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</si>
  <si>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</si>
  <si>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</si>
  <si>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</si>
  <si>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</si>
  <si>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</si>
  <si>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</si>
  <si>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</si>
  <si>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</si>
  <si>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</si>
  <si>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</si>
  <si>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</si>
  <si>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</si>
  <si>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</si>
  <si>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</si>
  <si>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</si>
  <si>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</si>
  <si>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</si>
  <si>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</si>
  <si>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</si>
  <si>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</si>
  <si>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</si>
  <si>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</si>
  <si>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</si>
  <si>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</si>
  <si>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</si>
  <si>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</si>
  <si>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</si>
  <si>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</si>
  <si>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</si>
  <si>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</si>
  <si>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</si>
  <si>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</si>
  <si>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</si>
  <si>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</si>
  <si>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</si>
  <si>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</si>
  <si>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</si>
  <si>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</si>
  <si>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</si>
  <si>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</si>
  <si>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</si>
  <si>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</si>
  <si>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</si>
  <si>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</si>
  <si>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</si>
  <si>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</si>
  <si>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</si>
  <si>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</si>
  <si>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</si>
  <si>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</si>
  <si>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</si>
  <si>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</si>
  <si>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</si>
  <si>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</si>
  <si>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</si>
  <si>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</si>
  <si>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</si>
  <si>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</si>
  <si>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</si>
  <si>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</si>
  <si>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</si>
  <si>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</si>
  <si>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</si>
  <si>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</si>
  <si>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</si>
  <si>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</si>
  <si>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</si>
  <si>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</si>
  <si>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</si>
  <si>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</si>
  <si>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</si>
  <si>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</si>
  <si>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</si>
  <si>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</si>
  <si>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</si>
  <si>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</si>
  <si>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</si>
  <si>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</si>
  <si>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</si>
  <si>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</si>
  <si>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</si>
  <si>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</si>
  <si>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</si>
  <si>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</si>
  <si>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</si>
  <si>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</si>
  <si>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</si>
  <si>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</si>
  <si>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</si>
  <si>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</si>
  <si>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</si>
  <si>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</si>
  <si>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</si>
  <si>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</si>
  <si>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</si>
  <si>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</si>
  <si>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</si>
  <si>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</si>
  <si>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</si>
  <si>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</si>
  <si>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</si>
  <si>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</si>
  <si>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</si>
  <si>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</si>
  <si>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</si>
  <si>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</si>
  <si>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</si>
  <si>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</si>
  <si>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</si>
  <si>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</si>
  <si>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</si>
  <si>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</si>
  <si>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</si>
  <si>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</si>
  <si>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</si>
  <si>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</si>
  <si>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</si>
  <si>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</si>
  <si>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</si>
  <si>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</si>
  <si>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</si>
  <si>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</si>
  <si>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</si>
  <si>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</si>
  <si>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</si>
  <si>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</si>
  <si>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</si>
  <si>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</si>
  <si>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</si>
  <si>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</si>
  <si>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</si>
  <si>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</si>
  <si>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</si>
  <si>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</si>
  <si>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</si>
  <si>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</si>
  <si>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</si>
  <si>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</si>
  <si>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</si>
  <si>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</si>
  <si>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</si>
  <si>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</si>
  <si>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</si>
  <si>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</si>
  <si>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</si>
  <si>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</si>
  <si>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</si>
  <si>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</si>
  <si>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</si>
  <si>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</si>
  <si>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</si>
  <si>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</si>
  <si>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</si>
  <si>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</si>
  <si>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</si>
  <si>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</si>
  <si>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</si>
  <si>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</si>
  <si>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</si>
  <si>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</si>
  <si>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</si>
  <si>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</si>
  <si>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</si>
  <si>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</si>
  <si>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</si>
  <si>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</si>
  <si>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</si>
  <si>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</si>
  <si>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</si>
  <si>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</si>
  <si>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</si>
  <si>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</si>
  <si>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</si>
  <si>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</si>
  <si>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</si>
  <si>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</si>
  <si>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</si>
  <si>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</si>
  <si>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</si>
  <si>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</si>
  <si>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</si>
  <si>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</si>
  <si>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</si>
  <si>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</si>
  <si>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</si>
  <si>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</si>
  <si>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</si>
  <si>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</si>
  <si>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</si>
  <si>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</si>
  <si>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</si>
  <si>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</si>
  <si>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</si>
  <si>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</si>
  <si>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</si>
  <si>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</si>
  <si>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</si>
  <si>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</si>
  <si>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</si>
  <si>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</si>
  <si>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</si>
  <si>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</si>
  <si>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</si>
  <si>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</si>
  <si>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</si>
  <si>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</si>
  <si>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</si>
  <si>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</si>
  <si>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</si>
  <si>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</si>
  <si>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</si>
  <si>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</si>
  <si>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</si>
  <si>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</si>
  <si>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</si>
  <si>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</si>
  <si>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</si>
  <si>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</si>
  <si>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</si>
  <si>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</si>
  <si>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</si>
  <si>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</si>
  <si>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</si>
  <si>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</si>
  <si>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</si>
  <si>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</si>
  <si>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</si>
  <si>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</si>
  <si>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</si>
  <si>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</si>
  <si>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</si>
  <si>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</si>
  <si>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</si>
  <si>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</si>
  <si>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</si>
  <si>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</si>
  <si>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</si>
  <si>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</si>
  <si>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</si>
  <si>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</si>
  <si>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</si>
  <si>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</si>
  <si>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</si>
  <si>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</si>
  <si>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</si>
  <si>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</si>
  <si>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</si>
  <si>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</si>
  <si>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</si>
  <si>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</si>
  <si>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</si>
  <si>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</si>
  <si>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</si>
  <si>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</si>
  <si>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</si>
  <si>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</si>
  <si>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</si>
  <si>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</si>
  <si>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</si>
  <si>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</si>
  <si>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</si>
  <si>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</si>
  <si>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</si>
  <si>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</si>
  <si>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</si>
  <si>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</si>
  <si>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</si>
  <si>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</si>
  <si>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</si>
  <si>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</si>
  <si>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</si>
  <si>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</si>
  <si>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</si>
  <si>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</si>
  <si>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</si>
  <si>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</si>
  <si>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</si>
  <si>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</si>
  <si>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</si>
  <si>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</si>
  <si>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</si>
  <si>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</si>
  <si>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</si>
  <si>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</si>
  <si>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</si>
  <si>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</si>
  <si>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</si>
  <si>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</si>
  <si>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</si>
  <si>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</si>
  <si>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</si>
  <si>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</si>
  <si>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</si>
  <si>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</si>
  <si>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</si>
  <si>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</si>
  <si>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</si>
  <si>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</si>
  <si>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</si>
  <si>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</si>
  <si>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</si>
  <si>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</si>
  <si>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</si>
  <si>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</si>
  <si>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</si>
  <si>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</si>
  <si>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</si>
  <si>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</si>
  <si>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</si>
  <si>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</si>
  <si>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</si>
  <si>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</si>
  <si>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</si>
  <si>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</si>
  <si>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</si>
  <si>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</si>
  <si>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</si>
  <si>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</si>
  <si>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</si>
  <si>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</si>
  <si>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</si>
  <si>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</si>
  <si>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</si>
  <si>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</si>
  <si>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</si>
  <si>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</si>
  <si>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</si>
  <si>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</si>
  <si>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</si>
  <si>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</si>
  <si>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</si>
  <si>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</si>
  <si>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</si>
  <si>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</si>
  <si>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</si>
  <si>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</si>
  <si>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</si>
  <si>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</si>
  <si>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</si>
  <si>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</si>
  <si>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</si>
  <si>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</si>
  <si>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</si>
  <si>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</si>
  <si>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</si>
  <si>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</si>
  <si>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</si>
  <si>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</si>
  <si>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</si>
  <si>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</si>
  <si>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</si>
  <si>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</si>
  <si>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</si>
  <si>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</si>
  <si>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</si>
  <si>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</si>
  <si>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</si>
  <si>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</si>
  <si>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</si>
  <si>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</si>
  <si>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</si>
  <si>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</si>
  <si>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</si>
  <si>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</si>
  <si>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</si>
  <si>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</si>
  <si>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</si>
  <si>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</si>
  <si>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</si>
  <si>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</si>
  <si>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</si>
  <si>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</si>
  <si>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</si>
  <si>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</si>
  <si>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</si>
  <si>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</si>
  <si>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</si>
  <si>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</si>
  <si>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</si>
  <si>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</si>
  <si>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</si>
  <si>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</si>
  <si>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</si>
  <si>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</si>
  <si>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</si>
  <si>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</si>
  <si>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</si>
  <si>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</si>
  <si>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</si>
  <si>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</si>
  <si>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</si>
  <si>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</si>
  <si>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</si>
  <si>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</si>
  <si>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</si>
  <si>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</si>
  <si>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</si>
  <si>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</si>
  <si>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</si>
  <si>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</si>
  <si>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</si>
  <si>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</si>
  <si>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</si>
  <si>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</si>
  <si>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</si>
  <si>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</si>
  <si>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</si>
  <si>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</si>
  <si>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</si>
  <si>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</si>
  <si>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</si>
  <si>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</si>
  <si>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</si>
  <si>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</si>
  <si>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</si>
  <si>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</si>
  <si>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</si>
  <si>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</si>
  <si>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</si>
  <si>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</si>
  <si>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</si>
  <si>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</si>
  <si>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</si>
  <si>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</si>
  <si>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</si>
  <si>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</si>
  <si>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</si>
  <si>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</si>
  <si>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</si>
  <si>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</si>
  <si>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</si>
  <si>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</si>
  <si>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</si>
  <si>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</si>
  <si>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</si>
  <si>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</si>
  <si>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</si>
  <si>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</si>
  <si>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</si>
  <si>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</si>
  <si>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</si>
  <si>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</si>
  <si>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</si>
  <si>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</si>
  <si>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</si>
  <si>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</si>
  <si>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</si>
  <si>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</si>
  <si>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</si>
  <si>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</si>
  <si>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</si>
  <si>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</si>
  <si>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</si>
  <si>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</si>
  <si>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</si>
  <si>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</si>
  <si>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</si>
  <si>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</si>
  <si>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</si>
  <si>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</si>
  <si>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</si>
  <si>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</si>
  <si>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</si>
  <si>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</si>
  <si>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</si>
  <si>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</si>
  <si>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</si>
  <si>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</si>
  <si>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</si>
  <si>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</si>
  <si>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</si>
  <si>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</si>
  <si>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</si>
  <si>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</si>
  <si>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</si>
  <si>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</si>
  <si>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</si>
  <si>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</si>
  <si>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</si>
  <si>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</si>
  <si>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</si>
  <si>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</si>
  <si>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</si>
  <si>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</si>
  <si>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</si>
  <si>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</si>
  <si>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</si>
  <si>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</si>
  <si>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</si>
  <si>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</si>
  <si>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</si>
  <si>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</si>
  <si>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</si>
  <si>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</si>
  <si>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</si>
  <si>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</si>
  <si>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</si>
  <si>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</si>
  <si>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</si>
  <si>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</si>
  <si>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</si>
  <si>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</si>
  <si>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</si>
  <si>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</si>
  <si>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</si>
  <si>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</si>
  <si>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</si>
  <si>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</si>
  <si>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</si>
  <si>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</si>
  <si>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</si>
  <si>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</si>
  <si>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</si>
  <si>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</si>
  <si>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</si>
  <si>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</si>
  <si>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</si>
  <si>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</si>
  <si>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</si>
  <si>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</si>
  <si>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</si>
  <si>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</si>
  <si>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</si>
  <si>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</si>
  <si>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</si>
  <si>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</si>
  <si>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</si>
  <si>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</si>
  <si>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</si>
  <si>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</si>
  <si>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</si>
  <si>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</si>
  <si>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</si>
  <si>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</si>
  <si>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</si>
  <si>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</si>
  <si>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</si>
  <si>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</si>
  <si>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</si>
  <si>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</si>
  <si>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</si>
  <si>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</si>
  <si>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</si>
  <si>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</si>
  <si>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</si>
  <si>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</si>
  <si>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</si>
  <si>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</si>
  <si>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</si>
  <si>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</si>
  <si>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</si>
  <si>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</si>
  <si>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</si>
  <si>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</si>
  <si>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</si>
  <si>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</si>
  <si>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</si>
  <si>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</si>
  <si>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</si>
  <si>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</si>
  <si>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</si>
  <si>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</si>
  <si>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</si>
  <si>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</si>
  <si>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</si>
  <si>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</si>
  <si>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</si>
  <si>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</si>
  <si>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</si>
  <si>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</si>
  <si>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</si>
  <si>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</si>
  <si>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</si>
  <si>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</si>
  <si>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</si>
  <si>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</si>
  <si>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</si>
  <si>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</si>
  <si>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</si>
  <si>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</si>
  <si>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</si>
  <si>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</si>
  <si>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</si>
  <si>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</si>
  <si>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</si>
  <si>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</si>
  <si>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</si>
  <si>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</si>
  <si>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</si>
  <si>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</si>
  <si>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</si>
  <si>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</si>
  <si>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</si>
  <si>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</si>
  <si>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</si>
  <si>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</si>
  <si>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</si>
  <si>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</si>
  <si>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</si>
  <si>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</si>
  <si>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</si>
  <si>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</si>
  <si>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</si>
  <si>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</si>
  <si>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</si>
  <si>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</si>
  <si>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</si>
  <si>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</si>
  <si>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</si>
  <si>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</si>
  <si>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</si>
  <si>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</si>
  <si>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</si>
  <si>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</si>
  <si>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</si>
  <si>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</si>
  <si>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</si>
  <si>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</si>
  <si>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</si>
  <si>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</si>
  <si>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</si>
  <si>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</si>
  <si>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</si>
  <si>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</si>
  <si>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</si>
  <si>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</si>
  <si>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</si>
  <si>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</si>
  <si>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</si>
  <si>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</si>
  <si>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</si>
  <si>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</si>
  <si>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</si>
  <si>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</si>
  <si>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</si>
  <si>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</si>
  <si>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</si>
  <si>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</si>
  <si>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</si>
  <si>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</si>
  <si>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</si>
  <si>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</si>
  <si>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</si>
  <si>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</si>
  <si>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</si>
  <si>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</si>
  <si>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</si>
  <si>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</si>
  <si>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</si>
  <si>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</si>
  <si>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</si>
  <si>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</si>
  <si>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</si>
  <si>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</si>
  <si>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</si>
  <si>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</si>
  <si>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</si>
  <si>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</si>
  <si>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</si>
  <si>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</si>
  <si>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</si>
  <si>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</si>
  <si>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</si>
  <si>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</si>
  <si>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</si>
  <si>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</si>
  <si>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</si>
  <si>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</si>
  <si>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</si>
  <si>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</si>
  <si>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</si>
  <si>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</si>
  <si>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</si>
  <si>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</si>
  <si>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</si>
  <si>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</si>
  <si>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</si>
  <si>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</si>
  <si>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</si>
  <si>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</si>
  <si>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</si>
  <si>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</si>
  <si>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</si>
  <si>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</si>
  <si>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</si>
  <si>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</si>
  <si>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</si>
  <si>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</si>
  <si>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</si>
  <si>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</si>
  <si>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</si>
  <si>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</si>
  <si>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</si>
  <si>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</si>
  <si>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</si>
  <si>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</si>
  <si>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</si>
  <si>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</si>
  <si>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</si>
  <si>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</si>
  <si>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</si>
  <si>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</si>
  <si>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</si>
  <si>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</si>
  <si>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</si>
  <si>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</si>
  <si>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</si>
  <si>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</si>
  <si>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</si>
  <si>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</si>
  <si>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</si>
  <si>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</si>
  <si>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</si>
  <si>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</si>
  <si>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</si>
  <si>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</si>
  <si>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</si>
  <si>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</si>
  <si>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</si>
  <si>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</si>
  <si>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</si>
  <si>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</si>
  <si>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</si>
  <si>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</si>
  <si>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</si>
  <si>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</si>
  <si>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</si>
  <si>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</si>
  <si>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</si>
  <si>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</si>
  <si>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</si>
  <si>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</si>
  <si>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</si>
  <si>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</si>
  <si>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</si>
  <si>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</si>
  <si>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</si>
  <si>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</si>
  <si>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</si>
  <si>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</si>
  <si>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</si>
  <si>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</si>
  <si>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</si>
  <si>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</si>
  <si>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</si>
  <si>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</si>
  <si>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</si>
  <si>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</si>
  <si>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</si>
  <si>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</si>
  <si>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</si>
  <si>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</si>
  <si>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</si>
  <si>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</si>
  <si>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</si>
  <si>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</si>
  <si>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</si>
  <si>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</si>
  <si>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</si>
  <si>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</si>
  <si>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</si>
  <si>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</si>
  <si>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</si>
  <si>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</si>
  <si>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</si>
  <si>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</si>
  <si>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</si>
  <si>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</si>
  <si>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</si>
  <si>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</si>
  <si>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</si>
  <si>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</si>
  <si>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</si>
  <si>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</si>
  <si>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</si>
  <si>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</si>
  <si>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</si>
  <si>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</si>
  <si>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</si>
  <si>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</si>
  <si>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</si>
  <si>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</si>
  <si>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</si>
  <si>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</si>
  <si>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</si>
  <si>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</si>
  <si>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</si>
  <si>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</si>
  <si>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</si>
  <si>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</si>
  <si>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</si>
  <si>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</si>
  <si>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</si>
  <si>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</si>
  <si>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</si>
  <si>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</si>
  <si>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</si>
  <si>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</si>
  <si>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</si>
  <si>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</si>
  <si>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</si>
  <si>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</si>
  <si>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</si>
  <si>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</si>
  <si>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</si>
  <si>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</si>
  <si>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</si>
  <si>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</si>
  <si>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</si>
  <si>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</si>
  <si>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</si>
  <si>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</si>
  <si>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</si>
  <si>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</si>
  <si>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</si>
  <si>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</si>
  <si>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</si>
  <si>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</si>
  <si>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</si>
  <si>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</si>
  <si>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</si>
  <si>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</si>
  <si>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</si>
  <si>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</si>
  <si>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</si>
  <si>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</si>
  <si>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</si>
  <si>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</si>
  <si>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</si>
  <si>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</si>
  <si>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</si>
  <si>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</si>
  <si>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</si>
  <si>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</si>
  <si>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</si>
  <si>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</si>
  <si>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</si>
  <si>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</si>
  <si>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</si>
  <si>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</si>
  <si>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</si>
  <si>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</si>
  <si>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</si>
  <si>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CUENCA</t>
  </si>
  <si>
    <t>Técnico:  Cristian Capelo</t>
  </si>
  <si>
    <t>FECHA INTERVENCION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</si>
  <si>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</si>
  <si>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</si>
  <si>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</si>
  <si>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</si>
  <si>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</si>
  <si>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</si>
  <si>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</si>
  <si>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</si>
  <si>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</si>
  <si>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</si>
  <si>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</si>
  <si>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</si>
  <si>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</si>
  <si>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</si>
  <si>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</si>
  <si>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</si>
  <si>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</si>
  <si>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>STOCK</t>
  </si>
  <si>
    <t xml:space="preserve">LUGAR DE COMPRA </t>
  </si>
  <si>
    <t>HORNO ELECTRICO</t>
  </si>
  <si>
    <t>VINERA</t>
  </si>
  <si>
    <t>MICROONDAS</t>
  </si>
  <si>
    <t>COMERCIAL SOLIS</t>
  </si>
  <si>
    <t>KYWI</t>
  </si>
  <si>
    <t>001-500-000075062</t>
  </si>
  <si>
    <t>017-901-000110461</t>
  </si>
  <si>
    <t>ZP246000179</t>
  </si>
  <si>
    <t>PX249600065</t>
  </si>
  <si>
    <t>MARIA MONTESDEOCA</t>
  </si>
  <si>
    <t>LA RAYA</t>
  </si>
  <si>
    <t>0101530384</t>
  </si>
  <si>
    <t>ROBLES@GMAIL.COM</t>
  </si>
  <si>
    <t>001-500-000075701</t>
  </si>
  <si>
    <t>ZP255900220</t>
  </si>
  <si>
    <t>MW251P231179</t>
  </si>
  <si>
    <t>AIDA PESANTEZ</t>
  </si>
  <si>
    <t>AZOGUES</t>
  </si>
  <si>
    <t>0300008489</t>
  </si>
  <si>
    <t>MARYMO88@HOTMAIL.COM</t>
  </si>
  <si>
    <t>001-502-000000381</t>
  </si>
  <si>
    <t>TP251905680</t>
  </si>
  <si>
    <t>TZ24AN16161</t>
  </si>
  <si>
    <t>TP253H02262</t>
  </si>
  <si>
    <t>ZP255500582</t>
  </si>
  <si>
    <t>PATRICIA RAMIREZ</t>
  </si>
  <si>
    <t>CALLE LA MANZANILLA</t>
  </si>
  <si>
    <t>0102539756</t>
  </si>
  <si>
    <t>PATRAMTO68@GMAIL.COM</t>
  </si>
  <si>
    <t>043-905-000089006</t>
  </si>
  <si>
    <t>TZ255U24040</t>
  </si>
  <si>
    <t>TP252K03536</t>
  </si>
  <si>
    <t>ZP255900438</t>
  </si>
  <si>
    <t>WILSON VILLVICENCIO</t>
  </si>
  <si>
    <t>RIO AMARILLO</t>
  </si>
  <si>
    <t>010579073</t>
  </si>
  <si>
    <t>WAIC-36@HOTMAIL.COM</t>
  </si>
  <si>
    <t>14/1025</t>
  </si>
  <si>
    <t>COMO HOGAR</t>
  </si>
  <si>
    <t>040-103-000016648</t>
  </si>
  <si>
    <t>TZ2241024141</t>
  </si>
  <si>
    <t>MARIA ALEXANDROVA</t>
  </si>
  <si>
    <t>CONDOMINIO ALANI</t>
  </si>
  <si>
    <t>1762513396</t>
  </si>
  <si>
    <t>KASTYMACIASZZ@HOTMAIL.COM</t>
  </si>
  <si>
    <t>040-104-000014000</t>
  </si>
  <si>
    <t>ZP2559000400</t>
  </si>
  <si>
    <t>TP246208294</t>
  </si>
  <si>
    <t>PAUL FIGEROA</t>
  </si>
  <si>
    <t>AV. 24 DE MAYO</t>
  </si>
  <si>
    <t>0105284491001</t>
  </si>
  <si>
    <t>POOL.FINO@HOTMAIL.COM</t>
  </si>
  <si>
    <t>TZ241B12013</t>
  </si>
  <si>
    <t>CO256E00713</t>
  </si>
  <si>
    <t>CO256E00805</t>
  </si>
  <si>
    <t>CO249E00170</t>
  </si>
  <si>
    <t>C0249E00181</t>
  </si>
  <si>
    <t>KYWI(CRISTIAN MESA)</t>
  </si>
  <si>
    <t>WYRA PLAZA</t>
  </si>
  <si>
    <t>CORREO ELECTRONICO</t>
  </si>
  <si>
    <t>13135652267</t>
  </si>
  <si>
    <t>freddy20@kiwi.com.ec</t>
  </si>
  <si>
    <t>001-500-000077610</t>
  </si>
  <si>
    <t>CO249E00433</t>
  </si>
  <si>
    <t>LIMON INDANZA</t>
  </si>
  <si>
    <t>1400401996</t>
  </si>
  <si>
    <t>DIANACARDENAS28@HOTMAIL.COM</t>
  </si>
  <si>
    <t>043-401-000033631</t>
  </si>
  <si>
    <t>CO256E00724</t>
  </si>
  <si>
    <t>21/1025</t>
  </si>
  <si>
    <t>MARIA DEL CARMEN MARTINEZ</t>
  </si>
  <si>
    <t>VICTOR ALBORNOZ</t>
  </si>
  <si>
    <t>0102674306</t>
  </si>
  <si>
    <t>MMRTINEZCARD@GMAIL.COM</t>
  </si>
  <si>
    <t>CO256E00736</t>
  </si>
  <si>
    <t>COMERCIAL SOLIS(DORIS CHICAIZA</t>
  </si>
  <si>
    <t>LAMAR PRINCIPAL</t>
  </si>
  <si>
    <t>0104088265</t>
  </si>
  <si>
    <t>VENTAS@COMERCIALSOLIS.COM.EC</t>
  </si>
  <si>
    <t>001-500-000078022</t>
  </si>
  <si>
    <t>CO249E00591</t>
  </si>
  <si>
    <t>EULALIA AMOROSO</t>
  </si>
  <si>
    <t>INAQUITO 1-42</t>
  </si>
  <si>
    <t>0300427192</t>
  </si>
  <si>
    <t>ESTMUNDONOVA54@HOTMAIL.COM</t>
  </si>
  <si>
    <t>040-104-000013223</t>
  </si>
  <si>
    <t>MD255L07847</t>
  </si>
  <si>
    <t>ADRIANA ORELLANA</t>
  </si>
  <si>
    <t>MANUEL CORONEL VELASTEGUI</t>
  </si>
  <si>
    <t>0909585432</t>
  </si>
  <si>
    <t>VICTOR.PALACIOS@OUTLLOK.COM</t>
  </si>
  <si>
    <t>043-905-000096238</t>
  </si>
  <si>
    <t>TP249A02200</t>
  </si>
  <si>
    <t>CUENCA ORO HOTELERA</t>
  </si>
  <si>
    <t>AV.ORDONEZ LASSO</t>
  </si>
  <si>
    <t>0190085376001</t>
  </si>
  <si>
    <t>MCASTRO@HOTELOROVERDE.COM</t>
  </si>
  <si>
    <t>ALMACENES ESPAÑA</t>
  </si>
  <si>
    <t>008-501-000009784</t>
  </si>
  <si>
    <t>TP249R04007</t>
  </si>
  <si>
    <t>MARCELO TORAL</t>
  </si>
  <si>
    <t xml:space="preserve">AV 3 DE NOVIEMBRE </t>
  </si>
  <si>
    <t>0104146188001</t>
  </si>
  <si>
    <t>MARCETORLA@YAHOO.COM</t>
  </si>
  <si>
    <t>040-103-000015202</t>
  </si>
  <si>
    <t>AW24A800081</t>
  </si>
  <si>
    <t>FERNANDO ALVARADO</t>
  </si>
  <si>
    <t>AV. 1 DE MYO</t>
  </si>
  <si>
    <t>0102586961</t>
  </si>
  <si>
    <t>FERALVARADOP@HOTMAIL.COM</t>
  </si>
  <si>
    <t>043-907-000034320</t>
  </si>
  <si>
    <t>AW24A800106</t>
  </si>
  <si>
    <t>PATRICIA CAZORLA</t>
  </si>
  <si>
    <t>CHALLUABAMBA</t>
  </si>
  <si>
    <t>0102116654</t>
  </si>
  <si>
    <t>PATTYCAZORLA@HOTMAIL.COM</t>
  </si>
  <si>
    <t>043-903-000022731</t>
  </si>
  <si>
    <t>TZ2436047531</t>
  </si>
  <si>
    <t>FANNY MARCHAN</t>
  </si>
  <si>
    <t>AV. JULIA BERNAL</t>
  </si>
  <si>
    <t>0102483409</t>
  </si>
  <si>
    <t>FMARCHANG-30@HOTMAIL.COM</t>
  </si>
  <si>
    <t>016-902-000533286</t>
  </si>
  <si>
    <t>ZP203T00008</t>
  </si>
  <si>
    <t>DIEGO ALVARADO</t>
  </si>
  <si>
    <t>CALLE LOS FRESNOS 2 68</t>
  </si>
  <si>
    <t>010103005</t>
  </si>
  <si>
    <t>DIEGOALCO@YAHOO.COM</t>
  </si>
  <si>
    <t>093-902-000063632</t>
  </si>
  <si>
    <t>TP25ET05257</t>
  </si>
  <si>
    <t>SANTIAGO SEGARRA</t>
  </si>
  <si>
    <t>EL VALLE</t>
  </si>
  <si>
    <t>1716266117</t>
  </si>
  <si>
    <t>SSEGARRA@ETAPA.NET.EC</t>
  </si>
  <si>
    <t>043-401-000032447</t>
  </si>
  <si>
    <t>TP256T14809</t>
  </si>
  <si>
    <t>TZ256W29819</t>
  </si>
  <si>
    <t>TP257V02146</t>
  </si>
  <si>
    <t>LUIS ROMO</t>
  </si>
  <si>
    <t>AV. DON BOSCO</t>
  </si>
  <si>
    <t>0301529822001</t>
  </si>
  <si>
    <t>LUISROMO@AUTOEXFO.EC</t>
  </si>
  <si>
    <t>026-906-000111007</t>
  </si>
  <si>
    <t>TP257411070</t>
  </si>
  <si>
    <t>TP246H02778</t>
  </si>
  <si>
    <t>ZP22C00050</t>
  </si>
  <si>
    <t>ZP251800332</t>
  </si>
  <si>
    <t>TERESA BARRETO</t>
  </si>
  <si>
    <t>AV. DE LAS AMERICAS</t>
  </si>
  <si>
    <t>011227452001</t>
  </si>
  <si>
    <t>EUGIN.BARRET.2020@GMAIL.COM</t>
  </si>
  <si>
    <t>19/1025</t>
  </si>
  <si>
    <t>PCAZORLACH@GMAIL.COM</t>
  </si>
  <si>
    <t>043-903-000101314</t>
  </si>
  <si>
    <t>TZ25601567</t>
  </si>
  <si>
    <t>PEDRO VALLEJO</t>
  </si>
  <si>
    <t>BETHOVEN Y DEL CHARANGO</t>
  </si>
  <si>
    <t>0103663183</t>
  </si>
  <si>
    <t>PEZVACAB@HOTMAIL.COM</t>
  </si>
  <si>
    <t>TP243K04131</t>
  </si>
  <si>
    <t>001-500-000078091</t>
  </si>
  <si>
    <t>BELEN WEBSTER</t>
  </si>
  <si>
    <t>PUERTAS DEL SOL</t>
  </si>
  <si>
    <t>1710585405001</t>
  </si>
  <si>
    <t>CECERESBAIXERAS@GMAIL.COM</t>
  </si>
  <si>
    <t>016-907-000278298</t>
  </si>
  <si>
    <t>TP256610942</t>
  </si>
  <si>
    <t>MIGUEL TOLEDO</t>
  </si>
  <si>
    <t>ORDONEZ LASSO/BALSAY</t>
  </si>
  <si>
    <t>0101042158</t>
  </si>
  <si>
    <t>MIALTO53@HOTMAIL.COM</t>
  </si>
  <si>
    <t>001-500-000076961</t>
  </si>
  <si>
    <t>ZP24C300400</t>
  </si>
  <si>
    <t>INES LOPEZ</t>
  </si>
  <si>
    <t>EDIFICIO OTERO</t>
  </si>
  <si>
    <t>0301628517</t>
  </si>
  <si>
    <t>BERNICR@HOTMAIL.COM</t>
  </si>
  <si>
    <t xml:space="preserve">ALMACENES </t>
  </si>
  <si>
    <t>CODIGO DEL PRODUCTO</t>
  </si>
  <si>
    <t>DESCRIPCION DE PRODUCTO</t>
  </si>
  <si>
    <t>SERIE DEL EQUIPO</t>
  </si>
  <si>
    <t>CIUDAD</t>
  </si>
  <si>
    <t>FECHA INSTALACION</t>
  </si>
  <si>
    <t>DIRECCION INSTALACION</t>
  </si>
  <si>
    <t>COMO LLEGO INFORMACION</t>
  </si>
  <si>
    <t>OBSERVACION</t>
  </si>
  <si>
    <t>ZP255900388</t>
  </si>
  <si>
    <t>SOLEDAD MORALES</t>
  </si>
  <si>
    <t>0704391713</t>
  </si>
  <si>
    <t>SOLMORALES2015@HOTMAIL.COM</t>
  </si>
  <si>
    <t>004-010-000005378</t>
  </si>
  <si>
    <t>MERCARD</t>
  </si>
  <si>
    <t>001-001-000001294</t>
  </si>
  <si>
    <t>TP246LO8050</t>
  </si>
  <si>
    <t>JORGE ZUÑIGA</t>
  </si>
  <si>
    <t>24 DE MAYO Y AMERICAS</t>
  </si>
  <si>
    <t>0101124377001</t>
  </si>
  <si>
    <t>JORGEZUNIGAJARA@HOTMAIL.COM</t>
  </si>
  <si>
    <t>ZP255G00503</t>
  </si>
  <si>
    <t>001-001-000001256</t>
  </si>
  <si>
    <t>040-104-000014247</t>
  </si>
  <si>
    <t>ZP253T00092</t>
  </si>
  <si>
    <t>BYRON TENESACA</t>
  </si>
  <si>
    <t>CRUZ DE MISICATA</t>
  </si>
  <si>
    <t>0106513038</t>
  </si>
  <si>
    <t>FABRICIOTENESACA@PACAJEAN.COM</t>
  </si>
  <si>
    <t>001-500-000077486</t>
  </si>
  <si>
    <t>TP256T14786</t>
  </si>
  <si>
    <t>EDUARDO UGALDE</t>
  </si>
  <si>
    <t>JUANINIGUEZ</t>
  </si>
  <si>
    <t>019514728001</t>
  </si>
  <si>
    <t>ALIV.SOS@HOTMAIL.COM</t>
  </si>
  <si>
    <t>HOME VEGA</t>
  </si>
  <si>
    <t>007-000037229</t>
  </si>
  <si>
    <t>PX24AX00100</t>
  </si>
  <si>
    <t>TP251U02546</t>
  </si>
  <si>
    <t>ZP24B502193</t>
  </si>
  <si>
    <t>TZ24AW24306</t>
  </si>
  <si>
    <t>ZP236000044</t>
  </si>
  <si>
    <t>DAVID MUÑOZ</t>
  </si>
  <si>
    <t>0101174489</t>
  </si>
  <si>
    <t>DAVIDMUNOX30@HOTMAIL.COM</t>
  </si>
  <si>
    <t>001-500-000076514</t>
  </si>
  <si>
    <t>SUKASA</t>
  </si>
  <si>
    <t>040-103-000016710</t>
  </si>
  <si>
    <t>ZP255P00591</t>
  </si>
  <si>
    <t>TP257207293</t>
  </si>
  <si>
    <t>TZ255K13765</t>
  </si>
  <si>
    <t>MARIA EUGENIA MOLINA</t>
  </si>
  <si>
    <t>BENIGNO MALO 11 82</t>
  </si>
  <si>
    <t>0102918992</t>
  </si>
  <si>
    <t>EUGENIAMOLINA42@HOTMAIL.COM</t>
  </si>
  <si>
    <t>001-500-000076779</t>
  </si>
  <si>
    <t>TP257207352</t>
  </si>
  <si>
    <t>ZP255800588</t>
  </si>
  <si>
    <t>DAMARIS MARIS</t>
  </si>
  <si>
    <t>PAUTE</t>
  </si>
  <si>
    <t>0101486355</t>
  </si>
  <si>
    <t>DAMARISMARIN23@GMAIL.COM</t>
  </si>
  <si>
    <t>001-500-000077798</t>
  </si>
  <si>
    <t>ZP255500685</t>
  </si>
  <si>
    <t>TZ255VU27213</t>
  </si>
  <si>
    <t>CRISTIAN VILLOTA</t>
  </si>
  <si>
    <t>PIMIENTA Y VAINILLA</t>
  </si>
  <si>
    <t>0152857017</t>
  </si>
  <si>
    <t>URTUBIAALEX@HOTMAIL.COM</t>
  </si>
  <si>
    <t>001-500-000077441</t>
  </si>
  <si>
    <t>ZP252H00750</t>
  </si>
  <si>
    <t>TP254E02228</t>
  </si>
  <si>
    <t>31.10/25</t>
  </si>
  <si>
    <t>PATRICIA RODAS</t>
  </si>
  <si>
    <t>TODOS SANTOS</t>
  </si>
  <si>
    <t>0101304426001</t>
  </si>
  <si>
    <t>ENMARODASF@HOTMAIL.COM</t>
  </si>
  <si>
    <t>001-500-000077586</t>
  </si>
  <si>
    <t>001-001-000000332</t>
  </si>
  <si>
    <t>EK256J00071</t>
  </si>
  <si>
    <t>TZ245V29115</t>
  </si>
  <si>
    <t>TP253Q00296</t>
  </si>
  <si>
    <t>GABRIELA MUÑOZ</t>
  </si>
  <si>
    <t>AV. LEONIDAS PROAÑO</t>
  </si>
  <si>
    <t>010514147</t>
  </si>
  <si>
    <t>GABIMUÑOZZB@GMAIL.COM</t>
  </si>
  <si>
    <t>CO256E00882</t>
  </si>
  <si>
    <t>CO249E00438</t>
  </si>
  <si>
    <t>KIWI(ALEX GARAY)</t>
  </si>
  <si>
    <t>ELIA LIUT</t>
  </si>
  <si>
    <t>0150905453</t>
  </si>
  <si>
    <t>CONTACT@SUPORT.KYWI.COM</t>
  </si>
  <si>
    <t>001-500-000076246</t>
  </si>
  <si>
    <t>TZ255U23846</t>
  </si>
  <si>
    <t>TP255E07855</t>
  </si>
  <si>
    <t>ZP256C006061</t>
  </si>
  <si>
    <t>CLARA MEDINA</t>
  </si>
  <si>
    <t>AV 24 DE MAYO EDIFICIO RYO</t>
  </si>
  <si>
    <t>0101043772</t>
  </si>
  <si>
    <t>CLARAMEDINALEON@HOTMAIL.ES</t>
  </si>
  <si>
    <t>001-500-000076427</t>
  </si>
  <si>
    <t>001-500-000076249</t>
  </si>
  <si>
    <t>043-901-000025856</t>
  </si>
  <si>
    <t>CO249E00345</t>
  </si>
  <si>
    <t>JULIO TORAL</t>
  </si>
  <si>
    <t>PENCAS 3 31</t>
  </si>
  <si>
    <t>0102146834</t>
  </si>
  <si>
    <t>SEGUROSJET@GMAIL.COM</t>
  </si>
  <si>
    <t>043-901-000035947</t>
  </si>
  <si>
    <t>CO256E00118</t>
  </si>
  <si>
    <t>JUAN PABLO ARIAS</t>
  </si>
  <si>
    <t>VIA A BANOS</t>
  </si>
  <si>
    <t>0103964416001</t>
  </si>
  <si>
    <t>MOHELEPODNECOQ@GMAIL.COM</t>
  </si>
  <si>
    <t>TP254105579</t>
  </si>
  <si>
    <t xml:space="preserve">KYWI/WYRA/JHON </t>
  </si>
  <si>
    <t>AV 24 DE MAYO</t>
  </si>
  <si>
    <t>098949296</t>
  </si>
  <si>
    <t>TP251905672</t>
  </si>
  <si>
    <t>ANA GUERRERO</t>
  </si>
  <si>
    <t>SOPORTE MICROSWITCH FUERA DE POSICION</t>
  </si>
  <si>
    <t>010493518</t>
  </si>
  <si>
    <t>FACTURASGMLAB@GMAIL.COM</t>
  </si>
  <si>
    <t>001-500-000071654</t>
  </si>
  <si>
    <t>003-170027733</t>
  </si>
  <si>
    <t>MD255L07944</t>
  </si>
  <si>
    <t>ISMAEL HERNANDEZ</t>
  </si>
  <si>
    <t>0195135576001</t>
  </si>
  <si>
    <t>HERNANDEZISMAEL28@HOTMAIL.COM</t>
  </si>
  <si>
    <t>040-104-000014327</t>
  </si>
  <si>
    <t>ZP257701396</t>
  </si>
  <si>
    <t>VERONICA CALLE</t>
  </si>
  <si>
    <t>TOTORACOCHA</t>
  </si>
  <si>
    <t>0301716460</t>
  </si>
  <si>
    <t>VEROCALLE 1980@HOTMAIL.COM</t>
  </si>
  <si>
    <t>001-500-000077657</t>
  </si>
  <si>
    <t>ZP257701358</t>
  </si>
  <si>
    <t>VERONICA ORDEN</t>
  </si>
  <si>
    <t>SININCAY</t>
  </si>
  <si>
    <t>0105357172</t>
  </si>
  <si>
    <t>VERONICAORDEN@GMAIL.COM</t>
  </si>
  <si>
    <t>001-001-000001336</t>
  </si>
  <si>
    <t>TP257U02122</t>
  </si>
  <si>
    <t>CARLOS GONZALES</t>
  </si>
  <si>
    <t>AV. PASEO 3 DE NOVIEMBRE</t>
  </si>
  <si>
    <t>0101791291</t>
  </si>
  <si>
    <t>LORENA.ANDRADEGI@GMAIL.COM</t>
  </si>
  <si>
    <t>016-907-000259142</t>
  </si>
  <si>
    <t>TZ245229164</t>
  </si>
  <si>
    <t>TP249900073</t>
  </si>
  <si>
    <t>ZP24C300418</t>
  </si>
  <si>
    <t>EY247H00002</t>
  </si>
  <si>
    <t>016-906-000000106</t>
  </si>
  <si>
    <t>ALEXANDRA IDROVO</t>
  </si>
  <si>
    <t>ASTERDAM Y ROMA</t>
  </si>
  <si>
    <t>0105030004001</t>
  </si>
  <si>
    <t>ALEXANDRAIDROVO1989@GMAIL.COM</t>
  </si>
  <si>
    <t>BOYACA</t>
  </si>
  <si>
    <t>014-004-000071054</t>
  </si>
  <si>
    <t>AW234800280</t>
  </si>
  <si>
    <t>TZ256D15672</t>
  </si>
  <si>
    <t>TP232702711</t>
  </si>
  <si>
    <t>ZP257G00818</t>
  </si>
  <si>
    <t>TP256509501</t>
  </si>
  <si>
    <t>JAIME MERCHAN</t>
  </si>
  <si>
    <t>AV PASEO 3 DE NOVIEMBRE</t>
  </si>
  <si>
    <t>0909708646</t>
  </si>
  <si>
    <t>NOINDICACORREO</t>
  </si>
  <si>
    <t>040-103-000016219</t>
  </si>
  <si>
    <t>TZ241B10474</t>
  </si>
  <si>
    <t>ZP256600288</t>
  </si>
  <si>
    <t>ZP255P00586</t>
  </si>
  <si>
    <t>TP254E02222</t>
  </si>
  <si>
    <t>SANTIAGO PALACIOS</t>
  </si>
  <si>
    <t>AV. ORDONEZ LASSO</t>
  </si>
  <si>
    <t>0302714761</t>
  </si>
  <si>
    <t>TATAGUSTA@HOTMAIL.COM</t>
  </si>
  <si>
    <t>001-500-000078453</t>
  </si>
  <si>
    <t>CO256E00411</t>
  </si>
  <si>
    <t>LEONOR MOYANO</t>
  </si>
  <si>
    <t>THOMAS ORDONEZ 12 56</t>
  </si>
  <si>
    <t>0100998699001</t>
  </si>
  <si>
    <t>HUBERMEO@HOTMAIL.COM</t>
  </si>
  <si>
    <t>001-500-000077257</t>
  </si>
  <si>
    <t>ZP257701281</t>
  </si>
  <si>
    <t>SUSANA PACHECO</t>
  </si>
  <si>
    <t>010223561</t>
  </si>
  <si>
    <t>PAULESJILA@GMAIL.COM</t>
  </si>
  <si>
    <t>001-502-000000561</t>
  </si>
  <si>
    <t>TKZAC5F2691001525052220134</t>
  </si>
  <si>
    <t>CESAR FREIRE</t>
  </si>
  <si>
    <t>CALLE DEL MORRO</t>
  </si>
  <si>
    <t>0101810455</t>
  </si>
  <si>
    <t>NELITORRES273@GMAIL.COM</t>
  </si>
  <si>
    <t>014-004-000071254</t>
  </si>
  <si>
    <t>ISABEL VINTIMILLA</t>
  </si>
  <si>
    <t>PASEO 3 DE NOVIEMBRE</t>
  </si>
  <si>
    <t>NO INDICA</t>
  </si>
  <si>
    <t>007-007-000031372</t>
  </si>
  <si>
    <t>TZ243102737</t>
  </si>
  <si>
    <t>TP241W02588</t>
  </si>
  <si>
    <t>ZP242100628</t>
  </si>
  <si>
    <t>MD249L05956</t>
  </si>
  <si>
    <t>MIRIAM MARCA</t>
  </si>
  <si>
    <t>GUALACEO</t>
  </si>
  <si>
    <t>0103217352</t>
  </si>
  <si>
    <t>FPELAEZ0@YAHOO.COM</t>
  </si>
  <si>
    <t>007-005-000136176</t>
  </si>
  <si>
    <t>001-500-000000201</t>
  </si>
  <si>
    <t>TP245L01854</t>
  </si>
  <si>
    <t>PABLO GALARZA</t>
  </si>
  <si>
    <t>CHORDELEG</t>
  </si>
  <si>
    <t>0103912283</t>
  </si>
  <si>
    <t>TURIZO3@HOTMAIL.COM</t>
  </si>
  <si>
    <t>TP243604707</t>
  </si>
  <si>
    <t>ZP24CL00231</t>
  </si>
  <si>
    <t>001-500-000078353</t>
  </si>
  <si>
    <t>CO256E00513</t>
  </si>
  <si>
    <t>TIFFANY VIDAL</t>
  </si>
  <si>
    <t>VIA MONAY BAGUANCHI</t>
  </si>
  <si>
    <t>0150307247</t>
  </si>
  <si>
    <t>TAFANYVIDAL11@GMAIL.COM</t>
  </si>
  <si>
    <t>TZ257M21554</t>
  </si>
  <si>
    <t>016-902-000541991</t>
  </si>
  <si>
    <t>TP248L01284</t>
  </si>
  <si>
    <t>MONICA JUELA</t>
  </si>
  <si>
    <t>TOMAS DE HERES Y ANTONIO FARFAN</t>
  </si>
  <si>
    <t>0102524188</t>
  </si>
  <si>
    <t>MONICAJUELA@GMAIL.COM</t>
  </si>
  <si>
    <t>040-101-000000496</t>
  </si>
  <si>
    <t>TZ247H16478</t>
  </si>
  <si>
    <t>TP233PO7951</t>
  </si>
  <si>
    <t>JZC96342BB</t>
  </si>
  <si>
    <t>PX246300252</t>
  </si>
  <si>
    <t>PRISCILA CALDERON</t>
  </si>
  <si>
    <t>019048144001</t>
  </si>
  <si>
    <t>040-101-000000495</t>
  </si>
  <si>
    <t>040-101-000000796</t>
  </si>
  <si>
    <t>MW24BA07883</t>
  </si>
  <si>
    <t>TZ23AW21261</t>
  </si>
  <si>
    <t>LESLIE AUCAPINA</t>
  </si>
  <si>
    <t>PRADO ALTO 2</t>
  </si>
  <si>
    <t>QUINTA CHICA</t>
  </si>
  <si>
    <t>0104486139</t>
  </si>
  <si>
    <t>LIESLIEALEXANDRA19@OUTLOOK.COM</t>
  </si>
  <si>
    <t>040-103-000015738</t>
  </si>
  <si>
    <t>TP255C06225</t>
  </si>
  <si>
    <t>TZ256404853</t>
  </si>
  <si>
    <t>PX24C2004781</t>
  </si>
  <si>
    <t>ZP25ZE00017</t>
  </si>
  <si>
    <t>FERNANDA JACOME</t>
  </si>
  <si>
    <t>EDIFICIO RYO</t>
  </si>
  <si>
    <t>0103199309</t>
  </si>
  <si>
    <t>MAFERJACOME87@GMAIL.COM</t>
  </si>
  <si>
    <t>043-901-000031950</t>
  </si>
  <si>
    <t>TP233306138</t>
  </si>
  <si>
    <t>ZP241X00197</t>
  </si>
  <si>
    <t>TZZ55U24072</t>
  </si>
  <si>
    <t>JUAN AVILA</t>
  </si>
  <si>
    <t>EXEQUIEL MARQUEZ 1 93</t>
  </si>
  <si>
    <t>0101293314</t>
  </si>
  <si>
    <t>SAPGLORIA@YAHOO.COM</t>
  </si>
  <si>
    <t>PRISCALDERONPA2@HOTMAIL.COM</t>
  </si>
  <si>
    <t>043-901-000081922</t>
  </si>
  <si>
    <t>ZP249P00282</t>
  </si>
  <si>
    <t>TZ24W276085</t>
  </si>
  <si>
    <t>TP253BO3155</t>
  </si>
  <si>
    <t>SEBASTIAN LARRIVA</t>
  </si>
  <si>
    <t xml:space="preserve">LA PRENSA </t>
  </si>
  <si>
    <t>0106647530001</t>
  </si>
  <si>
    <t>SEBASTIANLARRIVANOVO@GMAIL.COM</t>
  </si>
  <si>
    <t>001-502-00000868</t>
  </si>
  <si>
    <t>ZP257701300</t>
  </si>
  <si>
    <t>PATRICIA AGUIRRE GRANDA</t>
  </si>
  <si>
    <t>GUAJIBAMBA</t>
  </si>
  <si>
    <t>0104436829</t>
  </si>
  <si>
    <t>PATRICIAAGUIRRE87@HOTMAIL.COM</t>
  </si>
  <si>
    <t>016-907-000272271</t>
  </si>
  <si>
    <t>ZP252400352</t>
  </si>
  <si>
    <t>AIDA ARGUDO</t>
  </si>
  <si>
    <t>0100547553</t>
  </si>
  <si>
    <t>CRISLIT77@GMAIL.COM</t>
  </si>
  <si>
    <t>043-901-000286779</t>
  </si>
  <si>
    <t>ZP258100299</t>
  </si>
  <si>
    <t xml:space="preserve">FRANCISCO CALLE </t>
  </si>
  <si>
    <t>0102964343</t>
  </si>
  <si>
    <t>PANCHOCALLE01@GMAIL.COM</t>
  </si>
  <si>
    <t>043-902-000002154</t>
  </si>
  <si>
    <t>TZ256W29813</t>
  </si>
  <si>
    <t>FRANCIS GUETTI</t>
  </si>
  <si>
    <t>AV DEL TEJAR</t>
  </si>
  <si>
    <t>0152763785</t>
  </si>
  <si>
    <t>MATIASFRANCISGUETTI@GMAIL.COM</t>
  </si>
  <si>
    <t>027-911-000948322</t>
  </si>
  <si>
    <t>ZP257X00035</t>
  </si>
  <si>
    <t>TZ24A202612</t>
  </si>
  <si>
    <t>111910000004022</t>
  </si>
  <si>
    <t>CARMEN LEON</t>
  </si>
  <si>
    <t>AV. MANUEL QUIROGA</t>
  </si>
  <si>
    <t>0914592645001</t>
  </si>
  <si>
    <t>CARMITA031162@HOTMAIL.COM</t>
  </si>
  <si>
    <t>001-500-000074082</t>
  </si>
  <si>
    <t>001-500-000077768</t>
  </si>
  <si>
    <t>ZP246K00171</t>
  </si>
  <si>
    <t>TP24BVO5917</t>
  </si>
  <si>
    <t>TZ245806343</t>
  </si>
  <si>
    <t>ZOILA MARIN</t>
  </si>
  <si>
    <t>VIA PACCHA</t>
  </si>
  <si>
    <t>1400241434</t>
  </si>
  <si>
    <t>MNARCISA@HOTMAIL.COM</t>
  </si>
  <si>
    <t>001-500-000078440</t>
  </si>
  <si>
    <t>TZ255CO6537</t>
  </si>
  <si>
    <t>PAMELA BORJA</t>
  </si>
  <si>
    <t>FRANCISCO TAMARIZ</t>
  </si>
  <si>
    <t>0301529503</t>
  </si>
  <si>
    <t>PAMELABORJA88@HOTMAIL.COM</t>
  </si>
  <si>
    <t>016-902-000520042</t>
  </si>
  <si>
    <t>ZP24BM00284</t>
  </si>
  <si>
    <t>TP256T14815</t>
  </si>
  <si>
    <t>NORA UGALDE</t>
  </si>
  <si>
    <t>CAMBIO D EPRODUCTO, PRESENTABA DANOS ESTRUCTURALES IRREPARABLES</t>
  </si>
  <si>
    <t>ALI.SCS@HOTMAIL.COM</t>
  </si>
  <si>
    <t>PLACA DE POTENCIA I100 DERECHA</t>
  </si>
  <si>
    <t>ZP22BGOOO63</t>
  </si>
  <si>
    <t>ANGELICA SIGUENZA</t>
  </si>
  <si>
    <t>CODIGO DE ERROR F47</t>
  </si>
  <si>
    <t>03017056651</t>
  </si>
  <si>
    <t>ANGELICASIGUENZA@YAHOO.COM</t>
  </si>
  <si>
    <t>016-907-000169625</t>
  </si>
  <si>
    <t>GENERADOR ENCENDIDO SAL. 120 240</t>
  </si>
  <si>
    <t>ZP251T00347</t>
  </si>
  <si>
    <t>GLORIA GAYBOR</t>
  </si>
  <si>
    <t>MODULO DE ENCENDIDO QUEMADO</t>
  </si>
  <si>
    <t>GLORIAGAYBOR@HOTMAIL.COM</t>
  </si>
  <si>
    <t>0200365518</t>
  </si>
  <si>
    <t>001-500-000072939</t>
  </si>
  <si>
    <t>CONJUNTO TOUCH CONTROL</t>
  </si>
  <si>
    <t>ZP252B00379</t>
  </si>
  <si>
    <t>GABRIELA MALO</t>
  </si>
  <si>
    <t>TOUCH COMPLETO NO TRABAJA</t>
  </si>
  <si>
    <t>0103642328</t>
  </si>
  <si>
    <t>GABYMALO@HOTMAIL.COM</t>
  </si>
  <si>
    <t>040-104-000011595</t>
  </si>
  <si>
    <t>BOMBA DE AGUA NO ENCIENDE</t>
  </si>
  <si>
    <t>BOMBA DESAGUE DFI 46950 120V 60HZ</t>
  </si>
  <si>
    <t>SE CAMBIA CRISTAL  TRIZADO</t>
  </si>
  <si>
    <t>040-104-000014429</t>
  </si>
  <si>
    <t>ZP255900403</t>
  </si>
  <si>
    <t>PX257300110</t>
  </si>
  <si>
    <t>TZ257A11914</t>
  </si>
  <si>
    <t>WILMA CALDERON</t>
  </si>
  <si>
    <t>CASA TODOS SANTOS</t>
  </si>
  <si>
    <t>0103281127</t>
  </si>
  <si>
    <t>WILMACUMANDACS@GMAIL.COM</t>
  </si>
  <si>
    <t>TP245103581</t>
  </si>
  <si>
    <t>TZ256W29864</t>
  </si>
  <si>
    <t>TP256T14785</t>
  </si>
  <si>
    <t>MIRIAM VELEZ</t>
  </si>
  <si>
    <t>EDIFICIO VAZCO</t>
  </si>
  <si>
    <t>0300496197</t>
  </si>
  <si>
    <t>BOLIVARROMO768@GMAIL.COM</t>
  </si>
  <si>
    <t>043-901-00001974</t>
  </si>
  <si>
    <t>040-103-000017024</t>
  </si>
  <si>
    <t>TP236T03941</t>
  </si>
  <si>
    <t>ZP295D00277</t>
  </si>
  <si>
    <t>ESTHER ORELLANA</t>
  </si>
  <si>
    <t>0102295917</t>
  </si>
  <si>
    <t>loliorellana18@gmail.com</t>
  </si>
  <si>
    <t>043-905-000103002</t>
  </si>
  <si>
    <t>LARRY VON ESCHEN</t>
  </si>
  <si>
    <t>EDIFICIO TERRA</t>
  </si>
  <si>
    <t>01051346087</t>
  </si>
  <si>
    <t>LARRYVONESCHEN@GMAIL.COM</t>
  </si>
  <si>
    <t>CONJUNTO MODULO INDUCCION 4I TEKA</t>
  </si>
  <si>
    <t>ZP23A60082</t>
  </si>
  <si>
    <t>FERNANDO GONZALES</t>
  </si>
  <si>
    <t>EL CONJUNTO MODULO NO TRABAJA</t>
  </si>
  <si>
    <t>0102711256001</t>
  </si>
  <si>
    <t>GERENCIA@FOGOCOTO.COM.EC</t>
  </si>
  <si>
    <t>001-101-000002700</t>
  </si>
  <si>
    <t>PARRILLA HIERRO FUNDIDO 2 GAS</t>
  </si>
  <si>
    <t>ZP257600813</t>
  </si>
  <si>
    <t>PARRILLA NO ENCAJA CORRECTAMENTE</t>
  </si>
  <si>
    <t>LORENA.ANDRADE38@GMAIL.COM</t>
  </si>
  <si>
    <t>001-001-0000001336</t>
  </si>
  <si>
    <t>001-500-000076630</t>
  </si>
  <si>
    <t>TKZZC5F2691</t>
  </si>
  <si>
    <t>TZ257H21563</t>
  </si>
  <si>
    <t>PX255700021</t>
  </si>
  <si>
    <t>ZP24BT00901</t>
  </si>
  <si>
    <t>GUADALUPE PEÑALOZA</t>
  </si>
  <si>
    <t>SAYAUSI</t>
  </si>
  <si>
    <t>0101369718</t>
  </si>
  <si>
    <t>LUPEYARIS@YAHOO.COM</t>
  </si>
  <si>
    <t>001-502-000000267</t>
  </si>
  <si>
    <t>TZ256405022</t>
  </si>
  <si>
    <t>ZP255500580</t>
  </si>
  <si>
    <t>EK249L00065</t>
  </si>
  <si>
    <t>GABRIELA COBOS</t>
  </si>
  <si>
    <t>LOS LADRILLEROS</t>
  </si>
  <si>
    <t>0106421340</t>
  </si>
  <si>
    <t>GABYCOBOS1990@HOTMAIL.COM</t>
  </si>
  <si>
    <t>CO256E00512</t>
  </si>
  <si>
    <t>GUADALUPE PENALOZA</t>
  </si>
  <si>
    <t>0101369728</t>
  </si>
  <si>
    <t>LUPEYEIS@YAHOO.COM</t>
  </si>
  <si>
    <t>001-500-000006112</t>
  </si>
  <si>
    <t>EK24BL00007</t>
  </si>
  <si>
    <t>ANA OCHOA</t>
  </si>
  <si>
    <t>AV 1 DE MAYO</t>
  </si>
  <si>
    <t>010590925</t>
  </si>
  <si>
    <t>ONCOCHOP196@GMAIL.COM</t>
  </si>
  <si>
    <t>043-905-000102238</t>
  </si>
  <si>
    <t>TZ254F08067</t>
  </si>
  <si>
    <t>CRISTINA CASTILLO</t>
  </si>
  <si>
    <t>ALAMOS Y O. LASSO</t>
  </si>
  <si>
    <t>1105534073</t>
  </si>
  <si>
    <t>CNSCOSMORA96@GMAIL.COM</t>
  </si>
  <si>
    <t>016-807-000281042</t>
  </si>
  <si>
    <t>TP24BV05921</t>
  </si>
  <si>
    <t>NUBE JIMENEZ</t>
  </si>
  <si>
    <t>RICAURTE</t>
  </si>
  <si>
    <t>0103675443</t>
  </si>
  <si>
    <t>NUBEJIMENEZ93@HOTMAIL.COM</t>
  </si>
  <si>
    <t>006-002-000158175</t>
  </si>
  <si>
    <t>TZ25562051</t>
  </si>
  <si>
    <t>TP246708465</t>
  </si>
  <si>
    <t>ZP225D00195</t>
  </si>
  <si>
    <t>HUGO ERRAEZ</t>
  </si>
  <si>
    <t>0104122478</t>
  </si>
  <si>
    <t>ALFREDOHAEC31@GMAIL.COM</t>
  </si>
  <si>
    <t>040-104-000012756</t>
  </si>
  <si>
    <t>ZP24BTOC549</t>
  </si>
  <si>
    <t>TP246H03273</t>
  </si>
  <si>
    <t>JORGE PEÑAFIEL</t>
  </si>
  <si>
    <t>TURI TRES MARIAS</t>
  </si>
  <si>
    <t>0103640710</t>
  </si>
  <si>
    <t>JORGEPB01@HOTMAIL.COM</t>
  </si>
  <si>
    <t>043-902-000066424</t>
  </si>
  <si>
    <t>CO256E00808</t>
  </si>
  <si>
    <t>EDISON ORTEGA</t>
  </si>
  <si>
    <t>GUSTAVO VALLEJO Y RICARDO</t>
  </si>
  <si>
    <t>0301529244</t>
  </si>
  <si>
    <t>EDISON777@OUTLOOK.COM</t>
  </si>
  <si>
    <t>CO256E00845</t>
  </si>
  <si>
    <t>MERCARD(JOSE GARZON)</t>
  </si>
  <si>
    <t>FRANCISCO SOJOS</t>
  </si>
  <si>
    <t>010289808</t>
  </si>
  <si>
    <t>SERVICIOALCLIENTE@ECMERCAD.COM</t>
  </si>
  <si>
    <t>EK247200014</t>
  </si>
  <si>
    <t>ZP254W00103</t>
  </si>
  <si>
    <t>001-500-000076906</t>
  </si>
  <si>
    <t>001-500-000077293</t>
  </si>
  <si>
    <t>SOPHIA LITUMA</t>
  </si>
  <si>
    <t>CELINA ANCHA DE EGA 1 18</t>
  </si>
  <si>
    <t>0104969266</t>
  </si>
  <si>
    <t>SOPHIALITUMAA@GMAIL.COM</t>
  </si>
  <si>
    <t>001-500-000077208</t>
  </si>
  <si>
    <t>TP256H09674</t>
  </si>
  <si>
    <t>ZP254W00107</t>
  </si>
  <si>
    <t>MISHELL MENDEZ</t>
  </si>
  <si>
    <t>GUADALAJARA Y 24 DE MAYO</t>
  </si>
  <si>
    <t>0104490248</t>
  </si>
  <si>
    <t>XINAMENDEZ@GMAIL.COM</t>
  </si>
  <si>
    <t>TZ246A06330</t>
  </si>
  <si>
    <t>MONAY BAGUANCHI</t>
  </si>
  <si>
    <t>PATRICIA ALVAREZ</t>
  </si>
  <si>
    <t>010199014</t>
  </si>
  <si>
    <t>OJONA1959@GMAIL.COM</t>
  </si>
  <si>
    <t>040-103-000017264</t>
  </si>
  <si>
    <t>COMPRESOR RVF 10032</t>
  </si>
  <si>
    <t>YH243000021</t>
  </si>
  <si>
    <t>RODRIGO FLORES</t>
  </si>
  <si>
    <t>EL COMPRESOR NO ARRANCA</t>
  </si>
  <si>
    <t>0195126151001</t>
  </si>
  <si>
    <t>GERENCIA@COMEXI.COM</t>
  </si>
  <si>
    <t>001-500-000065424</t>
  </si>
  <si>
    <t>RELOJ TC HLB 840</t>
  </si>
  <si>
    <t>TZ2473031119</t>
  </si>
  <si>
    <t>BELEN CALLE</t>
  </si>
  <si>
    <t>RELOJ CON LUCES INTERMITENTES</t>
  </si>
  <si>
    <t>0104804455</t>
  </si>
  <si>
    <t>MEGAMUEBLESBELEN@HOTMAIL.COM</t>
  </si>
  <si>
    <t>001-500-000068014</t>
  </si>
  <si>
    <t>RELOJ TC HLB 841</t>
  </si>
  <si>
    <t>TZ24CA07264</t>
  </si>
  <si>
    <t>ENRIQUE DONOSO</t>
  </si>
  <si>
    <t>RELOJ NO ENCIENDE</t>
  </si>
  <si>
    <t>0601741283</t>
  </si>
  <si>
    <t>RESPONSBLER@HOTMAIL.COM</t>
  </si>
  <si>
    <t>026-904-000305617</t>
  </si>
  <si>
    <t>PLACA DE POTENCIA PI100 DER 2B M7</t>
  </si>
  <si>
    <t>ZP244A00422</t>
  </si>
  <si>
    <t>PLACA EN CORTO CIRCUITO</t>
  </si>
  <si>
    <t>0195119171001</t>
  </si>
  <si>
    <t>CHELOTORAL@GMAIL.COM</t>
  </si>
  <si>
    <t>007-007-000035878</t>
  </si>
  <si>
    <t>INSTALACION</t>
  </si>
  <si>
    <t xml:space="preserve">VISITADO INSTALADO </t>
  </si>
  <si>
    <t>TRABAJO COMPLETADO SIN NOVEDAD</t>
  </si>
  <si>
    <t>PASEO RIO TOMEBAMBA</t>
  </si>
  <si>
    <t>GARANTIA</t>
  </si>
  <si>
    <t>GARANTIA COMPLETADA</t>
  </si>
  <si>
    <t>TEKA</t>
  </si>
  <si>
    <t>AV. 10 DE AGOSTO</t>
  </si>
  <si>
    <t>CANAR</t>
  </si>
  <si>
    <t>CIUDADELA PARAISO</t>
  </si>
  <si>
    <t>SEBASTIAN DE BANALCAZAR</t>
  </si>
  <si>
    <t>AV 3 NOVIEMNRE</t>
  </si>
  <si>
    <t>AUTOPISTA CUENCA AZOGUES</t>
  </si>
  <si>
    <t>PASEO RIO BLANCO</t>
  </si>
  <si>
    <t>EDIFICIO LAOS</t>
  </si>
  <si>
    <t>AV. 3 DE NOVIEMBRE</t>
  </si>
  <si>
    <t>SIN DATO</t>
  </si>
  <si>
    <t>LAVAVAJILLAS</t>
  </si>
  <si>
    <t>CAPELO NOVIEMBRE 2025</t>
  </si>
  <si>
    <t>Clientes Visitados al 18 de NOVIEMBRE  2025</t>
  </si>
  <si>
    <t>NOVIEMBRE 2025</t>
  </si>
  <si>
    <t>CAPELO  NOVIEMBRE  2025</t>
  </si>
  <si>
    <t>Al 18 De NOVIEMBRE  2025</t>
  </si>
  <si>
    <t>CAPELO NOVIEMBRE  2025</t>
  </si>
  <si>
    <t>043-901-000032786</t>
  </si>
  <si>
    <t>CO249E00238</t>
  </si>
  <si>
    <t>ERICKA CHICA</t>
  </si>
  <si>
    <t>12 DE SEPTIEMBRE</t>
  </si>
  <si>
    <t>0102200318</t>
  </si>
  <si>
    <t>CHICAPES@HOTMAIL.COM</t>
  </si>
  <si>
    <t>001-001-000001522</t>
  </si>
  <si>
    <t>AW233800634</t>
  </si>
  <si>
    <t>MARIA SERRANO</t>
  </si>
  <si>
    <t>LUIS MORENO MORA</t>
  </si>
  <si>
    <t>0102518743</t>
  </si>
  <si>
    <t>MANESSERRANO@HOTMAIL.COM</t>
  </si>
  <si>
    <t>MARIA INES SERRANO</t>
  </si>
  <si>
    <t>ZW233800639</t>
  </si>
  <si>
    <t>MANESERRANO@HOTMAIL.COM</t>
  </si>
  <si>
    <t>25/1015</t>
  </si>
  <si>
    <t>C0249E00238</t>
  </si>
  <si>
    <t>043-903-000105706</t>
  </si>
  <si>
    <t>TP257U02028</t>
  </si>
  <si>
    <t>CONJUNTO TOUCH CONTROL AUXISLIDER</t>
  </si>
  <si>
    <t>ZP24AP00583</t>
  </si>
  <si>
    <t>ELISABETH OCHOA</t>
  </si>
  <si>
    <t>SE BEDE CAMBIAR CONJUNTO TOUCH SE ACTIVA SOLO</t>
  </si>
  <si>
    <t>0104162245</t>
  </si>
  <si>
    <t>ANA.ELISABETH.OCHOA@HOTMAIL.COM</t>
  </si>
  <si>
    <t>006-002-000157725</t>
  </si>
  <si>
    <t>AUXISLIDER TOUCH CONTROL I100</t>
  </si>
  <si>
    <t>ZP241B00482</t>
  </si>
  <si>
    <t>NO RESPONDEN LOS MANDOS, SE DEBE CAMBIAR TOUCH</t>
  </si>
  <si>
    <t>0195126151</t>
  </si>
  <si>
    <t>001-500-000065138</t>
  </si>
  <si>
    <t>ZP23BW00545</t>
  </si>
  <si>
    <t>JENNIFER VALDIVIEZO</t>
  </si>
  <si>
    <t>SE DEBE SUSTITUIR EL TOUCH</t>
  </si>
  <si>
    <t>0103318341</t>
  </si>
  <si>
    <t>JENIFFERVALDIVIEZO@GMAIL.COM</t>
  </si>
  <si>
    <t>006-002-000155669</t>
  </si>
  <si>
    <t xml:space="preserve">TOUCH CONTROL GEN 2 LOT </t>
  </si>
  <si>
    <t>ZP23BM00331</t>
  </si>
  <si>
    <t>HUGO QUEZADA</t>
  </si>
  <si>
    <t>EL TOUCH NO PERMITE PROGRAMAR</t>
  </si>
  <si>
    <t>0104714019</t>
  </si>
  <si>
    <t>GRUPO.CAMINAR@HOTMAIL.COM</t>
  </si>
  <si>
    <t>001-002-000308421</t>
  </si>
  <si>
    <t>BLOQUE HIDRAULICO DFI 46950</t>
  </si>
  <si>
    <t>EL BLOQUE HIDRAULICO NO FUNCIONA</t>
  </si>
  <si>
    <t>EDIFICIO ALBA</t>
  </si>
  <si>
    <t>CAMBIO DE CONJUNTO TOUCH</t>
  </si>
  <si>
    <t>BEMAT</t>
  </si>
  <si>
    <t>JENNIFERVALDIVIEZO@GMAIL.COM</t>
  </si>
  <si>
    <t>SE DEBE SUSTITUIR EL CONTROL TOUCH</t>
  </si>
  <si>
    <t>SE CAMBIA TOUCH</t>
  </si>
  <si>
    <t>0104122479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</si>
</sst>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  <numFmt numFmtId="169" formatCode="dd\-mm\-yy;@"/>
  </numFmts>
  <fonts count="10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5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sz val="16"/>
      <name val="Calibri"/>
      <family val="2"/>
    </font>
    <font>
      <sz val="15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indexed="8"/>
      <name val="Aptos Narrow"/>
      <scheme val="minor"/>
    </font>
    <font>
      <sz val="14"/>
      <color theme="1"/>
      <name val="Aptos Narrow"/>
      <scheme val="minor"/>
    </font>
    <font>
      <sz val="14"/>
      <color indexed="8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indexed="8"/>
      <name val="Calibri"/>
      <family val="2"/>
    </font>
    <font>
      <u/>
      <sz val="14"/>
      <color theme="4"/>
      <name val="Calibri"/>
      <family val="2"/>
    </font>
    <font>
      <sz val="14"/>
      <color rgb="FF000000"/>
      <name val="Calibri"/>
      <family val="2"/>
    </font>
    <font>
      <sz val="16"/>
      <color theme="1"/>
      <name val="Aptos Narrow"/>
      <family val="2"/>
      <scheme val="minor"/>
    </font>
    <font>
      <u/>
      <sz val="14"/>
      <color rgb="FF156082"/>
      <name val="Calibri"/>
      <family val="2"/>
    </font>
    <font>
      <sz val="15"/>
      <color theme="1"/>
      <name val="Aptos Narrow"/>
      <family val="2"/>
      <scheme val="minor"/>
    </font>
    <font>
      <sz val="13"/>
      <color rgb="FF1D2228"/>
      <name val="Gothic sans-serif"/>
      <charset val="1"/>
    </font>
    <font>
      <sz val="13"/>
      <color rgb="FF1D2228"/>
      <name val="Arial"/>
      <family val="2"/>
    </font>
    <font>
      <sz val="10"/>
      <color rgb="FF1D2228"/>
      <name val="Arial"/>
      <family val="2"/>
    </font>
    <font>
      <b/>
      <sz val="13"/>
      <color rgb="FF1D2228"/>
      <name val="Gothic sans-serif"/>
      <charset val="1"/>
    </font>
    <font>
      <b/>
      <sz val="13"/>
      <color rgb="FF000000"/>
      <name val="Calibri"/>
      <family val="2"/>
    </font>
    <font>
      <sz val="16"/>
      <color indexed="8"/>
      <name val="Calibri"/>
      <family val="2"/>
    </font>
    <font>
      <sz val="16"/>
      <color theme="1"/>
      <name val="Aptos Narrow"/>
      <scheme val="minor"/>
    </font>
    <font>
      <sz val="13"/>
      <color theme="1"/>
      <name val="Helvetica Neue"/>
      <family val="2"/>
    </font>
    <font>
      <sz val="13"/>
      <color rgb="FF000000"/>
      <name val="Aptos Narrow"/>
      <scheme val="minor"/>
    </font>
    <font>
      <u/>
      <sz val="16"/>
      <color theme="1"/>
      <name val="Calibri"/>
      <family val="2"/>
    </font>
    <font>
      <u/>
      <sz val="11"/>
      <color theme="4" tint="-0.499984740745262"/>
      <name val="Aptos Narrow"/>
      <scheme val="minor"/>
    </font>
    <font>
      <sz val="8"/>
      <name val="Aptos Narrow"/>
      <family val="2"/>
      <scheme val="minor"/>
    </font>
    <font>
      <sz val="14"/>
      <color theme="1"/>
      <name val="Helvetica Neue"/>
      <family val="2"/>
    </font>
    <font>
      <sz val="14"/>
      <color rgb="FF000000"/>
      <name val="Aptos Narrow"/>
      <scheme val="minor"/>
    </font>
    <font>
      <u/>
      <sz val="11"/>
      <color theme="3" tint="0.249977111117893"/>
      <name val="Aptos Narrow"/>
      <scheme val="minor"/>
    </font>
    <font>
      <sz val="14"/>
      <color theme="3" tint="0.249977111117893"/>
      <name val="Calibri"/>
      <family val="2"/>
    </font>
    <font>
      <u/>
      <sz val="14"/>
      <color theme="3" tint="0.249977111117893"/>
      <name val="Aptos Narrow"/>
      <scheme val="minor"/>
    </font>
    <font>
      <sz val="14"/>
      <color theme="3" tint="0.249977111117893"/>
      <name val="Aptos Narrow"/>
      <scheme val="minor"/>
    </font>
    <font>
      <u/>
      <sz val="14"/>
      <color theme="3" tint="0.249977111117893"/>
      <name val="Calibri"/>
      <family val="2"/>
    </font>
    <font>
      <sz val="11"/>
      <color theme="3" tint="0.249977111117893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127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3" fillId="0" borderId="0"/>
    <xf numFmtId="167" fontId="7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/>
    <xf numFmtId="0" fontId="43" fillId="5" borderId="0">
      <alignment horizontal="left"/>
    </xf>
    <xf numFmtId="0" fontId="73" fillId="0" borderId="0"/>
    <xf numFmtId="0" fontId="73" fillId="0" borderId="0"/>
    <xf numFmtId="0" fontId="27" fillId="0" borderId="0" applyNumberFormat="0" applyFill="0" applyBorder="0" applyAlignment="0" applyProtection="0"/>
    <xf numFmtId="0" fontId="21" fillId="0" borderId="0"/>
    <xf numFmtId="0" fontId="73" fillId="0" borderId="0"/>
    <xf numFmtId="43" fontId="21" fillId="0" borderId="0" applyFont="0" applyFill="0" applyBorder="0" applyAlignment="0" applyProtection="0"/>
    <xf numFmtId="0" fontId="43" fillId="0" borderId="0"/>
    <xf numFmtId="43" fontId="21" fillId="0" borderId="0" applyFont="0" applyFill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1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4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0" borderId="0" applyBorder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166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168" fontId="48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0" fontId="49" fillId="0" borderId="0"/>
    <xf numFmtId="0" fontId="7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3" fillId="0" borderId="0"/>
    <xf numFmtId="0" fontId="73" fillId="0" borderId="0"/>
    <xf numFmtId="0" fontId="2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" fillId="0" borderId="0"/>
    <xf numFmtId="0" fontId="50" fillId="0" borderId="0"/>
    <xf numFmtId="0" fontId="4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1" fillId="0" borderId="0"/>
    <xf numFmtId="0" fontId="21" fillId="0" borderId="0"/>
    <xf numFmtId="0" fontId="4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9" fillId="0" borderId="0"/>
    <xf numFmtId="0" fontId="5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3" fillId="0" borderId="0"/>
    <xf numFmtId="0" fontId="43" fillId="5" borderId="0">
      <alignment horizontal="left"/>
    </xf>
    <xf numFmtId="0" fontId="5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73" fillId="30" borderId="19" applyNumberFormat="0" applyFont="0" applyAlignment="0" applyProtection="0"/>
    <xf numFmtId="0" fontId="54" fillId="0" borderId="0"/>
    <xf numFmtId="0" fontId="55" fillId="0" borderId="0"/>
    <xf numFmtId="0" fontId="56" fillId="0" borderId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7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57" fillId="31" borderId="0" applyNumberFormat="0" applyBorder="0" applyAlignment="0" applyProtection="0"/>
    <xf numFmtId="0" fontId="58" fillId="32" borderId="20" applyNumberFormat="0" applyAlignment="0" applyProtection="0"/>
    <xf numFmtId="0" fontId="59" fillId="33" borderId="21" applyNumberFormat="0" applyAlignment="0" applyProtection="0"/>
    <xf numFmtId="0" fontId="60" fillId="0" borderId="22" applyNumberFormat="0" applyFill="0" applyAlignment="0" applyProtection="0"/>
    <xf numFmtId="0" fontId="61" fillId="0" borderId="23" applyNumberFormat="0" applyFill="0" applyAlignment="0" applyProtection="0"/>
    <xf numFmtId="0" fontId="62" fillId="0" borderId="0" applyNumberFormat="0" applyFill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8" borderId="0" applyNumberFormat="0" applyBorder="0" applyAlignment="0" applyProtection="0"/>
    <xf numFmtId="0" fontId="63" fillId="39" borderId="0" applyNumberFormat="0" applyBorder="0" applyAlignment="0" applyProtection="0"/>
    <xf numFmtId="0" fontId="64" fillId="40" borderId="20" applyNumberFormat="0" applyAlignment="0" applyProtection="0"/>
    <xf numFmtId="0" fontId="65" fillId="41" borderId="0" applyNumberFormat="0" applyBorder="0" applyAlignment="0" applyProtection="0"/>
    <xf numFmtId="0" fontId="66" fillId="42" borderId="0" applyNumberFormat="0" applyBorder="0" applyAlignment="0" applyProtection="0"/>
    <xf numFmtId="0" fontId="73" fillId="30" borderId="19" applyNumberFormat="0" applyFont="0" applyAlignment="0" applyProtection="0"/>
    <xf numFmtId="0" fontId="67" fillId="32" borderId="24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25" applyNumberFormat="0" applyFill="0" applyAlignment="0" applyProtection="0"/>
    <xf numFmtId="0" fontId="62" fillId="0" borderId="26" applyNumberFormat="0" applyFill="0" applyAlignment="0" applyProtection="0"/>
    <xf numFmtId="0" fontId="72" fillId="0" borderId="27" applyNumberFormat="0" applyFill="0" applyAlignment="0" applyProtection="0"/>
  </cellStyleXfs>
  <cellXfs count="3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4" fontId="6" fillId="2" borderId="0" xfId="0" applyNumberFormat="1" applyFont="1" applyFill="1" applyAlignment="1">
      <alignment horizontal="right"/>
    </xf>
    <xf numFmtId="1" fontId="5" fillId="2" borderId="0" xfId="0" applyNumberFormat="1" applyFont="1" applyFill="1" applyAlignment="1">
      <alignment horizontal="left"/>
    </xf>
    <xf numFmtId="0" fontId="7" fillId="0" borderId="0" xfId="1" applyAlignment="1">
      <alignment horizontal="right"/>
    </xf>
    <xf numFmtId="4" fontId="8" fillId="0" borderId="0" xfId="2" applyNumberFormat="1" applyFont="1" applyAlignment="1">
      <alignment horizontal="left"/>
    </xf>
    <xf numFmtId="0" fontId="9" fillId="0" borderId="0" xfId="2" applyFont="1" applyAlignment="1">
      <alignment horizontal="left"/>
    </xf>
    <xf numFmtId="0" fontId="10" fillId="0" borderId="0" xfId="2" applyFont="1" applyAlignment="1">
      <alignment vertical="center"/>
    </xf>
    <xf numFmtId="0" fontId="9" fillId="0" borderId="0" xfId="2" applyFont="1"/>
    <xf numFmtId="2" fontId="11" fillId="0" borderId="0" xfId="2" applyNumberFormat="1" applyFont="1" applyAlignment="1">
      <alignment horizontal="left"/>
    </xf>
    <xf numFmtId="0" fontId="12" fillId="0" borderId="0" xfId="1" applyFont="1"/>
    <xf numFmtId="0" fontId="13" fillId="0" borderId="0" xfId="1" applyFont="1"/>
    <xf numFmtId="4" fontId="12" fillId="0" borderId="0" xfId="1" applyNumberFormat="1" applyFont="1" applyAlignment="1">
      <alignment horizontal="right"/>
    </xf>
    <xf numFmtId="1" fontId="14" fillId="0" borderId="0" xfId="1" applyNumberFormat="1" applyFont="1"/>
    <xf numFmtId="0" fontId="7" fillId="0" borderId="0" xfId="1"/>
    <xf numFmtId="4" fontId="8" fillId="0" borderId="0" xfId="2" applyNumberFormat="1" applyFont="1" applyAlignment="1">
      <alignment horizontal="left" vertical="center"/>
    </xf>
    <xf numFmtId="0" fontId="11" fillId="0" borderId="0" xfId="2" applyFont="1" applyAlignment="1">
      <alignment horizontal="left"/>
    </xf>
    <xf numFmtId="0" fontId="11" fillId="0" borderId="0" xfId="2" applyFont="1"/>
    <xf numFmtId="164" fontId="15" fillId="0" borderId="2" xfId="3" applyNumberFormat="1" applyFont="1" applyBorder="1" applyAlignment="1">
      <alignment horizontal="left"/>
    </xf>
    <xf numFmtId="0" fontId="15" fillId="0" borderId="3" xfId="3" applyFont="1" applyBorder="1" applyAlignment="1">
      <alignment horizontal="left"/>
    </xf>
    <xf numFmtId="0" fontId="16" fillId="0" borderId="3" xfId="3" applyFont="1" applyBorder="1" applyAlignment="1">
      <alignment horizontal="left"/>
    </xf>
    <xf numFmtId="0" fontId="17" fillId="0" borderId="3" xfId="3" applyFont="1" applyBorder="1" applyAlignment="1">
      <alignment horizontal="left"/>
    </xf>
    <xf numFmtId="0" fontId="18" fillId="0" borderId="3" xfId="3" applyFont="1" applyBorder="1" applyAlignment="1">
      <alignment horizontal="left" wrapText="1" readingOrder="1"/>
    </xf>
    <xf numFmtId="0" fontId="17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/>
    </xf>
    <xf numFmtId="17" fontId="20" fillId="0" borderId="3" xfId="3" applyNumberFormat="1" applyFont="1" applyBorder="1" applyAlignment="1">
      <alignment horizontal="left"/>
    </xf>
    <xf numFmtId="0" fontId="21" fillId="0" borderId="3" xfId="3" applyFont="1" applyBorder="1" applyAlignment="1">
      <alignment horizontal="left"/>
    </xf>
    <xf numFmtId="49" fontId="22" fillId="0" borderId="4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4" fillId="0" borderId="0" xfId="0" applyNumberFormat="1" applyFont="1"/>
    <xf numFmtId="164" fontId="15" fillId="0" borderId="5" xfId="3" applyNumberFormat="1" applyFont="1" applyBorder="1" applyAlignment="1">
      <alignment horizontal="left"/>
    </xf>
    <xf numFmtId="0" fontId="15" fillId="0" borderId="0" xfId="3" applyFont="1" applyAlignment="1">
      <alignment horizontal="left"/>
    </xf>
    <xf numFmtId="0" fontId="16" fillId="0" borderId="0" xfId="3" applyFont="1" applyAlignment="1">
      <alignment horizontal="left"/>
    </xf>
    <xf numFmtId="0" fontId="16" fillId="0" borderId="6" xfId="3" applyFont="1" applyBorder="1" applyAlignment="1">
      <alignment horizontal="left"/>
    </xf>
    <xf numFmtId="164" fontId="15" fillId="0" borderId="7" xfId="3" applyNumberFormat="1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6" fillId="0" borderId="0" xfId="0" applyFont="1"/>
    <xf numFmtId="0" fontId="23" fillId="3" borderId="10" xfId="4" applyFont="1" applyFill="1" applyBorder="1" applyAlignment="1">
      <alignment horizontal="left" wrapText="1"/>
    </xf>
    <xf numFmtId="0" fontId="23" fillId="3" borderId="10" xfId="4" applyFont="1" applyFill="1" applyBorder="1" applyAlignment="1">
      <alignment horizontal="left"/>
    </xf>
    <xf numFmtId="4" fontId="23" fillId="3" borderId="10" xfId="4" applyNumberFormat="1" applyFont="1" applyFill="1" applyBorder="1" applyAlignment="1">
      <alignment horizontal="left" wrapText="1"/>
    </xf>
    <xf numFmtId="1" fontId="23" fillId="3" borderId="10" xfId="4" applyNumberFormat="1" applyFont="1" applyFill="1" applyBorder="1" applyAlignment="1">
      <alignment horizontal="center" wrapText="1"/>
    </xf>
    <xf numFmtId="0" fontId="23" fillId="3" borderId="10" xfId="0" applyFont="1" applyFill="1" applyBorder="1" applyAlignment="1">
      <alignment horizontal="left" vertical="center" wrapText="1"/>
    </xf>
    <xf numFmtId="0" fontId="24" fillId="0" borderId="0" xfId="0" applyFont="1"/>
    <xf numFmtId="14" fontId="15" fillId="4" borderId="11" xfId="5" applyNumberFormat="1" applyFont="1" applyFill="1" applyBorder="1" applyAlignment="1">
      <alignment vertical="center" wrapText="1"/>
    </xf>
    <xf numFmtId="14" fontId="15" fillId="4" borderId="11" xfId="5" applyNumberFormat="1" applyFont="1" applyFill="1" applyBorder="1" applyAlignment="1">
      <alignment horizontal="left" vertical="center" wrapText="1"/>
    </xf>
    <xf numFmtId="0" fontId="15" fillId="4" borderId="11" xfId="5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left" vertical="center" wrapText="1"/>
    </xf>
    <xf numFmtId="0" fontId="25" fillId="4" borderId="1" xfId="5" applyFont="1" applyFill="1" applyBorder="1" applyAlignment="1">
      <alignment horizontal="left" vertical="center" wrapText="1"/>
    </xf>
    <xf numFmtId="0" fontId="26" fillId="0" borderId="12" xfId="5" applyFont="1" applyBorder="1" applyAlignment="1">
      <alignment horizontal="left" vertical="center" wrapText="1"/>
    </xf>
    <xf numFmtId="0" fontId="15" fillId="4" borderId="11" xfId="5" applyFont="1" applyFill="1" applyBorder="1" applyAlignment="1">
      <alignment horizontal="left" vertical="center" wrapText="1"/>
    </xf>
    <xf numFmtId="1" fontId="15" fillId="4" borderId="11" xfId="6" quotePrefix="1" applyNumberFormat="1" applyFont="1" applyFill="1" applyBorder="1" applyAlignment="1">
      <alignment horizontal="left" vertical="center"/>
    </xf>
    <xf numFmtId="43" fontId="15" fillId="4" borderId="11" xfId="7" applyFont="1" applyFill="1" applyBorder="1" applyAlignment="1">
      <alignment vertical="center"/>
    </xf>
    <xf numFmtId="43" fontId="27" fillId="4" borderId="13" xfId="8" applyNumberFormat="1" applyFill="1" applyBorder="1" applyAlignment="1">
      <alignment horizontal="left" vertical="center"/>
    </xf>
    <xf numFmtId="0" fontId="24" fillId="4" borderId="10" xfId="0" applyFont="1" applyFill="1" applyBorder="1" applyAlignment="1">
      <alignment vertical="center"/>
    </xf>
    <xf numFmtId="43" fontId="0" fillId="0" borderId="0" xfId="0" applyNumberFormat="1"/>
    <xf numFmtId="0" fontId="28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4" fontId="30" fillId="0" borderId="0" xfId="0" applyNumberFormat="1" applyFont="1"/>
    <xf numFmtId="0" fontId="15" fillId="0" borderId="0" xfId="0" applyFont="1" applyAlignment="1">
      <alignment horizontal="left" vertical="center"/>
    </xf>
    <xf numFmtId="2" fontId="28" fillId="0" borderId="0" xfId="0" applyNumberFormat="1" applyFont="1" applyAlignment="1">
      <alignment horizontal="left"/>
    </xf>
    <xf numFmtId="0" fontId="31" fillId="0" borderId="0" xfId="0" applyFont="1"/>
    <xf numFmtId="49" fontId="31" fillId="0" borderId="0" xfId="0" applyNumberFormat="1" applyFont="1" applyAlignment="1">
      <alignment horizontal="left"/>
    </xf>
    <xf numFmtId="1" fontId="28" fillId="0" borderId="0" xfId="0" applyNumberFormat="1" applyFont="1"/>
    <xf numFmtId="2" fontId="31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32" fillId="0" borderId="0" xfId="9" applyFont="1"/>
    <xf numFmtId="0" fontId="33" fillId="5" borderId="0" xfId="10" applyFont="1" applyAlignment="1">
      <alignment horizontal="center" vertical="center"/>
    </xf>
    <xf numFmtId="1" fontId="33" fillId="5" borderId="0" xfId="10" applyNumberFormat="1" applyFont="1" applyAlignment="1">
      <alignment horizontal="right" vertical="center"/>
    </xf>
    <xf numFmtId="1" fontId="33" fillId="5" borderId="0" xfId="10" applyNumberFormat="1" applyFont="1" applyAlignment="1">
      <alignment horizontal="center" vertical="center"/>
    </xf>
    <xf numFmtId="2" fontId="33" fillId="5" borderId="0" xfId="10" applyNumberFormat="1" applyFont="1" applyAlignment="1">
      <alignment vertical="center"/>
    </xf>
    <xf numFmtId="49" fontId="28" fillId="0" borderId="0" xfId="0" quotePrefix="1" applyNumberFormat="1" applyFont="1"/>
    <xf numFmtId="17" fontId="31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34" fillId="6" borderId="10" xfId="0" applyFont="1" applyFill="1" applyBorder="1" applyAlignment="1">
      <alignment horizontal="center" vertical="center" wrapText="1"/>
    </xf>
    <xf numFmtId="0" fontId="34" fillId="7" borderId="10" xfId="0" applyFont="1" applyFill="1" applyBorder="1" applyAlignment="1">
      <alignment horizontal="center" vertical="center" wrapText="1"/>
    </xf>
    <xf numFmtId="1" fontId="34" fillId="6" borderId="10" xfId="0" applyNumberFormat="1" applyFont="1" applyFill="1" applyBorder="1" applyAlignment="1">
      <alignment horizontal="center" vertical="center" wrapText="1"/>
    </xf>
    <xf numFmtId="2" fontId="34" fillId="6" borderId="10" xfId="0" applyNumberFormat="1" applyFont="1" applyFill="1" applyBorder="1" applyAlignment="1">
      <alignment horizontal="center" vertical="center" wrapText="1"/>
    </xf>
    <xf numFmtId="0" fontId="27" fillId="4" borderId="11" xfId="8" applyNumberFormat="1" applyFill="1" applyBorder="1" applyAlignment="1">
      <alignment horizontal="left" vertical="center"/>
    </xf>
    <xf numFmtId="2" fontId="0" fillId="0" borderId="0" xfId="0" applyNumberFormat="1"/>
    <xf numFmtId="0" fontId="35" fillId="0" borderId="0" xfId="14" applyFont="1"/>
    <xf numFmtId="0" fontId="73" fillId="0" borderId="0" xfId="15"/>
    <xf numFmtId="4" fontId="30" fillId="0" borderId="0" xfId="15" applyNumberFormat="1" applyFont="1"/>
    <xf numFmtId="0" fontId="28" fillId="0" borderId="0" xfId="15" applyFont="1"/>
    <xf numFmtId="0" fontId="15" fillId="0" borderId="0" xfId="15" applyFont="1" applyAlignment="1">
      <alignment vertical="center"/>
    </xf>
    <xf numFmtId="2" fontId="28" fillId="0" borderId="0" xfId="15" applyNumberFormat="1" applyFont="1" applyAlignment="1">
      <alignment horizontal="left"/>
    </xf>
    <xf numFmtId="0" fontId="28" fillId="0" borderId="0" xfId="15" applyFont="1" applyAlignment="1">
      <alignment horizontal="left"/>
    </xf>
    <xf numFmtId="43" fontId="28" fillId="0" borderId="0" xfId="16" applyFont="1" applyFill="1"/>
    <xf numFmtId="0" fontId="36" fillId="0" borderId="0" xfId="15" applyFont="1"/>
    <xf numFmtId="4" fontId="8" fillId="0" borderId="0" xfId="15" applyNumberFormat="1" applyFont="1" applyAlignment="1">
      <alignment horizontal="left" vertical="center"/>
    </xf>
    <xf numFmtId="0" fontId="11" fillId="0" borderId="0" xfId="14" applyFont="1"/>
    <xf numFmtId="17" fontId="28" fillId="0" borderId="0" xfId="15" quotePrefix="1" applyNumberFormat="1" applyFont="1"/>
    <xf numFmtId="17" fontId="36" fillId="0" borderId="0" xfId="15" quotePrefix="1" applyNumberFormat="1" applyFont="1"/>
    <xf numFmtId="0" fontId="1" fillId="0" borderId="0" xfId="15" applyFont="1"/>
    <xf numFmtId="0" fontId="37" fillId="10" borderId="16" xfId="15" applyFont="1" applyFill="1" applyBorder="1" applyAlignment="1">
      <alignment horizontal="center" wrapText="1"/>
    </xf>
    <xf numFmtId="0" fontId="37" fillId="10" borderId="16" xfId="14" applyFont="1" applyFill="1" applyBorder="1" applyAlignment="1">
      <alignment horizontal="left" wrapText="1"/>
    </xf>
    <xf numFmtId="43" fontId="37" fillId="10" borderId="16" xfId="16" applyFont="1" applyFill="1" applyBorder="1" applyAlignment="1">
      <alignment horizontal="left" wrapText="1"/>
    </xf>
    <xf numFmtId="0" fontId="37" fillId="10" borderId="16" xfId="14" applyFont="1" applyFill="1" applyBorder="1" applyAlignment="1">
      <alignment horizontal="center" wrapText="1"/>
    </xf>
    <xf numFmtId="0" fontId="37" fillId="10" borderId="0" xfId="14" applyFont="1" applyFill="1" applyAlignment="1">
      <alignment horizontal="left" wrapText="1"/>
    </xf>
    <xf numFmtId="0" fontId="3" fillId="0" borderId="0" xfId="15" applyFont="1" applyAlignment="1">
      <alignment horizontal="right"/>
    </xf>
    <xf numFmtId="14" fontId="28" fillId="0" borderId="1" xfId="15" applyNumberFormat="1" applyFont="1" applyBorder="1" applyAlignment="1">
      <alignment horizontal="left"/>
    </xf>
    <xf numFmtId="0" fontId="28" fillId="0" borderId="1" xfId="15" applyFont="1" applyBorder="1" applyAlignment="1">
      <alignment horizontal="left" vertical="center"/>
    </xf>
    <xf numFmtId="0" fontId="28" fillId="0" borderId="1" xfId="15" applyFont="1" applyBorder="1" applyAlignment="1">
      <alignment horizontal="left"/>
    </xf>
    <xf numFmtId="0" fontId="28" fillId="0" borderId="1" xfId="15" applyFont="1" applyBorder="1" applyAlignment="1">
      <alignment horizontal="center"/>
    </xf>
    <xf numFmtId="0" fontId="3" fillId="0" borderId="1" xfId="15" quotePrefix="1" applyFont="1" applyBorder="1" applyAlignment="1">
      <alignment horizontal="left"/>
    </xf>
    <xf numFmtId="14" fontId="28" fillId="0" borderId="1" xfId="15" applyNumberFormat="1" applyFont="1" applyBorder="1" applyAlignment="1">
      <alignment horizontal="left" vertical="center"/>
    </xf>
    <xf numFmtId="0" fontId="38" fillId="4" borderId="1" xfId="17" applyFont="1" applyFill="1" applyBorder="1" applyAlignment="1">
      <alignment horizontal="left"/>
    </xf>
    <xf numFmtId="43" fontId="28" fillId="0" borderId="1" xfId="18" applyFont="1" applyBorder="1"/>
    <xf numFmtId="43" fontId="28" fillId="0" borderId="1" xfId="18" applyFont="1" applyBorder="1" applyAlignment="1">
      <alignment horizontal="left" vertical="center"/>
    </xf>
    <xf numFmtId="49" fontId="39" fillId="0" borderId="1" xfId="15" applyNumberFormat="1" applyFont="1" applyBorder="1" applyAlignment="1">
      <alignment horizontal="left" vertical="center"/>
    </xf>
    <xf numFmtId="0" fontId="27" fillId="0" borderId="1" xfId="8" applyBorder="1" applyAlignment="1">
      <alignment horizontal="left" vertical="center"/>
    </xf>
    <xf numFmtId="49" fontId="40" fillId="4" borderId="1" xfId="17" applyNumberFormat="1" applyFont="1" applyFill="1" applyBorder="1" applyAlignment="1">
      <alignment horizontal="left"/>
    </xf>
    <xf numFmtId="0" fontId="3" fillId="0" borderId="0" xfId="15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4" fillId="6" borderId="16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34" fillId="7" borderId="16" xfId="0" applyFont="1" applyFill="1" applyBorder="1" applyAlignment="1">
      <alignment horizontal="center" vertical="center" wrapText="1"/>
    </xf>
    <xf numFmtId="1" fontId="34" fillId="6" borderId="16" xfId="0" applyNumberFormat="1" applyFont="1" applyFill="1" applyBorder="1" applyAlignment="1">
      <alignment horizontal="center" vertical="center" wrapText="1"/>
    </xf>
    <xf numFmtId="2" fontId="34" fillId="6" borderId="16" xfId="0" applyNumberFormat="1" applyFont="1" applyFill="1" applyBorder="1" applyAlignment="1">
      <alignment horizontal="center" vertical="center" wrapText="1"/>
    </xf>
    <xf numFmtId="0" fontId="74" fillId="0" borderId="0" xfId="0" applyFont="1"/>
    <xf numFmtId="14" fontId="74" fillId="8" borderId="1" xfId="0" applyNumberFormat="1" applyFont="1" applyFill="1" applyBorder="1" applyAlignment="1">
      <alignment horizontal="left" vertical="center"/>
    </xf>
    <xf numFmtId="0" fontId="74" fillId="0" borderId="1" xfId="0" applyFont="1" applyBorder="1" applyAlignment="1">
      <alignment horizontal="center"/>
    </xf>
    <xf numFmtId="0" fontId="42" fillId="0" borderId="15" xfId="12" applyFont="1" applyBorder="1"/>
    <xf numFmtId="0" fontId="75" fillId="4" borderId="11" xfId="11" applyFont="1" applyFill="1" applyBorder="1" applyAlignment="1">
      <alignment horizontal="left" vertical="center"/>
    </xf>
    <xf numFmtId="0" fontId="75" fillId="4" borderId="11" xfId="11" applyFont="1" applyFill="1" applyBorder="1" applyAlignment="1">
      <alignment horizontal="center" vertical="center"/>
    </xf>
    <xf numFmtId="0" fontId="74" fillId="8" borderId="1" xfId="0" applyFont="1" applyFill="1" applyBorder="1" applyAlignment="1">
      <alignment horizontal="left" vertical="center"/>
    </xf>
    <xf numFmtId="2" fontId="75" fillId="4" borderId="11" xfId="11" applyNumberFormat="1" applyFont="1" applyFill="1" applyBorder="1" applyAlignment="1">
      <alignment horizontal="center" vertical="center"/>
    </xf>
    <xf numFmtId="165" fontId="75" fillId="4" borderId="11" xfId="11" applyNumberFormat="1" applyFont="1" applyFill="1" applyBorder="1" applyAlignment="1">
      <alignment horizontal="center" vertical="center"/>
    </xf>
    <xf numFmtId="14" fontId="75" fillId="4" borderId="11" xfId="11" applyNumberFormat="1" applyFont="1" applyFill="1" applyBorder="1" applyAlignment="1">
      <alignment horizontal="center" vertical="center"/>
    </xf>
    <xf numFmtId="1" fontId="75" fillId="4" borderId="11" xfId="11" applyNumberFormat="1" applyFont="1" applyFill="1" applyBorder="1" applyAlignment="1">
      <alignment horizontal="left" vertical="center"/>
    </xf>
    <xf numFmtId="49" fontId="76" fillId="4" borderId="11" xfId="13" applyNumberFormat="1" applyFont="1" applyFill="1" applyBorder="1" applyAlignment="1">
      <alignment horizontal="center" vertical="center"/>
    </xf>
    <xf numFmtId="0" fontId="75" fillId="4" borderId="11" xfId="11" applyFont="1" applyFill="1" applyBorder="1" applyAlignment="1">
      <alignment horizontal="left" vertical="center" wrapText="1"/>
    </xf>
    <xf numFmtId="0" fontId="77" fillId="9" borderId="12" xfId="0" applyFont="1" applyFill="1" applyBorder="1" applyAlignment="1">
      <alignment horizontal="left" vertical="center"/>
    </xf>
    <xf numFmtId="0" fontId="77" fillId="9" borderId="12" xfId="0" applyFont="1" applyFill="1" applyBorder="1" applyAlignment="1">
      <alignment horizontal="center" vertical="center"/>
    </xf>
    <xf numFmtId="0" fontId="34" fillId="6" borderId="16" xfId="0" applyFont="1" applyFill="1" applyBorder="1" applyAlignment="1">
      <alignment horizontal="left" vertical="center" wrapText="1"/>
    </xf>
    <xf numFmtId="0" fontId="78" fillId="0" borderId="0" xfId="0" applyFont="1"/>
    <xf numFmtId="0" fontId="2" fillId="0" borderId="0" xfId="0" applyFont="1" applyAlignment="1">
      <alignment horizontal="left"/>
    </xf>
    <xf numFmtId="14" fontId="74" fillId="8" borderId="1" xfId="0" applyNumberFormat="1" applyFont="1" applyFill="1" applyBorder="1" applyAlignment="1">
      <alignment horizontal="center" vertical="center"/>
    </xf>
    <xf numFmtId="14" fontId="74" fillId="8" borderId="14" xfId="0" applyNumberFormat="1" applyFont="1" applyFill="1" applyBorder="1" applyAlignment="1">
      <alignment horizontal="left" vertical="center"/>
    </xf>
    <xf numFmtId="14" fontId="77" fillId="9" borderId="11" xfId="0" applyNumberFormat="1" applyFont="1" applyFill="1" applyBorder="1" applyAlignment="1">
      <alignment horizontal="center" vertical="center"/>
    </xf>
    <xf numFmtId="1" fontId="77" fillId="9" borderId="12" xfId="0" applyNumberFormat="1" applyFont="1" applyFill="1" applyBorder="1" applyAlignment="1">
      <alignment horizontal="left" vertical="center"/>
    </xf>
    <xf numFmtId="2" fontId="77" fillId="9" borderId="12" xfId="0" applyNumberFormat="1" applyFont="1" applyFill="1" applyBorder="1" applyAlignment="1">
      <alignment horizontal="center" vertical="center"/>
    </xf>
    <xf numFmtId="165" fontId="77" fillId="9" borderId="12" xfId="0" applyNumberFormat="1" applyFont="1" applyFill="1" applyBorder="1" applyAlignment="1">
      <alignment horizontal="center" vertical="center"/>
    </xf>
    <xf numFmtId="0" fontId="27" fillId="9" borderId="12" xfId="8" applyFill="1" applyBorder="1" applyAlignment="1">
      <alignment horizontal="left" vertical="center"/>
    </xf>
    <xf numFmtId="0" fontId="74" fillId="0" borderId="10" xfId="0" applyFont="1" applyBorder="1" applyAlignment="1">
      <alignment horizontal="center"/>
    </xf>
    <xf numFmtId="0" fontId="75" fillId="4" borderId="10" xfId="11" applyFont="1" applyFill="1" applyBorder="1" applyAlignment="1">
      <alignment horizontal="left" vertical="center"/>
    </xf>
    <xf numFmtId="0" fontId="2" fillId="4" borderId="0" xfId="0" applyFont="1" applyFill="1" applyAlignment="1">
      <alignment horizontal="left"/>
    </xf>
    <xf numFmtId="0" fontId="74" fillId="4" borderId="0" xfId="0" applyFont="1" applyFill="1"/>
    <xf numFmtId="0" fontId="42" fillId="4" borderId="15" xfId="12" applyFont="1" applyFill="1" applyBorder="1"/>
    <xf numFmtId="0" fontId="80" fillId="0" borderId="0" xfId="0" applyFont="1"/>
    <xf numFmtId="0" fontId="25" fillId="4" borderId="11" xfId="5" applyFont="1" applyFill="1" applyBorder="1" applyAlignment="1">
      <alignment horizontal="left" vertical="center" wrapText="1"/>
    </xf>
    <xf numFmtId="14" fontId="2" fillId="8" borderId="29" xfId="0" applyNumberFormat="1" applyFont="1" applyFill="1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25" fillId="0" borderId="29" xfId="12" applyFont="1" applyBorder="1"/>
    <xf numFmtId="14" fontId="2" fillId="8" borderId="29" xfId="0" applyNumberFormat="1" applyFont="1" applyFill="1" applyBorder="1" applyAlignment="1">
      <alignment horizontal="center" vertical="center"/>
    </xf>
    <xf numFmtId="49" fontId="2" fillId="8" borderId="29" xfId="0" applyNumberFormat="1" applyFont="1" applyFill="1" applyBorder="1" applyAlignment="1">
      <alignment horizontal="left" vertical="center"/>
    </xf>
    <xf numFmtId="0" fontId="2" fillId="8" borderId="29" xfId="0" applyFont="1" applyFill="1" applyBorder="1" applyAlignment="1">
      <alignment horizontal="center" vertical="center"/>
    </xf>
    <xf numFmtId="2" fontId="2" fillId="8" borderId="29" xfId="0" applyNumberFormat="1" applyFont="1" applyFill="1" applyBorder="1" applyAlignment="1">
      <alignment horizontal="center" vertical="center"/>
    </xf>
    <xf numFmtId="49" fontId="2" fillId="11" borderId="29" xfId="0" applyNumberFormat="1" applyFont="1" applyFill="1" applyBorder="1" applyAlignment="1">
      <alignment horizontal="left" vertical="center"/>
    </xf>
    <xf numFmtId="49" fontId="2" fillId="8" borderId="29" xfId="0" applyNumberFormat="1" applyFont="1" applyFill="1" applyBorder="1" applyAlignment="1">
      <alignment horizontal="center" vertical="center"/>
    </xf>
    <xf numFmtId="14" fontId="2" fillId="0" borderId="29" xfId="0" applyNumberFormat="1" applyFont="1" applyBorder="1" applyAlignment="1">
      <alignment horizontal="left"/>
    </xf>
    <xf numFmtId="0" fontId="2" fillId="0" borderId="29" xfId="0" applyFont="1" applyBorder="1"/>
    <xf numFmtId="2" fontId="2" fillId="0" borderId="29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14" fontId="2" fillId="4" borderId="29" xfId="0" applyNumberFormat="1" applyFont="1" applyFill="1" applyBorder="1" applyAlignment="1">
      <alignment horizontal="left"/>
    </xf>
    <xf numFmtId="0" fontId="2" fillId="4" borderId="29" xfId="0" applyFont="1" applyFill="1" applyBorder="1" applyAlignment="1">
      <alignment horizontal="left"/>
    </xf>
    <xf numFmtId="0" fontId="2" fillId="4" borderId="29" xfId="0" applyFont="1" applyFill="1" applyBorder="1" applyAlignment="1">
      <alignment horizontal="center"/>
    </xf>
    <xf numFmtId="2" fontId="2" fillId="4" borderId="29" xfId="0" applyNumberFormat="1" applyFont="1" applyFill="1" applyBorder="1" applyAlignment="1">
      <alignment horizontal="center"/>
    </xf>
    <xf numFmtId="49" fontId="2" fillId="4" borderId="29" xfId="0" applyNumberFormat="1" applyFont="1" applyFill="1" applyBorder="1" applyAlignment="1">
      <alignment horizontal="left"/>
    </xf>
    <xf numFmtId="49" fontId="2" fillId="0" borderId="29" xfId="0" applyNumberFormat="1" applyFont="1" applyBorder="1" applyAlignment="1">
      <alignment horizontal="left"/>
    </xf>
    <xf numFmtId="0" fontId="27" fillId="11" borderId="29" xfId="8" applyFill="1" applyBorder="1" applyAlignment="1">
      <alignment horizontal="left" vertical="center"/>
    </xf>
    <xf numFmtId="0" fontId="27" fillId="0" borderId="29" xfId="8" applyBorder="1"/>
    <xf numFmtId="49" fontId="79" fillId="9" borderId="12" xfId="0" applyNumberFormat="1" applyFont="1" applyFill="1" applyBorder="1" applyAlignment="1">
      <alignment horizontal="center" vertical="center"/>
    </xf>
    <xf numFmtId="49" fontId="75" fillId="4" borderId="11" xfId="11" applyNumberFormat="1" applyFont="1" applyFill="1" applyBorder="1" applyAlignment="1">
      <alignment horizontal="left" vertical="center"/>
    </xf>
    <xf numFmtId="0" fontId="74" fillId="0" borderId="29" xfId="0" applyFont="1" applyBorder="1" applyAlignment="1">
      <alignment horizontal="left"/>
    </xf>
    <xf numFmtId="0" fontId="74" fillId="0" borderId="29" xfId="0" applyFont="1" applyBorder="1" applyAlignment="1">
      <alignment horizontal="center"/>
    </xf>
    <xf numFmtId="14" fontId="74" fillId="0" borderId="29" xfId="0" applyNumberFormat="1" applyFont="1" applyBorder="1" applyAlignment="1">
      <alignment horizontal="center"/>
    </xf>
    <xf numFmtId="0" fontId="27" fillId="0" borderId="29" xfId="8" applyBorder="1" applyAlignment="1">
      <alignment horizontal="left"/>
    </xf>
    <xf numFmtId="0" fontId="27" fillId="4" borderId="29" xfId="8" applyFill="1" applyBorder="1" applyAlignment="1">
      <alignment horizontal="left"/>
    </xf>
    <xf numFmtId="14" fontId="75" fillId="4" borderId="1" xfId="11" applyNumberFormat="1" applyFont="1" applyFill="1" applyBorder="1" applyAlignment="1">
      <alignment horizontal="center" vertical="center"/>
    </xf>
    <xf numFmtId="0" fontId="75" fillId="4" borderId="1" xfId="11" applyFont="1" applyFill="1" applyBorder="1" applyAlignment="1">
      <alignment horizontal="center" vertical="center"/>
    </xf>
    <xf numFmtId="0" fontId="74" fillId="0" borderId="0" xfId="0" applyFont="1" applyAlignment="1">
      <alignment horizontal="center"/>
    </xf>
    <xf numFmtId="14" fontId="74" fillId="8" borderId="11" xfId="0" applyNumberFormat="1" applyFont="1" applyFill="1" applyBorder="1" applyAlignment="1">
      <alignment horizontal="center" vertical="center"/>
    </xf>
    <xf numFmtId="0" fontId="74" fillId="0" borderId="11" xfId="0" applyFont="1" applyBorder="1" applyAlignment="1">
      <alignment horizontal="center"/>
    </xf>
    <xf numFmtId="14" fontId="74" fillId="0" borderId="11" xfId="0" applyNumberFormat="1" applyFont="1" applyBorder="1" applyAlignment="1">
      <alignment horizontal="center"/>
    </xf>
    <xf numFmtId="14" fontId="42" fillId="4" borderId="11" xfId="5" applyNumberFormat="1" applyFont="1" applyFill="1" applyBorder="1" applyAlignment="1">
      <alignment horizontal="center" vertical="center" wrapText="1"/>
    </xf>
    <xf numFmtId="0" fontId="42" fillId="4" borderId="11" xfId="5" applyFont="1" applyFill="1" applyBorder="1" applyAlignment="1">
      <alignment horizontal="center" vertical="center" wrapText="1"/>
    </xf>
    <xf numFmtId="14" fontId="74" fillId="4" borderId="11" xfId="0" applyNumberFormat="1" applyFont="1" applyFill="1" applyBorder="1" applyAlignment="1">
      <alignment horizontal="center"/>
    </xf>
    <xf numFmtId="0" fontId="74" fillId="4" borderId="11" xfId="0" applyFont="1" applyFill="1" applyBorder="1" applyAlignment="1">
      <alignment horizontal="center"/>
    </xf>
    <xf numFmtId="14" fontId="75" fillId="4" borderId="29" xfId="11" applyNumberFormat="1" applyFont="1" applyFill="1" applyBorder="1" applyAlignment="1">
      <alignment horizontal="center" vertical="center"/>
    </xf>
    <xf numFmtId="0" fontId="75" fillId="4" borderId="29" xfId="11" applyFont="1" applyFill="1" applyBorder="1" applyAlignment="1">
      <alignment horizontal="center" vertical="center"/>
    </xf>
    <xf numFmtId="0" fontId="42" fillId="4" borderId="1" xfId="5" applyFont="1" applyFill="1" applyBorder="1" applyAlignment="1">
      <alignment horizontal="center" vertical="center" wrapText="1"/>
    </xf>
    <xf numFmtId="14" fontId="74" fillId="0" borderId="1" xfId="0" applyNumberFormat="1" applyFont="1" applyBorder="1" applyAlignment="1">
      <alignment horizontal="center"/>
    </xf>
    <xf numFmtId="14" fontId="42" fillId="4" borderId="29" xfId="5" applyNumberFormat="1" applyFont="1" applyFill="1" applyBorder="1" applyAlignment="1">
      <alignment horizontal="center" vertical="center" wrapText="1"/>
    </xf>
    <xf numFmtId="0" fontId="42" fillId="4" borderId="29" xfId="5" applyFont="1" applyFill="1" applyBorder="1" applyAlignment="1">
      <alignment horizontal="center" vertical="center" wrapText="1"/>
    </xf>
    <xf numFmtId="0" fontId="74" fillId="4" borderId="10" xfId="0" applyFont="1" applyFill="1" applyBorder="1" applyAlignment="1">
      <alignment horizontal="left" vertical="center" wrapText="1"/>
    </xf>
    <xf numFmtId="0" fontId="74" fillId="0" borderId="10" xfId="0" applyFont="1" applyBorder="1" applyAlignment="1">
      <alignment horizontal="left"/>
    </xf>
    <xf numFmtId="49" fontId="42" fillId="4" borderId="11" xfId="7" applyNumberFormat="1" applyFont="1" applyFill="1" applyBorder="1" applyAlignment="1">
      <alignment horizontal="center" vertical="center"/>
    </xf>
    <xf numFmtId="1" fontId="74" fillId="4" borderId="11" xfId="11" applyNumberFormat="1" applyFont="1" applyFill="1" applyBorder="1" applyAlignment="1">
      <alignment horizontal="left" vertical="center"/>
    </xf>
    <xf numFmtId="0" fontId="81" fillId="0" borderId="0" xfId="0" applyFont="1" applyAlignment="1">
      <alignment vertical="center"/>
    </xf>
    <xf numFmtId="0" fontId="82" fillId="0" borderId="0" xfId="0" applyFont="1"/>
    <xf numFmtId="0" fontId="83" fillId="0" borderId="0" xfId="0" applyFont="1"/>
    <xf numFmtId="0" fontId="84" fillId="0" borderId="30" xfId="0" applyFont="1" applyBorder="1" applyAlignment="1">
      <alignment vertical="center"/>
    </xf>
    <xf numFmtId="17" fontId="85" fillId="0" borderId="0" xfId="0" quotePrefix="1" applyNumberFormat="1" applyFont="1" applyAlignment="1">
      <alignment horizontal="left"/>
    </xf>
    <xf numFmtId="0" fontId="1" fillId="0" borderId="0" xfId="0" quotePrefix="1" applyFont="1"/>
    <xf numFmtId="0" fontId="37" fillId="10" borderId="16" xfId="0" applyFont="1" applyFill="1" applyBorder="1" applyAlignment="1">
      <alignment horizontal="center" wrapText="1"/>
    </xf>
    <xf numFmtId="0" fontId="37" fillId="10" borderId="16" xfId="0" applyFont="1" applyFill="1" applyBorder="1" applyAlignment="1">
      <alignment wrapText="1"/>
    </xf>
    <xf numFmtId="0" fontId="37" fillId="10" borderId="16" xfId="0" applyFont="1" applyFill="1" applyBorder="1" applyAlignment="1">
      <alignment horizontal="center" vertical="center" wrapText="1"/>
    </xf>
    <xf numFmtId="0" fontId="37" fillId="10" borderId="17" xfId="0" applyFont="1" applyFill="1" applyBorder="1" applyAlignment="1">
      <alignment wrapText="1"/>
    </xf>
    <xf numFmtId="0" fontId="37" fillId="10" borderId="17" xfId="0" applyFont="1" applyFill="1" applyBorder="1" applyAlignment="1">
      <alignment horizontal="center" wrapText="1"/>
    </xf>
    <xf numFmtId="0" fontId="86" fillId="0" borderId="0" xfId="11" applyFont="1" applyAlignment="1">
      <alignment horizontal="right"/>
    </xf>
    <xf numFmtId="169" fontId="86" fillId="43" borderId="1" xfId="11" applyNumberFormat="1" applyFont="1" applyFill="1" applyBorder="1" applyAlignment="1">
      <alignment horizontal="left"/>
    </xf>
    <xf numFmtId="0" fontId="86" fillId="43" borderId="1" xfId="11" applyFont="1" applyFill="1" applyBorder="1"/>
    <xf numFmtId="0" fontId="86" fillId="0" borderId="1" xfId="11" applyFont="1" applyBorder="1" applyAlignment="1">
      <alignment horizontal="center" vertical="center"/>
    </xf>
    <xf numFmtId="0" fontId="25" fillId="4" borderId="1" xfId="5" applyFont="1" applyFill="1" applyBorder="1" applyAlignment="1">
      <alignment horizontal="left" vertical="center"/>
    </xf>
    <xf numFmtId="1" fontId="86" fillId="43" borderId="1" xfId="11" applyNumberFormat="1" applyFont="1" applyFill="1" applyBorder="1" applyAlignment="1">
      <alignment horizontal="left"/>
    </xf>
    <xf numFmtId="0" fontId="86" fillId="43" borderId="1" xfId="11" applyFont="1" applyFill="1" applyBorder="1" applyAlignment="1">
      <alignment horizontal="left" vertical="center"/>
    </xf>
    <xf numFmtId="0" fontId="86" fillId="43" borderId="1" xfId="11" applyFont="1" applyFill="1" applyBorder="1" applyAlignment="1">
      <alignment horizontal="left"/>
    </xf>
    <xf numFmtId="14" fontId="86" fillId="43" borderId="1" xfId="11" applyNumberFormat="1" applyFont="1" applyFill="1" applyBorder="1" applyAlignment="1">
      <alignment horizontal="left"/>
    </xf>
    <xf numFmtId="1" fontId="86" fillId="43" borderId="1" xfId="11" applyNumberFormat="1" applyFont="1" applyFill="1" applyBorder="1"/>
    <xf numFmtId="49" fontId="87" fillId="4" borderId="1" xfId="0" applyNumberFormat="1" applyFont="1" applyFill="1" applyBorder="1" applyAlignment="1">
      <alignment horizontal="center"/>
    </xf>
    <xf numFmtId="2" fontId="86" fillId="43" borderId="1" xfId="11" applyNumberFormat="1" applyFont="1" applyFill="1" applyBorder="1" applyAlignment="1">
      <alignment horizontal="center"/>
    </xf>
    <xf numFmtId="0" fontId="2" fillId="0" borderId="1" xfId="0" applyFont="1" applyBorder="1"/>
    <xf numFmtId="0" fontId="88" fillId="0" borderId="0" xfId="0" applyFont="1"/>
    <xf numFmtId="14" fontId="89" fillId="0" borderId="1" xfId="0" applyNumberFormat="1" applyFont="1" applyBorder="1" applyAlignment="1">
      <alignment horizontal="left"/>
    </xf>
    <xf numFmtId="0" fontId="89" fillId="0" borderId="28" xfId="0" applyFont="1" applyBorder="1" applyAlignment="1">
      <alignment horizontal="left" vertical="center"/>
    </xf>
    <xf numFmtId="0" fontId="89" fillId="0" borderId="28" xfId="0" applyFont="1" applyBorder="1" applyAlignment="1">
      <alignment horizontal="left"/>
    </xf>
    <xf numFmtId="14" fontId="2" fillId="0" borderId="29" xfId="0" applyNumberFormat="1" applyFont="1" applyBorder="1" applyAlignment="1">
      <alignment horizontal="center"/>
    </xf>
    <xf numFmtId="2" fontId="86" fillId="4" borderId="11" xfId="11" applyNumberFormat="1" applyFont="1" applyFill="1" applyBorder="1" applyAlignment="1">
      <alignment horizontal="center" vertical="center"/>
    </xf>
    <xf numFmtId="0" fontId="86" fillId="4" borderId="11" xfId="11" applyFont="1" applyFill="1" applyBorder="1" applyAlignment="1">
      <alignment horizontal="left" vertical="center"/>
    </xf>
    <xf numFmtId="49" fontId="90" fillId="4" borderId="11" xfId="13" applyNumberFormat="1" applyFont="1" applyFill="1" applyBorder="1" applyAlignment="1">
      <alignment horizontal="left" vertical="center"/>
    </xf>
    <xf numFmtId="0" fontId="91" fillId="4" borderId="11" xfId="8" applyNumberFormat="1" applyFont="1" applyFill="1" applyBorder="1" applyAlignment="1">
      <alignment horizontal="left" vertical="center"/>
    </xf>
    <xf numFmtId="2" fontId="2" fillId="0" borderId="0" xfId="0" applyNumberFormat="1" applyFont="1"/>
    <xf numFmtId="0" fontId="25" fillId="0" borderId="29" xfId="12" applyFont="1" applyBorder="1" applyAlignment="1">
      <alignment horizontal="left"/>
    </xf>
    <xf numFmtId="0" fontId="25" fillId="4" borderId="29" xfId="12" applyFont="1" applyFill="1" applyBorder="1" applyAlignment="1">
      <alignment horizontal="left"/>
    </xf>
    <xf numFmtId="14" fontId="74" fillId="8" borderId="29" xfId="0" applyNumberFormat="1" applyFont="1" applyFill="1" applyBorder="1" applyAlignment="1">
      <alignment horizontal="left" vertical="center"/>
    </xf>
    <xf numFmtId="14" fontId="74" fillId="8" borderId="0" xfId="0" applyNumberFormat="1" applyFont="1" applyFill="1" applyAlignment="1">
      <alignment horizontal="left" vertical="center"/>
    </xf>
    <xf numFmtId="14" fontId="74" fillId="8" borderId="11" xfId="0" applyNumberFormat="1" applyFont="1" applyFill="1" applyBorder="1" applyAlignment="1">
      <alignment horizontal="left" vertical="center"/>
    </xf>
    <xf numFmtId="14" fontId="39" fillId="0" borderId="1" xfId="15" applyNumberFormat="1" applyFont="1" applyBorder="1" applyAlignment="1">
      <alignment horizontal="center"/>
    </xf>
    <xf numFmtId="0" fontId="39" fillId="0" borderId="1" xfId="15" applyFont="1" applyBorder="1" applyAlignment="1">
      <alignment horizontal="left" vertical="center"/>
    </xf>
    <xf numFmtId="0" fontId="40" fillId="4" borderId="1" xfId="17" applyFont="1" applyFill="1" applyBorder="1" applyAlignment="1">
      <alignment horizontal="left"/>
    </xf>
    <xf numFmtId="0" fontId="39" fillId="0" borderId="11" xfId="15" applyFont="1" applyBorder="1" applyAlignment="1">
      <alignment horizontal="center"/>
    </xf>
    <xf numFmtId="14" fontId="39" fillId="0" borderId="1" xfId="15" applyNumberFormat="1" applyFont="1" applyBorder="1" applyAlignment="1">
      <alignment horizontal="left"/>
    </xf>
    <xf numFmtId="0" fontId="39" fillId="0" borderId="11" xfId="15" applyFont="1" applyBorder="1" applyAlignment="1">
      <alignment horizontal="left"/>
    </xf>
    <xf numFmtId="0" fontId="39" fillId="0" borderId="11" xfId="15" applyFont="1" applyBorder="1" applyAlignment="1">
      <alignment horizontal="left" vertical="center"/>
    </xf>
    <xf numFmtId="0" fontId="40" fillId="4" borderId="11" xfId="17" applyFont="1" applyFill="1" applyBorder="1" applyAlignment="1">
      <alignment horizontal="left"/>
    </xf>
    <xf numFmtId="0" fontId="39" fillId="0" borderId="1" xfId="15" applyFont="1" applyBorder="1" applyAlignment="1">
      <alignment horizontal="center"/>
    </xf>
    <xf numFmtId="0" fontId="74" fillId="8" borderId="11" xfId="0" applyFont="1" applyFill="1" applyBorder="1" applyAlignment="1">
      <alignment horizontal="left" vertical="center"/>
    </xf>
    <xf numFmtId="14" fontId="39" fillId="0" borderId="14" xfId="15" applyNumberFormat="1" applyFont="1" applyBorder="1" applyAlignment="1">
      <alignment horizontal="left"/>
    </xf>
    <xf numFmtId="14" fontId="39" fillId="0" borderId="11" xfId="15" applyNumberFormat="1" applyFont="1" applyBorder="1" applyAlignment="1">
      <alignment horizontal="center"/>
    </xf>
    <xf numFmtId="0" fontId="74" fillId="0" borderId="11" xfId="0" applyFont="1" applyBorder="1"/>
    <xf numFmtId="0" fontId="74" fillId="0" borderId="11" xfId="0" applyFont="1" applyBorder="1" applyAlignment="1">
      <alignment horizontal="left"/>
    </xf>
    <xf numFmtId="14" fontId="74" fillId="0" borderId="14" xfId="0" applyNumberFormat="1" applyFont="1" applyBorder="1" applyAlignment="1">
      <alignment horizontal="left"/>
    </xf>
    <xf numFmtId="49" fontId="74" fillId="8" borderId="11" xfId="0" applyNumberFormat="1" applyFont="1" applyFill="1" applyBorder="1" applyAlignment="1">
      <alignment horizontal="left" vertical="center"/>
    </xf>
    <xf numFmtId="0" fontId="74" fillId="4" borderId="11" xfId="11" applyFont="1" applyFill="1" applyBorder="1" applyAlignment="1">
      <alignment horizontal="center" vertical="center"/>
    </xf>
    <xf numFmtId="0" fontId="42" fillId="4" borderId="11" xfId="5" applyFont="1" applyFill="1" applyBorder="1" applyAlignment="1">
      <alignment horizontal="left" vertical="center" wrapText="1"/>
    </xf>
    <xf numFmtId="0" fontId="74" fillId="4" borderId="11" xfId="0" applyFont="1" applyFill="1" applyBorder="1" applyAlignment="1">
      <alignment horizontal="left" vertical="center"/>
    </xf>
    <xf numFmtId="0" fontId="42" fillId="0" borderId="15" xfId="5" applyFont="1" applyBorder="1" applyAlignment="1">
      <alignment horizontal="left" vertical="center" wrapText="1"/>
    </xf>
    <xf numFmtId="14" fontId="42" fillId="4" borderId="14" xfId="5" applyNumberFormat="1" applyFont="1" applyFill="1" applyBorder="1" applyAlignment="1">
      <alignment horizontal="left" vertical="center" wrapText="1"/>
    </xf>
    <xf numFmtId="1" fontId="75" fillId="4" borderId="12" xfId="11" applyNumberFormat="1" applyFont="1" applyFill="1" applyBorder="1" applyAlignment="1">
      <alignment horizontal="left" vertical="center"/>
    </xf>
    <xf numFmtId="0" fontId="75" fillId="4" borderId="12" xfId="11" applyFont="1" applyFill="1" applyBorder="1" applyAlignment="1">
      <alignment horizontal="left" vertical="center"/>
    </xf>
    <xf numFmtId="0" fontId="74" fillId="0" borderId="12" xfId="0" applyFont="1" applyBorder="1"/>
    <xf numFmtId="0" fontId="74" fillId="0" borderId="12" xfId="0" applyFont="1" applyBorder="1" applyAlignment="1">
      <alignment horizontal="left"/>
    </xf>
    <xf numFmtId="0" fontId="28" fillId="0" borderId="11" xfId="15" applyFont="1" applyBorder="1" applyAlignment="1">
      <alignment horizontal="center"/>
    </xf>
    <xf numFmtId="0" fontId="42" fillId="4" borderId="29" xfId="5" applyFont="1" applyFill="1" applyBorder="1" applyAlignment="1">
      <alignment horizontal="left" vertical="center" wrapText="1"/>
    </xf>
    <xf numFmtId="0" fontId="39" fillId="0" borderId="29" xfId="15" applyFont="1" applyBorder="1" applyAlignment="1">
      <alignment horizontal="left" vertical="center"/>
    </xf>
    <xf numFmtId="0" fontId="74" fillId="4" borderId="29" xfId="0" applyFont="1" applyFill="1" applyBorder="1" applyAlignment="1">
      <alignment horizontal="left" vertical="center"/>
    </xf>
    <xf numFmtId="14" fontId="42" fillId="4" borderId="29" xfId="5" applyNumberFormat="1" applyFont="1" applyFill="1" applyBorder="1" applyAlignment="1">
      <alignment horizontal="left" vertical="center" wrapText="1"/>
    </xf>
    <xf numFmtId="1" fontId="75" fillId="4" borderId="29" xfId="11" applyNumberFormat="1" applyFont="1" applyFill="1" applyBorder="1" applyAlignment="1">
      <alignment horizontal="left" vertical="center"/>
    </xf>
    <xf numFmtId="0" fontId="75" fillId="4" borderId="29" xfId="11" applyFont="1" applyFill="1" applyBorder="1" applyAlignment="1">
      <alignment horizontal="left" vertical="center"/>
    </xf>
    <xf numFmtId="0" fontId="93" fillId="0" borderId="11" xfId="0" applyFont="1" applyBorder="1" applyAlignment="1">
      <alignment horizontal="left"/>
    </xf>
    <xf numFmtId="0" fontId="94" fillId="0" borderId="11" xfId="0" applyFont="1" applyBorder="1" applyAlignment="1">
      <alignment horizontal="left" vertical="center"/>
    </xf>
    <xf numFmtId="14" fontId="94" fillId="0" borderId="14" xfId="0" applyNumberFormat="1" applyFont="1" applyBorder="1" applyAlignment="1">
      <alignment horizontal="left"/>
    </xf>
    <xf numFmtId="0" fontId="42" fillId="0" borderId="15" xfId="12" applyFont="1" applyBorder="1" applyAlignment="1">
      <alignment horizontal="left"/>
    </xf>
    <xf numFmtId="14" fontId="75" fillId="43" borderId="11" xfId="11" applyNumberFormat="1" applyFont="1" applyFill="1" applyBorder="1" applyAlignment="1">
      <alignment horizontal="center"/>
    </xf>
    <xf numFmtId="1" fontId="75" fillId="43" borderId="11" xfId="11" applyNumberFormat="1" applyFont="1" applyFill="1" applyBorder="1"/>
    <xf numFmtId="49" fontId="39" fillId="4" borderId="11" xfId="0" applyNumberFormat="1" applyFont="1" applyFill="1" applyBorder="1" applyAlignment="1">
      <alignment horizontal="left"/>
    </xf>
    <xf numFmtId="0" fontId="75" fillId="0" borderId="11" xfId="11" applyFont="1" applyBorder="1" applyAlignment="1">
      <alignment horizontal="center" vertical="center"/>
    </xf>
    <xf numFmtId="0" fontId="42" fillId="4" borderId="15" xfId="5" applyFont="1" applyFill="1" applyBorder="1" applyAlignment="1">
      <alignment horizontal="left" vertical="center"/>
    </xf>
    <xf numFmtId="0" fontId="75" fillId="43" borderId="11" xfId="11" applyFont="1" applyFill="1" applyBorder="1"/>
    <xf numFmtId="169" fontId="75" fillId="43" borderId="14" xfId="11" applyNumberFormat="1" applyFont="1" applyFill="1" applyBorder="1" applyAlignment="1">
      <alignment horizontal="left"/>
    </xf>
    <xf numFmtId="1" fontId="75" fillId="43" borderId="11" xfId="11" applyNumberFormat="1" applyFont="1" applyFill="1" applyBorder="1" applyAlignment="1">
      <alignment horizontal="left"/>
    </xf>
    <xf numFmtId="1" fontId="77" fillId="9" borderId="11" xfId="0" applyNumberFormat="1" applyFont="1" applyFill="1" applyBorder="1" applyAlignment="1">
      <alignment horizontal="left" vertical="center"/>
    </xf>
    <xf numFmtId="0" fontId="77" fillId="9" borderId="11" xfId="0" applyFont="1" applyFill="1" applyBorder="1" applyAlignment="1">
      <alignment horizontal="left" vertical="center"/>
    </xf>
    <xf numFmtId="14" fontId="2" fillId="0" borderId="14" xfId="0" applyNumberFormat="1" applyFont="1" applyBorder="1" applyAlignment="1">
      <alignment horizontal="left"/>
    </xf>
    <xf numFmtId="0" fontId="74" fillId="4" borderId="11" xfId="0" applyFont="1" applyFill="1" applyBorder="1" applyAlignment="1">
      <alignment horizontal="left"/>
    </xf>
    <xf numFmtId="0" fontId="42" fillId="4" borderId="15" xfId="12" applyFont="1" applyFill="1" applyBorder="1" applyAlignment="1">
      <alignment horizontal="left"/>
    </xf>
    <xf numFmtId="14" fontId="74" fillId="4" borderId="14" xfId="0" applyNumberFormat="1" applyFont="1" applyFill="1" applyBorder="1" applyAlignment="1">
      <alignment horizontal="left"/>
    </xf>
    <xf numFmtId="0" fontId="42" fillId="0" borderId="29" xfId="12" applyFont="1" applyBorder="1"/>
    <xf numFmtId="0" fontId="42" fillId="0" borderId="29" xfId="12" applyFont="1" applyBorder="1" applyAlignment="1">
      <alignment horizontal="left"/>
    </xf>
    <xf numFmtId="14" fontId="74" fillId="0" borderId="29" xfId="0" applyNumberFormat="1" applyFont="1" applyBorder="1" applyAlignment="1">
      <alignment horizontal="left"/>
    </xf>
    <xf numFmtId="49" fontId="75" fillId="4" borderId="29" xfId="11" applyNumberFormat="1" applyFont="1" applyFill="1" applyBorder="1" applyAlignment="1">
      <alignment horizontal="left" vertical="center"/>
    </xf>
    <xf numFmtId="0" fontId="42" fillId="4" borderId="29" xfId="12" applyFont="1" applyFill="1" applyBorder="1"/>
    <xf numFmtId="1" fontId="75" fillId="4" borderId="1" xfId="11" applyNumberFormat="1" applyFont="1" applyFill="1" applyBorder="1" applyAlignment="1">
      <alignment horizontal="left" vertical="center"/>
    </xf>
    <xf numFmtId="0" fontId="75" fillId="4" borderId="1" xfId="11" applyFont="1" applyFill="1" applyBorder="1" applyAlignment="1">
      <alignment horizontal="left" vertical="center"/>
    </xf>
    <xf numFmtId="0" fontId="39" fillId="0" borderId="1" xfId="15" applyFont="1" applyBorder="1" applyAlignment="1">
      <alignment horizontal="left"/>
    </xf>
    <xf numFmtId="0" fontId="75" fillId="4" borderId="0" xfId="11" applyFont="1" applyFill="1" applyAlignment="1">
      <alignment horizontal="left" vertical="center"/>
    </xf>
    <xf numFmtId="0" fontId="75" fillId="4" borderId="28" xfId="11" applyFont="1" applyFill="1" applyBorder="1" applyAlignment="1">
      <alignment horizontal="left" vertical="center"/>
    </xf>
    <xf numFmtId="0" fontId="74" fillId="0" borderId="1" xfId="0" applyFont="1" applyBorder="1" applyAlignment="1">
      <alignment horizontal="left"/>
    </xf>
    <xf numFmtId="14" fontId="74" fillId="0" borderId="1" xfId="0" applyNumberFormat="1" applyFont="1" applyBorder="1" applyAlignment="1">
      <alignment horizontal="left"/>
    </xf>
    <xf numFmtId="0" fontId="42" fillId="0" borderId="1" xfId="12" applyFont="1" applyBorder="1"/>
    <xf numFmtId="0" fontId="39" fillId="0" borderId="31" xfId="15" applyFont="1" applyBorder="1" applyAlignment="1">
      <alignment horizontal="left" vertical="center"/>
    </xf>
    <xf numFmtId="0" fontId="40" fillId="4" borderId="10" xfId="17" applyFont="1" applyFill="1" applyBorder="1" applyAlignment="1">
      <alignment horizontal="left"/>
    </xf>
    <xf numFmtId="0" fontId="42" fillId="0" borderId="12" xfId="12" applyFont="1" applyBorder="1"/>
    <xf numFmtId="14" fontId="39" fillId="0" borderId="11" xfId="15" applyNumberFormat="1" applyFont="1" applyBorder="1" applyAlignment="1">
      <alignment horizontal="left"/>
    </xf>
    <xf numFmtId="0" fontId="39" fillId="0" borderId="0" xfId="15" applyFont="1" applyAlignment="1">
      <alignment horizontal="left" vertical="center"/>
    </xf>
    <xf numFmtId="0" fontId="39" fillId="0" borderId="18" xfId="15" applyFont="1" applyBorder="1" applyAlignment="1">
      <alignment horizontal="left" vertical="center"/>
    </xf>
    <xf numFmtId="0" fontId="74" fillId="4" borderId="10" xfId="0" applyFont="1" applyFill="1" applyBorder="1" applyAlignment="1">
      <alignment horizontal="left" vertical="center"/>
    </xf>
    <xf numFmtId="0" fontId="42" fillId="0" borderId="12" xfId="5" applyFont="1" applyBorder="1" applyAlignment="1">
      <alignment horizontal="left" vertical="center" wrapText="1"/>
    </xf>
    <xf numFmtId="14" fontId="42" fillId="4" borderId="11" xfId="5" applyNumberFormat="1" applyFont="1" applyFill="1" applyBorder="1" applyAlignment="1">
      <alignment horizontal="left" vertical="center" wrapText="1"/>
    </xf>
    <xf numFmtId="0" fontId="74" fillId="4" borderId="11" xfId="0" applyFont="1" applyFill="1" applyBorder="1" applyAlignment="1">
      <alignment horizontal="left" vertical="center" wrapText="1"/>
    </xf>
    <xf numFmtId="1" fontId="75" fillId="4" borderId="0" xfId="11" applyNumberFormat="1" applyFont="1" applyFill="1" applyAlignment="1">
      <alignment horizontal="left" vertical="center"/>
    </xf>
    <xf numFmtId="0" fontId="75" fillId="4" borderId="18" xfId="11" applyFont="1" applyFill="1" applyBorder="1" applyAlignment="1">
      <alignment horizontal="left" vertical="center"/>
    </xf>
    <xf numFmtId="0" fontId="74" fillId="0" borderId="0" xfId="0" applyFont="1" applyAlignment="1">
      <alignment horizontal="left"/>
    </xf>
    <xf numFmtId="0" fontId="42" fillId="0" borderId="12" xfId="12" applyFont="1" applyBorder="1" applyAlignment="1">
      <alignment horizontal="left"/>
    </xf>
    <xf numFmtId="0" fontId="74" fillId="0" borderId="18" xfId="0" applyFont="1" applyBorder="1" applyAlignment="1">
      <alignment horizontal="left"/>
    </xf>
    <xf numFmtId="14" fontId="74" fillId="0" borderId="11" xfId="0" applyNumberFormat="1" applyFont="1" applyBorder="1" applyAlignment="1">
      <alignment horizontal="left"/>
    </xf>
    <xf numFmtId="14" fontId="74" fillId="0" borderId="0" xfId="0" applyNumberFormat="1" applyFont="1"/>
    <xf numFmtId="0" fontId="95" fillId="11" borderId="11" xfId="8" applyFont="1" applyFill="1" applyBorder="1" applyAlignment="1">
      <alignment horizontal="left" vertical="center"/>
    </xf>
    <xf numFmtId="49" fontId="96" fillId="11" borderId="11" xfId="0" applyNumberFormat="1" applyFont="1" applyFill="1" applyBorder="1" applyAlignment="1">
      <alignment horizontal="center" vertical="center"/>
    </xf>
    <xf numFmtId="0" fontId="97" fillId="0" borderId="11" xfId="8" applyFont="1" applyBorder="1" applyAlignment="1">
      <alignment horizontal="left" vertical="center"/>
    </xf>
    <xf numFmtId="49" fontId="98" fillId="0" borderId="11" xfId="15" applyNumberFormat="1" applyFont="1" applyBorder="1" applyAlignment="1">
      <alignment horizontal="center" vertical="center"/>
    </xf>
    <xf numFmtId="0" fontId="95" fillId="0" borderId="11" xfId="8" applyFont="1" applyBorder="1" applyAlignment="1">
      <alignment horizontal="left" vertical="center"/>
    </xf>
    <xf numFmtId="49" fontId="98" fillId="4" borderId="11" xfId="17" applyNumberFormat="1" applyFont="1" applyFill="1" applyBorder="1" applyAlignment="1">
      <alignment horizontal="center"/>
    </xf>
    <xf numFmtId="0" fontId="95" fillId="4" borderId="11" xfId="8" applyNumberFormat="1" applyFont="1" applyFill="1" applyBorder="1" applyAlignment="1">
      <alignment horizontal="left" vertical="center"/>
    </xf>
    <xf numFmtId="49" fontId="99" fillId="4" borderId="11" xfId="13" applyNumberFormat="1" applyFont="1" applyFill="1" applyBorder="1" applyAlignment="1">
      <alignment horizontal="center" vertical="center"/>
    </xf>
    <xf numFmtId="0" fontId="95" fillId="0" borderId="11" xfId="8" applyFont="1" applyBorder="1"/>
    <xf numFmtId="43" fontId="99" fillId="4" borderId="11" xfId="8" applyNumberFormat="1" applyFont="1" applyFill="1" applyBorder="1" applyAlignment="1">
      <alignment horizontal="left" vertical="center"/>
    </xf>
    <xf numFmtId="49" fontId="96" fillId="4" borderId="11" xfId="7" applyNumberFormat="1" applyFont="1" applyFill="1" applyBorder="1" applyAlignment="1">
      <alignment horizontal="center" vertical="center"/>
    </xf>
    <xf numFmtId="0" fontId="95" fillId="4" borderId="12" xfId="8" applyNumberFormat="1" applyFont="1" applyFill="1" applyBorder="1" applyAlignment="1">
      <alignment horizontal="left" vertical="center"/>
    </xf>
    <xf numFmtId="49" fontId="99" fillId="4" borderId="12" xfId="13" applyNumberFormat="1" applyFont="1" applyFill="1" applyBorder="1" applyAlignment="1">
      <alignment horizontal="center" vertical="center"/>
    </xf>
    <xf numFmtId="0" fontId="95" fillId="0" borderId="12" xfId="8" applyFont="1" applyBorder="1"/>
    <xf numFmtId="49" fontId="96" fillId="11" borderId="12" xfId="0" applyNumberFormat="1" applyFont="1" applyFill="1" applyBorder="1" applyAlignment="1">
      <alignment horizontal="center" vertical="center"/>
    </xf>
    <xf numFmtId="0" fontId="95" fillId="0" borderId="11" xfId="8" applyFont="1" applyBorder="1" applyAlignment="1">
      <alignment horizontal="left"/>
    </xf>
    <xf numFmtId="0" fontId="100" fillId="0" borderId="11" xfId="0" applyFont="1" applyBorder="1"/>
    <xf numFmtId="0" fontId="100" fillId="0" borderId="11" xfId="0" applyFont="1" applyBorder="1" applyAlignment="1">
      <alignment horizontal="center"/>
    </xf>
    <xf numFmtId="0" fontId="95" fillId="9" borderId="11" xfId="8" applyFont="1" applyFill="1" applyBorder="1" applyAlignment="1">
      <alignment horizontal="left" vertical="center"/>
    </xf>
    <xf numFmtId="49" fontId="99" fillId="9" borderId="11" xfId="0" applyNumberFormat="1" applyFont="1" applyFill="1" applyBorder="1" applyAlignment="1">
      <alignment horizontal="center" vertical="center"/>
    </xf>
    <xf numFmtId="0" fontId="96" fillId="0" borderId="11" xfId="0" applyFont="1" applyBorder="1" applyAlignment="1">
      <alignment horizontal="center"/>
    </xf>
    <xf numFmtId="0" fontId="95" fillId="4" borderId="11" xfId="8" applyFont="1" applyFill="1" applyBorder="1" applyAlignment="1">
      <alignment horizontal="left"/>
    </xf>
    <xf numFmtId="49" fontId="96" fillId="4" borderId="11" xfId="0" applyNumberFormat="1" applyFont="1" applyFill="1" applyBorder="1" applyAlignment="1">
      <alignment horizontal="center"/>
    </xf>
    <xf numFmtId="0" fontId="95" fillId="4" borderId="29" xfId="8" applyNumberFormat="1" applyFont="1" applyFill="1" applyBorder="1" applyAlignment="1">
      <alignment horizontal="left" vertical="center"/>
    </xf>
    <xf numFmtId="49" fontId="99" fillId="4" borderId="29" xfId="13" applyNumberFormat="1" applyFont="1" applyFill="1" applyBorder="1" applyAlignment="1">
      <alignment horizontal="center" vertical="center"/>
    </xf>
    <xf numFmtId="0" fontId="95" fillId="0" borderId="29" xfId="8" applyFont="1" applyBorder="1" applyAlignment="1">
      <alignment horizontal="left"/>
    </xf>
    <xf numFmtId="49" fontId="96" fillId="0" borderId="29" xfId="0" applyNumberFormat="1" applyFont="1" applyBorder="1" applyAlignment="1">
      <alignment horizontal="center"/>
    </xf>
    <xf numFmtId="0" fontId="95" fillId="4" borderId="1" xfId="8" applyNumberFormat="1" applyFont="1" applyFill="1" applyBorder="1" applyAlignment="1">
      <alignment horizontal="left" vertical="center"/>
    </xf>
    <xf numFmtId="49" fontId="99" fillId="4" borderId="1" xfId="13" applyNumberFormat="1" applyFont="1" applyFill="1" applyBorder="1" applyAlignment="1">
      <alignment horizontal="center" vertical="center"/>
    </xf>
    <xf numFmtId="0" fontId="95" fillId="0" borderId="1" xfId="8" applyFont="1" applyBorder="1" applyAlignment="1">
      <alignment horizontal="left" vertical="center"/>
    </xf>
    <xf numFmtId="49" fontId="98" fillId="4" borderId="1" xfId="17" applyNumberFormat="1" applyFont="1" applyFill="1" applyBorder="1" applyAlignment="1">
      <alignment horizontal="center"/>
    </xf>
    <xf numFmtId="0" fontId="95" fillId="0" borderId="1" xfId="8" applyFont="1" applyBorder="1" applyAlignment="1">
      <alignment horizontal="left"/>
    </xf>
    <xf numFmtId="49" fontId="96" fillId="0" borderId="1" xfId="0" applyNumberFormat="1" applyFont="1" applyBorder="1" applyAlignment="1">
      <alignment horizontal="center"/>
    </xf>
    <xf numFmtId="0" fontId="95" fillId="0" borderId="0" xfId="8" applyFont="1" applyBorder="1" applyAlignment="1">
      <alignment horizontal="left" vertical="center"/>
    </xf>
    <xf numFmtId="49" fontId="98" fillId="4" borderId="0" xfId="17" applyNumberFormat="1" applyFont="1" applyFill="1" applyAlignment="1">
      <alignment horizontal="center"/>
    </xf>
    <xf numFmtId="0" fontId="95" fillId="0" borderId="13" xfId="8" applyFont="1" applyBorder="1" applyAlignment="1">
      <alignment horizontal="left" vertical="center"/>
    </xf>
    <xf numFmtId="43" fontId="99" fillId="4" borderId="13" xfId="8" applyNumberFormat="1" applyFont="1" applyFill="1" applyBorder="1" applyAlignment="1">
      <alignment horizontal="left" vertical="center"/>
    </xf>
    <xf numFmtId="0" fontId="95" fillId="4" borderId="13" xfId="8" applyNumberFormat="1" applyFont="1" applyFill="1" applyBorder="1" applyAlignment="1">
      <alignment horizontal="left" vertical="center"/>
    </xf>
    <xf numFmtId="0" fontId="95" fillId="0" borderId="13" xfId="8" applyFont="1" applyBorder="1" applyAlignment="1">
      <alignment horizontal="left"/>
    </xf>
    <xf numFmtId="49" fontId="96" fillId="0" borderId="11" xfId="0" applyNumberFormat="1" applyFont="1" applyBorder="1" applyAlignment="1">
      <alignment horizontal="center"/>
    </xf>
    <xf numFmtId="0" fontId="27" fillId="0" borderId="13" xfId="8" applyBorder="1" applyAlignment="1">
      <alignment horizontal="left"/>
    </xf>
    <xf numFmtId="2" fontId="0" fillId="0" borderId="0" xfId="0" applyNumberFormat="1" applyAlignment="1">
      <alignment horizontal="center"/>
    </xf>
    <xf numFmtId="0" fontId="27" fillId="0" borderId="11" xfId="8" applyBorder="1" applyAlignment="1">
      <alignment horizontal="left" vertical="center"/>
    </xf>
    <xf numFmtId="0" fontId="27" fillId="0" borderId="11" xfId="8" applyBorder="1"/>
    <xf numFmtId="0" fontId="74" fillId="44" borderId="0" xfId="0" applyFont="1" applyFill="1"/>
    <xf numFmtId="14" fontId="2" fillId="44" borderId="29" xfId="0" applyNumberFormat="1" applyFont="1" applyFill="1" applyBorder="1" applyAlignment="1">
      <alignment horizontal="left"/>
    </xf>
    <xf numFmtId="0" fontId="74" fillId="44" borderId="29" xfId="0" applyFont="1" applyFill="1" applyBorder="1" applyAlignment="1">
      <alignment horizontal="left"/>
    </xf>
    <xf numFmtId="0" fontId="74" fillId="44" borderId="29" xfId="0" applyFont="1" applyFill="1" applyBorder="1" applyAlignment="1">
      <alignment horizontal="center"/>
    </xf>
    <xf numFmtId="0" fontId="42" fillId="44" borderId="15" xfId="12" applyFont="1" applyFill="1" applyBorder="1"/>
    <xf numFmtId="0" fontId="75" fillId="44" borderId="11" xfId="11" applyFont="1" applyFill="1" applyBorder="1" applyAlignment="1">
      <alignment horizontal="center" vertical="center"/>
    </xf>
    <xf numFmtId="14" fontId="74" fillId="44" borderId="29" xfId="0" applyNumberFormat="1" applyFont="1" applyFill="1" applyBorder="1" applyAlignment="1">
      <alignment horizontal="center"/>
    </xf>
    <xf numFmtId="2" fontId="75" fillId="44" borderId="11" xfId="11" applyNumberFormat="1" applyFont="1" applyFill="1" applyBorder="1" applyAlignment="1">
      <alignment horizontal="center" vertical="center"/>
    </xf>
    <xf numFmtId="165" fontId="75" fillId="44" borderId="11" xfId="11" applyNumberFormat="1" applyFont="1" applyFill="1" applyBorder="1" applyAlignment="1">
      <alignment horizontal="center" vertical="center"/>
    </xf>
    <xf numFmtId="0" fontId="75" fillId="44" borderId="11" xfId="11" applyFont="1" applyFill="1" applyBorder="1" applyAlignment="1">
      <alignment horizontal="left" vertical="center"/>
    </xf>
    <xf numFmtId="49" fontId="76" fillId="44" borderId="11" xfId="13" applyNumberFormat="1" applyFont="1" applyFill="1" applyBorder="1" applyAlignment="1">
      <alignment horizontal="center" vertical="center"/>
    </xf>
    <xf numFmtId="0" fontId="27" fillId="44" borderId="11" xfId="8" applyNumberFormat="1" applyFill="1" applyBorder="1" applyAlignment="1">
      <alignment horizontal="left" vertical="center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3</xdr:row>
      <xdr:rowOff>85725</xdr:rowOff>
    </xdr:from>
    <xdr:to>
      <xdr:col>1</xdr:col>
      <xdr:colOff>741045</xdr:colOff>
      <xdr:row>6</xdr:row>
      <xdr:rowOff>44450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823DAF21-3AA7-D24D-B864-68350BDDA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720725" y="657225"/>
          <a:ext cx="579120" cy="530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RENA.ANDRADE38@GMAIL.COM" TargetMode="External"/><Relationship Id="rId13" Type="http://schemas.openxmlformats.org/officeDocument/2006/relationships/hyperlink" Target="mailto:ANGELICASIGUENZA@YAHOO.COM" TargetMode="External"/><Relationship Id="rId18" Type="http://schemas.openxmlformats.org/officeDocument/2006/relationships/hyperlink" Target="mailto:PCAZORLACH@GMAIL.COM" TargetMode="External"/><Relationship Id="rId3" Type="http://schemas.openxmlformats.org/officeDocument/2006/relationships/hyperlink" Target="mailto:ALI.SCS@HOTMAIL.COM" TargetMode="External"/><Relationship Id="rId7" Type="http://schemas.openxmlformats.org/officeDocument/2006/relationships/hyperlink" Target="mailto:GERENCIA@FOGOCOTO.COM.EC" TargetMode="External"/><Relationship Id="rId12" Type="http://schemas.openxmlformats.org/officeDocument/2006/relationships/hyperlink" Target="mailto:CHELOTORAL@GMAIL.COM" TargetMode="External"/><Relationship Id="rId17" Type="http://schemas.openxmlformats.org/officeDocument/2006/relationships/hyperlink" Target="mailto:GRUPO.CAMINAR@HOTMAIL.COM" TargetMode="External"/><Relationship Id="rId2" Type="http://schemas.openxmlformats.org/officeDocument/2006/relationships/hyperlink" Target="mailto:FACTURASGMLAB@GMAIL.COM" TargetMode="External"/><Relationship Id="rId16" Type="http://schemas.openxmlformats.org/officeDocument/2006/relationships/hyperlink" Target="mailto:JENIFFERVALDIVIEZO@GMAIL.COM" TargetMode="External"/><Relationship Id="rId1" Type="http://schemas.openxmlformats.org/officeDocument/2006/relationships/hyperlink" Target="mailto:SOLMORALES2015@HOTMAIL.COM" TargetMode="External"/><Relationship Id="rId6" Type="http://schemas.openxmlformats.org/officeDocument/2006/relationships/hyperlink" Target="mailto:PCAZORLACH@GMAIL.COM" TargetMode="External"/><Relationship Id="rId11" Type="http://schemas.openxmlformats.org/officeDocument/2006/relationships/hyperlink" Target="mailto:RESPONSBLER@HOTMAIL.COM" TargetMode="External"/><Relationship Id="rId5" Type="http://schemas.openxmlformats.org/officeDocument/2006/relationships/hyperlink" Target="mailto:GABYMALO@HOTMAIL.COM" TargetMode="External"/><Relationship Id="rId15" Type="http://schemas.openxmlformats.org/officeDocument/2006/relationships/hyperlink" Target="mailto:GERENCIA@COMEXI.COM" TargetMode="External"/><Relationship Id="rId10" Type="http://schemas.openxmlformats.org/officeDocument/2006/relationships/hyperlink" Target="mailto:MEGAMUEBLESBELEN@HOTMAIL.COM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mailto:GLORIAGAYBOR@HOTMAIL.COM" TargetMode="External"/><Relationship Id="rId9" Type="http://schemas.openxmlformats.org/officeDocument/2006/relationships/hyperlink" Target="mailto:GERENCIA@COMEXI.COM" TargetMode="External"/><Relationship Id="rId14" Type="http://schemas.openxmlformats.org/officeDocument/2006/relationships/hyperlink" Target="mailto:ANA.ELISABETH.OCHOA@HOT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DAVIDMUNOX30@HOTMAIL.COM" TargetMode="External"/><Relationship Id="rId21" Type="http://schemas.openxmlformats.org/officeDocument/2006/relationships/hyperlink" Target="mailto:EUGIN.BARRET.2020@GMAIL.COM" TargetMode="External"/><Relationship Id="rId42" Type="http://schemas.openxmlformats.org/officeDocument/2006/relationships/hyperlink" Target="mailto:CLARAMEDINALEON@HOTMAIL.ES" TargetMode="External"/><Relationship Id="rId47" Type="http://schemas.openxmlformats.org/officeDocument/2006/relationships/hyperlink" Target="mailto:ALEXANDRAIDROVO1989@GMAIL.COM" TargetMode="External"/><Relationship Id="rId63" Type="http://schemas.openxmlformats.org/officeDocument/2006/relationships/hyperlink" Target="mailto:MAFERJACOME87@GMAIL.COM" TargetMode="External"/><Relationship Id="rId68" Type="http://schemas.openxmlformats.org/officeDocument/2006/relationships/hyperlink" Target="mailto:PRISCALDERONPA2@HOTMAIL.COM" TargetMode="External"/><Relationship Id="rId84" Type="http://schemas.openxmlformats.org/officeDocument/2006/relationships/hyperlink" Target="mailto:WILMACUMANDACS@GMAIL.COM" TargetMode="External"/><Relationship Id="rId89" Type="http://schemas.openxmlformats.org/officeDocument/2006/relationships/hyperlink" Target="mailto:loliorellana18@gmail.com" TargetMode="External"/><Relationship Id="rId16" Type="http://schemas.openxmlformats.org/officeDocument/2006/relationships/hyperlink" Target="mailto:LUISROMO@AUTOEXFO.EC" TargetMode="External"/><Relationship Id="rId11" Type="http://schemas.openxmlformats.org/officeDocument/2006/relationships/hyperlink" Target="mailto:WAIC-36@HOTMAIL.COM" TargetMode="External"/><Relationship Id="rId32" Type="http://schemas.openxmlformats.org/officeDocument/2006/relationships/hyperlink" Target="mailto:EUGENIAMOLINA42@HOTMAIL.COM" TargetMode="External"/><Relationship Id="rId37" Type="http://schemas.openxmlformats.org/officeDocument/2006/relationships/hyperlink" Target="mailto:ENMARODASF@HOTMAIL.COM" TargetMode="External"/><Relationship Id="rId53" Type="http://schemas.openxmlformats.org/officeDocument/2006/relationships/hyperlink" Target="mailto:FPELAEZ0@YAHOO.COM" TargetMode="External"/><Relationship Id="rId58" Type="http://schemas.openxmlformats.org/officeDocument/2006/relationships/hyperlink" Target="mailto:TURIZO3@HOTMAIL.COM" TargetMode="External"/><Relationship Id="rId74" Type="http://schemas.openxmlformats.org/officeDocument/2006/relationships/hyperlink" Target="mailto:CARMITA031162@HOTMAIL.COM" TargetMode="External"/><Relationship Id="rId79" Type="http://schemas.openxmlformats.org/officeDocument/2006/relationships/hyperlink" Target="mailto:MNARCISA@HOTMAIL.COM" TargetMode="External"/><Relationship Id="rId102" Type="http://schemas.openxmlformats.org/officeDocument/2006/relationships/hyperlink" Target="mailto:SOPHIALITUMAA@GMAIL.COM" TargetMode="External"/><Relationship Id="rId5" Type="http://schemas.openxmlformats.org/officeDocument/2006/relationships/hyperlink" Target="mailto:PATRAMTO68@GMAIL.COM" TargetMode="External"/><Relationship Id="rId90" Type="http://schemas.openxmlformats.org/officeDocument/2006/relationships/hyperlink" Target="mailto:LUPEYARIS@YAHOO.COM" TargetMode="External"/><Relationship Id="rId95" Type="http://schemas.openxmlformats.org/officeDocument/2006/relationships/hyperlink" Target="mailto:GABYCOBOS1990@HOTMAIL.COM" TargetMode="External"/><Relationship Id="rId22" Type="http://schemas.openxmlformats.org/officeDocument/2006/relationships/hyperlink" Target="mailto:EUGIN.BARRET.2020@GMAIL.COM" TargetMode="External"/><Relationship Id="rId27" Type="http://schemas.openxmlformats.org/officeDocument/2006/relationships/hyperlink" Target="mailto:DAVIDMUNOX30@HOTMAIL.COM" TargetMode="External"/><Relationship Id="rId43" Type="http://schemas.openxmlformats.org/officeDocument/2006/relationships/hyperlink" Target="mailto:CLARAMEDINALEON@HOTMAIL.ES" TargetMode="External"/><Relationship Id="rId48" Type="http://schemas.openxmlformats.org/officeDocument/2006/relationships/hyperlink" Target="mailto:ALEXANDRAIDROVO1989@GMAIL.COM" TargetMode="External"/><Relationship Id="rId64" Type="http://schemas.openxmlformats.org/officeDocument/2006/relationships/hyperlink" Target="mailto:MAFERJACOME87@GMAIL.COM" TargetMode="External"/><Relationship Id="rId69" Type="http://schemas.openxmlformats.org/officeDocument/2006/relationships/hyperlink" Target="mailto:SAPGLORIA@YAHOO.COM" TargetMode="External"/><Relationship Id="rId80" Type="http://schemas.openxmlformats.org/officeDocument/2006/relationships/hyperlink" Target="mailto:PAMELABORJA88@HOTMAIL.COM" TargetMode="External"/><Relationship Id="rId85" Type="http://schemas.openxmlformats.org/officeDocument/2006/relationships/hyperlink" Target="mailto:BOLIVARROMO768@GMAIL.COM" TargetMode="External"/><Relationship Id="rId12" Type="http://schemas.openxmlformats.org/officeDocument/2006/relationships/hyperlink" Target="mailto:KASTYMACIASZZ@HOTMAIL.COM" TargetMode="External"/><Relationship Id="rId17" Type="http://schemas.openxmlformats.org/officeDocument/2006/relationships/hyperlink" Target="mailto:LUISROMO@AUTOEXFO.EC" TargetMode="External"/><Relationship Id="rId33" Type="http://schemas.openxmlformats.org/officeDocument/2006/relationships/hyperlink" Target="mailto:DAMARISMARIN23@GMAIL.COM" TargetMode="External"/><Relationship Id="rId38" Type="http://schemas.openxmlformats.org/officeDocument/2006/relationships/hyperlink" Target="mailto:ENMARODASF@HOTMAIL.COM" TargetMode="External"/><Relationship Id="rId59" Type="http://schemas.openxmlformats.org/officeDocument/2006/relationships/hyperlink" Target="mailto:TURIZO3@HOTMAIL.COM" TargetMode="External"/><Relationship Id="rId103" Type="http://schemas.openxmlformats.org/officeDocument/2006/relationships/hyperlink" Target="mailto:SOPHIALITUMAA@GMAIL.COM" TargetMode="External"/><Relationship Id="rId20" Type="http://schemas.openxmlformats.org/officeDocument/2006/relationships/hyperlink" Target="mailto:EUGIN.BARRET.2020@GMAIL.COM" TargetMode="External"/><Relationship Id="rId41" Type="http://schemas.openxmlformats.org/officeDocument/2006/relationships/hyperlink" Target="mailto:GABIMU&#209;OZZB@GMAIL.COM" TargetMode="External"/><Relationship Id="rId54" Type="http://schemas.openxmlformats.org/officeDocument/2006/relationships/hyperlink" Target="mailto:FPELAEZ0@YAHOO.COM" TargetMode="External"/><Relationship Id="rId62" Type="http://schemas.openxmlformats.org/officeDocument/2006/relationships/hyperlink" Target="mailto:MAFERJACOME87@GMAIL.COM" TargetMode="External"/><Relationship Id="rId70" Type="http://schemas.openxmlformats.org/officeDocument/2006/relationships/hyperlink" Target="mailto:SAPGLORIA@YAHOO.COM" TargetMode="External"/><Relationship Id="rId75" Type="http://schemas.openxmlformats.org/officeDocument/2006/relationships/hyperlink" Target="mailto:CARMITA031162@HOTMAIL.COM" TargetMode="External"/><Relationship Id="rId83" Type="http://schemas.openxmlformats.org/officeDocument/2006/relationships/hyperlink" Target="mailto:WILMACUMANDACS@GMAIL.COM" TargetMode="External"/><Relationship Id="rId88" Type="http://schemas.openxmlformats.org/officeDocument/2006/relationships/hyperlink" Target="mailto:loliorellana18@gmail.com" TargetMode="External"/><Relationship Id="rId91" Type="http://schemas.openxmlformats.org/officeDocument/2006/relationships/hyperlink" Target="mailto:LUPEYARIS@YAHOO.COM" TargetMode="External"/><Relationship Id="rId96" Type="http://schemas.openxmlformats.org/officeDocument/2006/relationships/hyperlink" Target="mailto:GABYCOBOS1990@HOTMAIL.COM" TargetMode="External"/><Relationship Id="rId1" Type="http://schemas.openxmlformats.org/officeDocument/2006/relationships/hyperlink" Target="mailto:ROBLES@GMAIL.COM" TargetMode="External"/><Relationship Id="rId6" Type="http://schemas.openxmlformats.org/officeDocument/2006/relationships/hyperlink" Target="mailto:PATRAMTO68@GMAIL.COM" TargetMode="External"/><Relationship Id="rId15" Type="http://schemas.openxmlformats.org/officeDocument/2006/relationships/hyperlink" Target="mailto:POOL.FINO@HOTMAIL.COM" TargetMode="External"/><Relationship Id="rId23" Type="http://schemas.openxmlformats.org/officeDocument/2006/relationships/hyperlink" Target="mailto:JORGEZUNIGAJARA@HOTMAIL.COM" TargetMode="External"/><Relationship Id="rId28" Type="http://schemas.openxmlformats.org/officeDocument/2006/relationships/hyperlink" Target="mailto:DAVIDMUNOX30@HOTMAIL.COM" TargetMode="External"/><Relationship Id="rId36" Type="http://schemas.openxmlformats.org/officeDocument/2006/relationships/hyperlink" Target="mailto:URTUBIAALEX@HOTMAIL.COM" TargetMode="External"/><Relationship Id="rId49" Type="http://schemas.openxmlformats.org/officeDocument/2006/relationships/hyperlink" Target="mailto:TATAGUSTA@HOTMAIL.COM" TargetMode="External"/><Relationship Id="rId57" Type="http://schemas.openxmlformats.org/officeDocument/2006/relationships/hyperlink" Target="mailto:TURIZO3@HOTMAIL.COM" TargetMode="External"/><Relationship Id="rId106" Type="http://schemas.openxmlformats.org/officeDocument/2006/relationships/drawing" Target="../drawings/drawing2.xml"/><Relationship Id="rId10" Type="http://schemas.openxmlformats.org/officeDocument/2006/relationships/hyperlink" Target="mailto:WAIC-36@HOTMAIL.COM" TargetMode="External"/><Relationship Id="rId31" Type="http://schemas.openxmlformats.org/officeDocument/2006/relationships/hyperlink" Target="mailto:EUGENIAMOLINA42@HOTMAIL.COM" TargetMode="External"/><Relationship Id="rId44" Type="http://schemas.openxmlformats.org/officeDocument/2006/relationships/hyperlink" Target="mailto:CLARAMEDINALEON@HOTMAIL.ES" TargetMode="External"/><Relationship Id="rId52" Type="http://schemas.openxmlformats.org/officeDocument/2006/relationships/hyperlink" Target="mailto:TATAGUSTA@HOTMAIL.COM" TargetMode="External"/><Relationship Id="rId60" Type="http://schemas.openxmlformats.org/officeDocument/2006/relationships/hyperlink" Target="mailto:LIESLIEALEXANDRA19@OUTLOOK.COM" TargetMode="External"/><Relationship Id="rId65" Type="http://schemas.openxmlformats.org/officeDocument/2006/relationships/hyperlink" Target="mailto:MAFERJACOME87@GMAIL.COM" TargetMode="External"/><Relationship Id="rId73" Type="http://schemas.openxmlformats.org/officeDocument/2006/relationships/hyperlink" Target="mailto:SEBASTIANLARRIVANOVO@GMAIL.COM" TargetMode="External"/><Relationship Id="rId78" Type="http://schemas.openxmlformats.org/officeDocument/2006/relationships/hyperlink" Target="mailto:MNARCISA@HOTMAIL.COM" TargetMode="External"/><Relationship Id="rId81" Type="http://schemas.openxmlformats.org/officeDocument/2006/relationships/hyperlink" Target="mailto:PAMELABORJA88@HOTMAIL.COM" TargetMode="External"/><Relationship Id="rId86" Type="http://schemas.openxmlformats.org/officeDocument/2006/relationships/hyperlink" Target="mailto:BOLIVARROMO768@GMAIL.COM" TargetMode="External"/><Relationship Id="rId94" Type="http://schemas.openxmlformats.org/officeDocument/2006/relationships/hyperlink" Target="mailto:GABYCOBOS1990@HOTMAIL.COM" TargetMode="External"/><Relationship Id="rId99" Type="http://schemas.openxmlformats.org/officeDocument/2006/relationships/hyperlink" Target="mailto:ALFREDOHAEC31@GMAIL.COM" TargetMode="External"/><Relationship Id="rId101" Type="http://schemas.openxmlformats.org/officeDocument/2006/relationships/hyperlink" Target="mailto:JORGEPB01@HOTMAIL.COM" TargetMode="External"/><Relationship Id="rId4" Type="http://schemas.openxmlformats.org/officeDocument/2006/relationships/hyperlink" Target="mailto:MARYMO88@HOTMAIL.COM" TargetMode="External"/><Relationship Id="rId9" Type="http://schemas.openxmlformats.org/officeDocument/2006/relationships/hyperlink" Target="mailto:WAIC-36@HOTMAIL.COM" TargetMode="External"/><Relationship Id="rId13" Type="http://schemas.openxmlformats.org/officeDocument/2006/relationships/hyperlink" Target="mailto:KASTYMACIASZZ@HOTMAIL.COM" TargetMode="External"/><Relationship Id="rId18" Type="http://schemas.openxmlformats.org/officeDocument/2006/relationships/hyperlink" Target="mailto:LUISROMO@AUTOEXFO.EC" TargetMode="External"/><Relationship Id="rId39" Type="http://schemas.openxmlformats.org/officeDocument/2006/relationships/hyperlink" Target="mailto:GABIMU&#209;OZZB@GMAIL.COM" TargetMode="External"/><Relationship Id="rId34" Type="http://schemas.openxmlformats.org/officeDocument/2006/relationships/hyperlink" Target="mailto:DAMARISMARIN23@GMAIL.COM" TargetMode="External"/><Relationship Id="rId50" Type="http://schemas.openxmlformats.org/officeDocument/2006/relationships/hyperlink" Target="mailto:TATAGUSTA@HOTMAIL.COM" TargetMode="External"/><Relationship Id="rId55" Type="http://schemas.openxmlformats.org/officeDocument/2006/relationships/hyperlink" Target="mailto:FPELAEZ0@YAHOO.COM" TargetMode="External"/><Relationship Id="rId76" Type="http://schemas.openxmlformats.org/officeDocument/2006/relationships/hyperlink" Target="mailto:CARMITA031162@HOTMAIL.COM" TargetMode="External"/><Relationship Id="rId97" Type="http://schemas.openxmlformats.org/officeDocument/2006/relationships/hyperlink" Target="mailto:ALFREDOHAEC31@GMAIL.COM" TargetMode="External"/><Relationship Id="rId104" Type="http://schemas.openxmlformats.org/officeDocument/2006/relationships/hyperlink" Target="mailto:XINAMENDEZ@GMAIL.COM" TargetMode="External"/><Relationship Id="rId7" Type="http://schemas.openxmlformats.org/officeDocument/2006/relationships/hyperlink" Target="mailto:PATRAMTO68@GMAIL.COM" TargetMode="External"/><Relationship Id="rId71" Type="http://schemas.openxmlformats.org/officeDocument/2006/relationships/hyperlink" Target="mailto:SEBASTIANLARRIVANOVO@GMAIL.COM" TargetMode="External"/><Relationship Id="rId92" Type="http://schemas.openxmlformats.org/officeDocument/2006/relationships/hyperlink" Target="mailto:LUPEYARIS@YAHOO.COM" TargetMode="External"/><Relationship Id="rId2" Type="http://schemas.openxmlformats.org/officeDocument/2006/relationships/hyperlink" Target="mailto:ROBLES@GMAIL.COM" TargetMode="External"/><Relationship Id="rId29" Type="http://schemas.openxmlformats.org/officeDocument/2006/relationships/hyperlink" Target="mailto:DAVIDMUNOX30@HOTMAIL.COM" TargetMode="External"/><Relationship Id="rId24" Type="http://schemas.openxmlformats.org/officeDocument/2006/relationships/hyperlink" Target="mailto:JORGEZUNIGAJARA@HOTMAIL.COM" TargetMode="External"/><Relationship Id="rId40" Type="http://schemas.openxmlformats.org/officeDocument/2006/relationships/hyperlink" Target="mailto:GABIMU&#209;OZZB@GMAIL.COM" TargetMode="External"/><Relationship Id="rId45" Type="http://schemas.openxmlformats.org/officeDocument/2006/relationships/hyperlink" Target="mailto:ALEXANDRAIDROVO1989@GMAIL.COM" TargetMode="External"/><Relationship Id="rId66" Type="http://schemas.openxmlformats.org/officeDocument/2006/relationships/hyperlink" Target="mailto:SAPGLORIA@YAHOO.COM" TargetMode="External"/><Relationship Id="rId87" Type="http://schemas.openxmlformats.org/officeDocument/2006/relationships/hyperlink" Target="mailto:BOLIVARROMO768@GMAIL.COM" TargetMode="External"/><Relationship Id="rId61" Type="http://schemas.openxmlformats.org/officeDocument/2006/relationships/hyperlink" Target="mailto:LIESLIEALEXANDRA19@OUTLOOK.COM" TargetMode="External"/><Relationship Id="rId82" Type="http://schemas.openxmlformats.org/officeDocument/2006/relationships/hyperlink" Target="mailto:WILMACUMANDACS@GMAIL.COM" TargetMode="External"/><Relationship Id="rId19" Type="http://schemas.openxmlformats.org/officeDocument/2006/relationships/hyperlink" Target="mailto:EUGIN.BARRET.2020@GMAIL.COM" TargetMode="External"/><Relationship Id="rId14" Type="http://schemas.openxmlformats.org/officeDocument/2006/relationships/hyperlink" Target="mailto:POOL.FINO@HOTMAIL.COM" TargetMode="External"/><Relationship Id="rId30" Type="http://schemas.openxmlformats.org/officeDocument/2006/relationships/hyperlink" Target="mailto:EUGENIAMOLINA42@HOTMAIL.COM" TargetMode="External"/><Relationship Id="rId35" Type="http://schemas.openxmlformats.org/officeDocument/2006/relationships/hyperlink" Target="mailto:URTUBIAALEX@HOTMAIL.COM" TargetMode="External"/><Relationship Id="rId56" Type="http://schemas.openxmlformats.org/officeDocument/2006/relationships/hyperlink" Target="mailto:FPELAEZ0@YAHOO.COM" TargetMode="External"/><Relationship Id="rId77" Type="http://schemas.openxmlformats.org/officeDocument/2006/relationships/hyperlink" Target="mailto:MNARCISA@HOTMAIL.COM" TargetMode="External"/><Relationship Id="rId100" Type="http://schemas.openxmlformats.org/officeDocument/2006/relationships/hyperlink" Target="mailto:JORGEPB01@HOTMAIL.COM" TargetMode="External"/><Relationship Id="rId105" Type="http://schemas.openxmlformats.org/officeDocument/2006/relationships/hyperlink" Target="mailto:XINAMENDEZ@GMAIL.COM" TargetMode="External"/><Relationship Id="rId8" Type="http://schemas.openxmlformats.org/officeDocument/2006/relationships/hyperlink" Target="mailto:PATRAMTO68@GMAIL.COM" TargetMode="External"/><Relationship Id="rId51" Type="http://schemas.openxmlformats.org/officeDocument/2006/relationships/hyperlink" Target="mailto:TATAGUSTA@HOTMAIL.COM" TargetMode="External"/><Relationship Id="rId72" Type="http://schemas.openxmlformats.org/officeDocument/2006/relationships/hyperlink" Target="mailto:SEBASTIANLARRIVANOVO@GMAIL.COM" TargetMode="External"/><Relationship Id="rId93" Type="http://schemas.openxmlformats.org/officeDocument/2006/relationships/hyperlink" Target="mailto:LUPEYARIS@YAHOO.COM" TargetMode="External"/><Relationship Id="rId98" Type="http://schemas.openxmlformats.org/officeDocument/2006/relationships/hyperlink" Target="mailto:ALFREDOHAEC31@GMAIL.COM" TargetMode="External"/><Relationship Id="rId3" Type="http://schemas.openxmlformats.org/officeDocument/2006/relationships/hyperlink" Target="mailto:MARYMO88@HOTMAIL.COM" TargetMode="External"/><Relationship Id="rId25" Type="http://schemas.openxmlformats.org/officeDocument/2006/relationships/hyperlink" Target="mailto:DAVIDMUNOX30@HOTMAIL.COM" TargetMode="External"/><Relationship Id="rId46" Type="http://schemas.openxmlformats.org/officeDocument/2006/relationships/hyperlink" Target="mailto:ALEXANDRAIDROVO1989@GMAIL.COM" TargetMode="External"/><Relationship Id="rId67" Type="http://schemas.openxmlformats.org/officeDocument/2006/relationships/hyperlink" Target="mailto:PRISCALDERONPA2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OHELEPODNECOQ@GMAIL.COM" TargetMode="External"/><Relationship Id="rId13" Type="http://schemas.openxmlformats.org/officeDocument/2006/relationships/hyperlink" Target="mailto:EDISON777@OUTLOOK.COM" TargetMode="External"/><Relationship Id="rId3" Type="http://schemas.openxmlformats.org/officeDocument/2006/relationships/hyperlink" Target="mailto:VENTAS@COMERCIALSOLIS.COM.EC" TargetMode="External"/><Relationship Id="rId7" Type="http://schemas.openxmlformats.org/officeDocument/2006/relationships/hyperlink" Target="mailto:SEGUROSJET@GMAIL.COM" TargetMode="External"/><Relationship Id="rId12" Type="http://schemas.openxmlformats.org/officeDocument/2006/relationships/hyperlink" Target="mailto:LUPEYEIS@YAHOO.COM" TargetMode="External"/><Relationship Id="rId17" Type="http://schemas.openxmlformats.org/officeDocument/2006/relationships/drawing" Target="../drawings/drawing3.xml"/><Relationship Id="rId2" Type="http://schemas.openxmlformats.org/officeDocument/2006/relationships/hyperlink" Target="mailto:MMRTINEZCARD@GMAIL.COM" TargetMode="External"/><Relationship Id="rId16" Type="http://schemas.openxmlformats.org/officeDocument/2006/relationships/hyperlink" Target="mailto:CHICAPES@HOTMAIL.COM" TargetMode="External"/><Relationship Id="rId1" Type="http://schemas.openxmlformats.org/officeDocument/2006/relationships/hyperlink" Target="mailto:DIANACARDENAS28@HOTMAIL.COM" TargetMode="External"/><Relationship Id="rId6" Type="http://schemas.openxmlformats.org/officeDocument/2006/relationships/hyperlink" Target="mailto:CONTACT@SUPORT.KYWI.COM" TargetMode="External"/><Relationship Id="rId11" Type="http://schemas.openxmlformats.org/officeDocument/2006/relationships/hyperlink" Target="mailto:LARRYVONESCHEN@GMAIL.COM" TargetMode="External"/><Relationship Id="rId5" Type="http://schemas.openxmlformats.org/officeDocument/2006/relationships/hyperlink" Target="mailto:CONTACT@SUPORT.KYWI.COM" TargetMode="External"/><Relationship Id="rId15" Type="http://schemas.openxmlformats.org/officeDocument/2006/relationships/hyperlink" Target="mailto:SERVICIOALCLIENTE@ECMERCAD.COM" TargetMode="External"/><Relationship Id="rId10" Type="http://schemas.openxmlformats.org/officeDocument/2006/relationships/hyperlink" Target="mailto:TAFANYVIDAL11@GMAIL.COM" TargetMode="External"/><Relationship Id="rId4" Type="http://schemas.openxmlformats.org/officeDocument/2006/relationships/hyperlink" Target="mailto:ESTMUNDONOVA54@HOTMAIL.COM" TargetMode="External"/><Relationship Id="rId9" Type="http://schemas.openxmlformats.org/officeDocument/2006/relationships/hyperlink" Target="mailto:HUBERMEO@HOTMAIL.COM" TargetMode="External"/><Relationship Id="rId14" Type="http://schemas.openxmlformats.org/officeDocument/2006/relationships/hyperlink" Target="mailto:SERVICIOALCLIENTE@ECMERCAD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MIALTO53@HOTMAIL.COM" TargetMode="External"/><Relationship Id="rId21" Type="http://schemas.openxmlformats.org/officeDocument/2006/relationships/hyperlink" Target="mailto:EUGIN.BARRET.2020@GMAIL.COM" TargetMode="External"/><Relationship Id="rId42" Type="http://schemas.openxmlformats.org/officeDocument/2006/relationships/hyperlink" Target="mailto:CLARAMEDINALEON@HOTMAIL.ES" TargetMode="External"/><Relationship Id="rId63" Type="http://schemas.openxmlformats.org/officeDocument/2006/relationships/hyperlink" Target="mailto:MAFERJACOME87@GMAIL.COM" TargetMode="External"/><Relationship Id="rId84" Type="http://schemas.openxmlformats.org/officeDocument/2006/relationships/hyperlink" Target="mailto:WILMACUMANDACS@GMAIL.COM" TargetMode="External"/><Relationship Id="rId138" Type="http://schemas.openxmlformats.org/officeDocument/2006/relationships/hyperlink" Target="mailto:VENTAS@COMERCIALSOLIS.COM.EC" TargetMode="External"/><Relationship Id="rId159" Type="http://schemas.openxmlformats.org/officeDocument/2006/relationships/hyperlink" Target="mailto:LORENA.ANDRADE38@GMAIL.COM" TargetMode="External"/><Relationship Id="rId107" Type="http://schemas.openxmlformats.org/officeDocument/2006/relationships/hyperlink" Target="mailto:MCASTRO@HOTELOROVERDE.COM" TargetMode="External"/><Relationship Id="rId11" Type="http://schemas.openxmlformats.org/officeDocument/2006/relationships/hyperlink" Target="mailto:WAIC-36@HOTMAIL.COM" TargetMode="External"/><Relationship Id="rId32" Type="http://schemas.openxmlformats.org/officeDocument/2006/relationships/hyperlink" Target="mailto:EUGENIAMOLINA42@HOTMAIL.COM" TargetMode="External"/><Relationship Id="rId53" Type="http://schemas.openxmlformats.org/officeDocument/2006/relationships/hyperlink" Target="mailto:FPELAEZ0@YAHOO.COM" TargetMode="External"/><Relationship Id="rId74" Type="http://schemas.openxmlformats.org/officeDocument/2006/relationships/hyperlink" Target="mailto:CARMITA031162@HOTMAIL.COM" TargetMode="External"/><Relationship Id="rId128" Type="http://schemas.openxmlformats.org/officeDocument/2006/relationships/hyperlink" Target="mailto:JENNIFERVALDIVIEZO@GMAIL.COM" TargetMode="External"/><Relationship Id="rId149" Type="http://schemas.openxmlformats.org/officeDocument/2006/relationships/hyperlink" Target="mailto:SERVICIOALCLIENTE@ECMERCAD.COM" TargetMode="External"/><Relationship Id="rId5" Type="http://schemas.openxmlformats.org/officeDocument/2006/relationships/hyperlink" Target="mailto:PATRAMTO68@GMAIL.COM" TargetMode="External"/><Relationship Id="rId95" Type="http://schemas.openxmlformats.org/officeDocument/2006/relationships/hyperlink" Target="mailto:GABYCOBOS1990@HOTMAIL.COM" TargetMode="External"/><Relationship Id="rId160" Type="http://schemas.openxmlformats.org/officeDocument/2006/relationships/hyperlink" Target="mailto:GERENCIA@COMEXI.COM" TargetMode="External"/><Relationship Id="rId22" Type="http://schemas.openxmlformats.org/officeDocument/2006/relationships/hyperlink" Target="mailto:EUGIN.BARRET.2020@GMAIL.COM" TargetMode="External"/><Relationship Id="rId43" Type="http://schemas.openxmlformats.org/officeDocument/2006/relationships/hyperlink" Target="mailto:CLARAMEDINALEON@HOTMAIL.ES" TargetMode="External"/><Relationship Id="rId64" Type="http://schemas.openxmlformats.org/officeDocument/2006/relationships/hyperlink" Target="mailto:MAFERJACOME87@GMAIL.COM" TargetMode="External"/><Relationship Id="rId118" Type="http://schemas.openxmlformats.org/officeDocument/2006/relationships/hyperlink" Target="mailto:BERNICR@HOTMAIL.COM" TargetMode="External"/><Relationship Id="rId139" Type="http://schemas.openxmlformats.org/officeDocument/2006/relationships/hyperlink" Target="mailto:ESTMUNDONOVA54@HOTMAIL.COM" TargetMode="External"/><Relationship Id="rId85" Type="http://schemas.openxmlformats.org/officeDocument/2006/relationships/hyperlink" Target="mailto:BOLIVARROMO768@GMAIL.COM" TargetMode="External"/><Relationship Id="rId150" Type="http://schemas.openxmlformats.org/officeDocument/2006/relationships/hyperlink" Target="mailto:SERVICIOALCLIENTE@ECMERCAD.COM" TargetMode="External"/><Relationship Id="rId12" Type="http://schemas.openxmlformats.org/officeDocument/2006/relationships/hyperlink" Target="mailto:KASTYMACIASZZ@HOTMAIL.COM" TargetMode="External"/><Relationship Id="rId33" Type="http://schemas.openxmlformats.org/officeDocument/2006/relationships/hyperlink" Target="mailto:DAMARISMARIN23@GMAIL.COM" TargetMode="External"/><Relationship Id="rId108" Type="http://schemas.openxmlformats.org/officeDocument/2006/relationships/hyperlink" Target="mailto:MARCETORLA@YAHOO.COM" TargetMode="External"/><Relationship Id="rId129" Type="http://schemas.openxmlformats.org/officeDocument/2006/relationships/hyperlink" Target="mailto:CRISLIT77@GMAIL.COM" TargetMode="External"/><Relationship Id="rId54" Type="http://schemas.openxmlformats.org/officeDocument/2006/relationships/hyperlink" Target="mailto:FPELAEZ0@YAHOO.COM" TargetMode="External"/><Relationship Id="rId70" Type="http://schemas.openxmlformats.org/officeDocument/2006/relationships/hyperlink" Target="mailto:SAPGLORIA@YAHOO.COM" TargetMode="External"/><Relationship Id="rId75" Type="http://schemas.openxmlformats.org/officeDocument/2006/relationships/hyperlink" Target="mailto:CARMITA031162@HOTMAIL.COM" TargetMode="External"/><Relationship Id="rId91" Type="http://schemas.openxmlformats.org/officeDocument/2006/relationships/hyperlink" Target="mailto:LUPEYARIS@YAHOO.COM" TargetMode="External"/><Relationship Id="rId96" Type="http://schemas.openxmlformats.org/officeDocument/2006/relationships/hyperlink" Target="mailto:GABYCOBOS1990@HOTMAIL.COM" TargetMode="External"/><Relationship Id="rId140" Type="http://schemas.openxmlformats.org/officeDocument/2006/relationships/hyperlink" Target="mailto:CONTACT@SUPORT.KYWI.COM" TargetMode="External"/><Relationship Id="rId145" Type="http://schemas.openxmlformats.org/officeDocument/2006/relationships/hyperlink" Target="mailto:TAFANYVIDAL11@GMAIL.COM" TargetMode="External"/><Relationship Id="rId161" Type="http://schemas.openxmlformats.org/officeDocument/2006/relationships/hyperlink" Target="mailto:MEGAMUEBLESBELEN@HOTMAIL.COM" TargetMode="External"/><Relationship Id="rId166" Type="http://schemas.openxmlformats.org/officeDocument/2006/relationships/hyperlink" Target="mailto:MMRTINEZCARD@GMAIL.COM" TargetMode="External"/><Relationship Id="rId1" Type="http://schemas.openxmlformats.org/officeDocument/2006/relationships/hyperlink" Target="mailto:ROBLES@GMAIL.COM" TargetMode="External"/><Relationship Id="rId6" Type="http://schemas.openxmlformats.org/officeDocument/2006/relationships/hyperlink" Target="mailto:PATRAMTO68@GMAIL.COM" TargetMode="External"/><Relationship Id="rId23" Type="http://schemas.openxmlformats.org/officeDocument/2006/relationships/hyperlink" Target="mailto:JORGEZUNIGAJARA@HOTMAIL.COM" TargetMode="External"/><Relationship Id="rId28" Type="http://schemas.openxmlformats.org/officeDocument/2006/relationships/hyperlink" Target="mailto:DAVIDMUNOX30@HOTMAIL.COM" TargetMode="External"/><Relationship Id="rId49" Type="http://schemas.openxmlformats.org/officeDocument/2006/relationships/hyperlink" Target="mailto:TATAGUSTA@HOTMAIL.COM" TargetMode="External"/><Relationship Id="rId114" Type="http://schemas.openxmlformats.org/officeDocument/2006/relationships/hyperlink" Target="mailto:PCAZORLACH@GMAIL.COM" TargetMode="External"/><Relationship Id="rId119" Type="http://schemas.openxmlformats.org/officeDocument/2006/relationships/hyperlink" Target="mailto:FABRICIOTENESACA@PACAJEAN.COM" TargetMode="External"/><Relationship Id="rId44" Type="http://schemas.openxmlformats.org/officeDocument/2006/relationships/hyperlink" Target="mailto:CLARAMEDINALEON@HOTMAIL.ES" TargetMode="External"/><Relationship Id="rId60" Type="http://schemas.openxmlformats.org/officeDocument/2006/relationships/hyperlink" Target="mailto:LIESLIEALEXANDRA19@OUTLOOK.COM" TargetMode="External"/><Relationship Id="rId65" Type="http://schemas.openxmlformats.org/officeDocument/2006/relationships/hyperlink" Target="mailto:MAFERJACOME87@GMAIL.COM" TargetMode="External"/><Relationship Id="rId81" Type="http://schemas.openxmlformats.org/officeDocument/2006/relationships/hyperlink" Target="mailto:PAMELABORJA88@HOTMAIL.COM" TargetMode="External"/><Relationship Id="rId86" Type="http://schemas.openxmlformats.org/officeDocument/2006/relationships/hyperlink" Target="mailto:BOLIVARROMO768@GMAIL.COM" TargetMode="External"/><Relationship Id="rId130" Type="http://schemas.openxmlformats.org/officeDocument/2006/relationships/hyperlink" Target="mailto:PANCHOCALLE01@GMAIL.COM" TargetMode="External"/><Relationship Id="rId135" Type="http://schemas.openxmlformats.org/officeDocument/2006/relationships/hyperlink" Target="mailto:OJONA1959@GMAIL.COM" TargetMode="External"/><Relationship Id="rId151" Type="http://schemas.openxmlformats.org/officeDocument/2006/relationships/hyperlink" Target="mailto:SOLMORALES2015@HOTMAIL.COM" TargetMode="External"/><Relationship Id="rId156" Type="http://schemas.openxmlformats.org/officeDocument/2006/relationships/hyperlink" Target="mailto:GABYMALO@HOTMAIL.COM" TargetMode="External"/><Relationship Id="rId13" Type="http://schemas.openxmlformats.org/officeDocument/2006/relationships/hyperlink" Target="mailto:KASTYMACIASZZ@HOTMAIL.COM" TargetMode="External"/><Relationship Id="rId18" Type="http://schemas.openxmlformats.org/officeDocument/2006/relationships/hyperlink" Target="mailto:LUISROMO@AUTOEXFO.EC" TargetMode="External"/><Relationship Id="rId39" Type="http://schemas.openxmlformats.org/officeDocument/2006/relationships/hyperlink" Target="mailto:GABIMU&#209;OZZB@GMAIL.COM" TargetMode="External"/><Relationship Id="rId109" Type="http://schemas.openxmlformats.org/officeDocument/2006/relationships/hyperlink" Target="mailto:FERALVARADOP@HOTMAIL.COM" TargetMode="External"/><Relationship Id="rId34" Type="http://schemas.openxmlformats.org/officeDocument/2006/relationships/hyperlink" Target="mailto:DAMARISMARIN23@GMAIL.COM" TargetMode="External"/><Relationship Id="rId50" Type="http://schemas.openxmlformats.org/officeDocument/2006/relationships/hyperlink" Target="mailto:TATAGUSTA@HOTMAIL.COM" TargetMode="External"/><Relationship Id="rId55" Type="http://schemas.openxmlformats.org/officeDocument/2006/relationships/hyperlink" Target="mailto:FPELAEZ0@YAHOO.COM" TargetMode="External"/><Relationship Id="rId76" Type="http://schemas.openxmlformats.org/officeDocument/2006/relationships/hyperlink" Target="mailto:CARMITA031162@HOTMAIL.COM" TargetMode="External"/><Relationship Id="rId97" Type="http://schemas.openxmlformats.org/officeDocument/2006/relationships/hyperlink" Target="mailto:ALFREDOHAEC31@GMAIL.COM" TargetMode="External"/><Relationship Id="rId104" Type="http://schemas.openxmlformats.org/officeDocument/2006/relationships/hyperlink" Target="mailto:XINAMENDEZ@GMAIL.COM" TargetMode="External"/><Relationship Id="rId120" Type="http://schemas.openxmlformats.org/officeDocument/2006/relationships/hyperlink" Target="mailto:ALIV.SOS@HOTMAIL.COM" TargetMode="External"/><Relationship Id="rId125" Type="http://schemas.openxmlformats.org/officeDocument/2006/relationships/hyperlink" Target="mailto:NELITORRES273@GMAIL.COM" TargetMode="External"/><Relationship Id="rId141" Type="http://schemas.openxmlformats.org/officeDocument/2006/relationships/hyperlink" Target="mailto:CONTACT@SUPORT.KYWI.COM" TargetMode="External"/><Relationship Id="rId146" Type="http://schemas.openxmlformats.org/officeDocument/2006/relationships/hyperlink" Target="mailto:LARRYVONESCHEN@GMAIL.COM" TargetMode="External"/><Relationship Id="rId167" Type="http://schemas.openxmlformats.org/officeDocument/2006/relationships/hyperlink" Target="mailto:SEBASTIANLARRIVANOVO@GMAIL.COM" TargetMode="External"/><Relationship Id="rId7" Type="http://schemas.openxmlformats.org/officeDocument/2006/relationships/hyperlink" Target="mailto:PATRAMTO68@GMAIL.COM" TargetMode="External"/><Relationship Id="rId71" Type="http://schemas.openxmlformats.org/officeDocument/2006/relationships/hyperlink" Target="mailto:SEBASTIANLARRIVANOVO@GMAIL.COM" TargetMode="External"/><Relationship Id="rId92" Type="http://schemas.openxmlformats.org/officeDocument/2006/relationships/hyperlink" Target="mailto:LUPEYARIS@YAHOO.COM" TargetMode="External"/><Relationship Id="rId162" Type="http://schemas.openxmlformats.org/officeDocument/2006/relationships/hyperlink" Target="mailto:RESPONSBLER@HOTMAIL.COM" TargetMode="External"/><Relationship Id="rId2" Type="http://schemas.openxmlformats.org/officeDocument/2006/relationships/hyperlink" Target="mailto:ROBLES@GMAIL.COM" TargetMode="External"/><Relationship Id="rId29" Type="http://schemas.openxmlformats.org/officeDocument/2006/relationships/hyperlink" Target="mailto:DAVIDMUNOX30@HOTMAIL.COM" TargetMode="External"/><Relationship Id="rId24" Type="http://schemas.openxmlformats.org/officeDocument/2006/relationships/hyperlink" Target="mailto:JORGEZUNIGAJARA@HOTMAIL.COM" TargetMode="External"/><Relationship Id="rId40" Type="http://schemas.openxmlformats.org/officeDocument/2006/relationships/hyperlink" Target="mailto:GABIMU&#209;OZZB@GMAIL.COM" TargetMode="External"/><Relationship Id="rId45" Type="http://schemas.openxmlformats.org/officeDocument/2006/relationships/hyperlink" Target="mailto:ALEXANDRAIDROVO1989@GMAIL.COM" TargetMode="External"/><Relationship Id="rId66" Type="http://schemas.openxmlformats.org/officeDocument/2006/relationships/hyperlink" Target="mailto:SAPGLORIA@YAHOO.COM" TargetMode="External"/><Relationship Id="rId87" Type="http://schemas.openxmlformats.org/officeDocument/2006/relationships/hyperlink" Target="mailto:BOLIVARROMO768@GMAIL.COM" TargetMode="External"/><Relationship Id="rId110" Type="http://schemas.openxmlformats.org/officeDocument/2006/relationships/hyperlink" Target="mailto:PATTYCAZORLA@HOTMAIL.COM" TargetMode="External"/><Relationship Id="rId115" Type="http://schemas.openxmlformats.org/officeDocument/2006/relationships/hyperlink" Target="mailto:PEZVACAB@HOTMAIL.COM" TargetMode="External"/><Relationship Id="rId131" Type="http://schemas.openxmlformats.org/officeDocument/2006/relationships/hyperlink" Target="mailto:MATIASFRANCISGUETTI@GMAIL.COM" TargetMode="External"/><Relationship Id="rId136" Type="http://schemas.openxmlformats.org/officeDocument/2006/relationships/hyperlink" Target="mailto:DIANACARDENAS28@HOTMAIL.COM" TargetMode="External"/><Relationship Id="rId157" Type="http://schemas.openxmlformats.org/officeDocument/2006/relationships/hyperlink" Target="mailto:PCAZORLACH@GMAIL.COM" TargetMode="External"/><Relationship Id="rId61" Type="http://schemas.openxmlformats.org/officeDocument/2006/relationships/hyperlink" Target="mailto:LIESLIEALEXANDRA19@OUTLOOK.COM" TargetMode="External"/><Relationship Id="rId82" Type="http://schemas.openxmlformats.org/officeDocument/2006/relationships/hyperlink" Target="mailto:WILMACUMANDACS@GMAIL.COM" TargetMode="External"/><Relationship Id="rId152" Type="http://schemas.openxmlformats.org/officeDocument/2006/relationships/hyperlink" Target="mailto:FACTURASGMLAB@GMAIL.COM" TargetMode="External"/><Relationship Id="rId19" Type="http://schemas.openxmlformats.org/officeDocument/2006/relationships/hyperlink" Target="mailto:EUGIN.BARRET.2020@GMAIL.COM" TargetMode="External"/><Relationship Id="rId14" Type="http://schemas.openxmlformats.org/officeDocument/2006/relationships/hyperlink" Target="mailto:POOL.FINO@HOTMAIL.COM" TargetMode="External"/><Relationship Id="rId30" Type="http://schemas.openxmlformats.org/officeDocument/2006/relationships/hyperlink" Target="mailto:EUGENIAMOLINA42@HOTMAIL.COM" TargetMode="External"/><Relationship Id="rId35" Type="http://schemas.openxmlformats.org/officeDocument/2006/relationships/hyperlink" Target="mailto:URTUBIAALEX@HOTMAIL.COM" TargetMode="External"/><Relationship Id="rId56" Type="http://schemas.openxmlformats.org/officeDocument/2006/relationships/hyperlink" Target="mailto:FPELAEZ0@YAHOO.COM" TargetMode="External"/><Relationship Id="rId77" Type="http://schemas.openxmlformats.org/officeDocument/2006/relationships/hyperlink" Target="mailto:MNARCISA@HOTMAIL.COM" TargetMode="External"/><Relationship Id="rId100" Type="http://schemas.openxmlformats.org/officeDocument/2006/relationships/hyperlink" Target="mailto:JORGEPB01@HOTMAIL.COM" TargetMode="External"/><Relationship Id="rId105" Type="http://schemas.openxmlformats.org/officeDocument/2006/relationships/hyperlink" Target="mailto:XINAMENDEZ@GMAIL.COM" TargetMode="External"/><Relationship Id="rId126" Type="http://schemas.openxmlformats.org/officeDocument/2006/relationships/hyperlink" Target="mailto:TAFANYVIDAL11@GMAIL.COM" TargetMode="External"/><Relationship Id="rId147" Type="http://schemas.openxmlformats.org/officeDocument/2006/relationships/hyperlink" Target="mailto:LUPEYEIS@YAHOO.COM" TargetMode="External"/><Relationship Id="rId168" Type="http://schemas.openxmlformats.org/officeDocument/2006/relationships/hyperlink" Target="mailto:GERENCIA@COMEXI.COM" TargetMode="External"/><Relationship Id="rId8" Type="http://schemas.openxmlformats.org/officeDocument/2006/relationships/hyperlink" Target="mailto:PATRAMTO68@GMAIL.COM" TargetMode="External"/><Relationship Id="rId51" Type="http://schemas.openxmlformats.org/officeDocument/2006/relationships/hyperlink" Target="mailto:TATAGUSTA@HOTMAIL.COM" TargetMode="External"/><Relationship Id="rId72" Type="http://schemas.openxmlformats.org/officeDocument/2006/relationships/hyperlink" Target="mailto:SEBASTIANLARRIVANOVO@GMAIL.COM" TargetMode="External"/><Relationship Id="rId93" Type="http://schemas.openxmlformats.org/officeDocument/2006/relationships/hyperlink" Target="mailto:LUPEYARIS@YAHOO.COM" TargetMode="External"/><Relationship Id="rId98" Type="http://schemas.openxmlformats.org/officeDocument/2006/relationships/hyperlink" Target="mailto:ALFREDOHAEC31@GMAIL.COM" TargetMode="External"/><Relationship Id="rId121" Type="http://schemas.openxmlformats.org/officeDocument/2006/relationships/hyperlink" Target="mailto:HERNANDEZISMAEL28@HOTMAIL.COM" TargetMode="External"/><Relationship Id="rId142" Type="http://schemas.openxmlformats.org/officeDocument/2006/relationships/hyperlink" Target="mailto:SEGUROSJET@GMAIL.COM" TargetMode="External"/><Relationship Id="rId163" Type="http://schemas.openxmlformats.org/officeDocument/2006/relationships/hyperlink" Target="mailto:CHELOTORAL@GMAIL.COM" TargetMode="External"/><Relationship Id="rId3" Type="http://schemas.openxmlformats.org/officeDocument/2006/relationships/hyperlink" Target="mailto:MARYMO88@HOTMAIL.COM" TargetMode="External"/><Relationship Id="rId25" Type="http://schemas.openxmlformats.org/officeDocument/2006/relationships/hyperlink" Target="mailto:DAVIDMUNOX30@HOTMAIL.COM" TargetMode="External"/><Relationship Id="rId46" Type="http://schemas.openxmlformats.org/officeDocument/2006/relationships/hyperlink" Target="mailto:ALEXANDRAIDROVO1989@GMAIL.COM" TargetMode="External"/><Relationship Id="rId67" Type="http://schemas.openxmlformats.org/officeDocument/2006/relationships/hyperlink" Target="mailto:PRISCALDERONPA2@HOTMAIL.COM" TargetMode="External"/><Relationship Id="rId116" Type="http://schemas.openxmlformats.org/officeDocument/2006/relationships/hyperlink" Target="mailto:CECERESBAIXERAS@GMAIL.COM" TargetMode="External"/><Relationship Id="rId137" Type="http://schemas.openxmlformats.org/officeDocument/2006/relationships/hyperlink" Target="mailto:ANA.ELISABETH.OCHOA@HOTMAIL.COM" TargetMode="External"/><Relationship Id="rId158" Type="http://schemas.openxmlformats.org/officeDocument/2006/relationships/hyperlink" Target="mailto:GERENCIA@FOGOCOTO.COM.EC" TargetMode="External"/><Relationship Id="rId20" Type="http://schemas.openxmlformats.org/officeDocument/2006/relationships/hyperlink" Target="mailto:EUGIN.BARRET.2020@GMAIL.COM" TargetMode="External"/><Relationship Id="rId41" Type="http://schemas.openxmlformats.org/officeDocument/2006/relationships/hyperlink" Target="mailto:GABIMU&#209;OZZB@GMAIL.COM" TargetMode="External"/><Relationship Id="rId62" Type="http://schemas.openxmlformats.org/officeDocument/2006/relationships/hyperlink" Target="mailto:MAFERJACOME87@GMAIL.COM" TargetMode="External"/><Relationship Id="rId83" Type="http://schemas.openxmlformats.org/officeDocument/2006/relationships/hyperlink" Target="mailto:WILMACUMANDACS@GMAIL.COM" TargetMode="External"/><Relationship Id="rId88" Type="http://schemas.openxmlformats.org/officeDocument/2006/relationships/hyperlink" Target="mailto:loliorellana18@gmail.com" TargetMode="External"/><Relationship Id="rId111" Type="http://schemas.openxmlformats.org/officeDocument/2006/relationships/hyperlink" Target="mailto:FMARCHANG-30@HOTMAIL.COM" TargetMode="External"/><Relationship Id="rId132" Type="http://schemas.openxmlformats.org/officeDocument/2006/relationships/hyperlink" Target="mailto:ONCOCHOP196@GMAIL.COM" TargetMode="External"/><Relationship Id="rId153" Type="http://schemas.openxmlformats.org/officeDocument/2006/relationships/hyperlink" Target="mailto:ALI.SCS@HOTMAIL.COM" TargetMode="External"/><Relationship Id="rId15" Type="http://schemas.openxmlformats.org/officeDocument/2006/relationships/hyperlink" Target="mailto:POOL.FINO@HOTMAIL.COM" TargetMode="External"/><Relationship Id="rId36" Type="http://schemas.openxmlformats.org/officeDocument/2006/relationships/hyperlink" Target="mailto:URTUBIAALEX@HOTMAIL.COM" TargetMode="External"/><Relationship Id="rId57" Type="http://schemas.openxmlformats.org/officeDocument/2006/relationships/hyperlink" Target="mailto:TURIZO3@HOTMAIL.COM" TargetMode="External"/><Relationship Id="rId106" Type="http://schemas.openxmlformats.org/officeDocument/2006/relationships/hyperlink" Target="mailto:VICTOR.PALACIOS@OUTLLOK.COM" TargetMode="External"/><Relationship Id="rId127" Type="http://schemas.openxmlformats.org/officeDocument/2006/relationships/hyperlink" Target="mailto:MONICAJUELA@GMAIL.COM" TargetMode="External"/><Relationship Id="rId10" Type="http://schemas.openxmlformats.org/officeDocument/2006/relationships/hyperlink" Target="mailto:WAIC-36@HOTMAIL.COM" TargetMode="External"/><Relationship Id="rId31" Type="http://schemas.openxmlformats.org/officeDocument/2006/relationships/hyperlink" Target="mailto:EUGENIAMOLINA42@HOTMAIL.COM" TargetMode="External"/><Relationship Id="rId52" Type="http://schemas.openxmlformats.org/officeDocument/2006/relationships/hyperlink" Target="mailto:TATAGUSTA@HOTMAIL.COM" TargetMode="External"/><Relationship Id="rId73" Type="http://schemas.openxmlformats.org/officeDocument/2006/relationships/hyperlink" Target="mailto:SEBASTIANLARRIVANOVO@GMAIL.COM" TargetMode="External"/><Relationship Id="rId78" Type="http://schemas.openxmlformats.org/officeDocument/2006/relationships/hyperlink" Target="mailto:MNARCISA@HOTMAIL.COM" TargetMode="External"/><Relationship Id="rId94" Type="http://schemas.openxmlformats.org/officeDocument/2006/relationships/hyperlink" Target="mailto:GABYCOBOS1990@HOTMAIL.COM" TargetMode="External"/><Relationship Id="rId99" Type="http://schemas.openxmlformats.org/officeDocument/2006/relationships/hyperlink" Target="mailto:ALFREDOHAEC31@GMAIL.COM" TargetMode="External"/><Relationship Id="rId101" Type="http://schemas.openxmlformats.org/officeDocument/2006/relationships/hyperlink" Target="mailto:JORGEPB01@HOTMAIL.COM" TargetMode="External"/><Relationship Id="rId122" Type="http://schemas.openxmlformats.org/officeDocument/2006/relationships/hyperlink" Target="mailto:VERONICAORDEN@GMAIL.COM" TargetMode="External"/><Relationship Id="rId143" Type="http://schemas.openxmlformats.org/officeDocument/2006/relationships/hyperlink" Target="mailto:MOHELEPODNECOQ@GMAIL.COM" TargetMode="External"/><Relationship Id="rId148" Type="http://schemas.openxmlformats.org/officeDocument/2006/relationships/hyperlink" Target="mailto:EDISON777@OUTLOOK.COM" TargetMode="External"/><Relationship Id="rId164" Type="http://schemas.openxmlformats.org/officeDocument/2006/relationships/hyperlink" Target="mailto:MANESERRANO@HOTMAIL.COM" TargetMode="External"/><Relationship Id="rId169" Type="http://schemas.openxmlformats.org/officeDocument/2006/relationships/hyperlink" Target="mailto:ALFREDOHAEC31@GMAIL.COM" TargetMode="External"/><Relationship Id="rId4" Type="http://schemas.openxmlformats.org/officeDocument/2006/relationships/hyperlink" Target="mailto:MARYMO88@HOTMAIL.COM" TargetMode="External"/><Relationship Id="rId9" Type="http://schemas.openxmlformats.org/officeDocument/2006/relationships/hyperlink" Target="mailto:WAIC-36@HOTMAIL.COM" TargetMode="External"/><Relationship Id="rId26" Type="http://schemas.openxmlformats.org/officeDocument/2006/relationships/hyperlink" Target="mailto:DAVIDMUNOX30@HOTMAIL.COM" TargetMode="External"/><Relationship Id="rId47" Type="http://schemas.openxmlformats.org/officeDocument/2006/relationships/hyperlink" Target="mailto:ALEXANDRAIDROVO1989@GMAIL.COM" TargetMode="External"/><Relationship Id="rId68" Type="http://schemas.openxmlformats.org/officeDocument/2006/relationships/hyperlink" Target="mailto:PRISCALDERONPA2@HOTMAIL.COM" TargetMode="External"/><Relationship Id="rId89" Type="http://schemas.openxmlformats.org/officeDocument/2006/relationships/hyperlink" Target="mailto:loliorellana18@gmail.com" TargetMode="External"/><Relationship Id="rId112" Type="http://schemas.openxmlformats.org/officeDocument/2006/relationships/hyperlink" Target="mailto:DIEGOALCO@YAHOO.COM" TargetMode="External"/><Relationship Id="rId133" Type="http://schemas.openxmlformats.org/officeDocument/2006/relationships/hyperlink" Target="mailto:CNSCOSMORA96@GMAIL.COM" TargetMode="External"/><Relationship Id="rId154" Type="http://schemas.openxmlformats.org/officeDocument/2006/relationships/hyperlink" Target="mailto:ANGELICASIGUENZA@YAHOO.COM" TargetMode="External"/><Relationship Id="rId16" Type="http://schemas.openxmlformats.org/officeDocument/2006/relationships/hyperlink" Target="mailto:LUISROMO@AUTOEXFO.EC" TargetMode="External"/><Relationship Id="rId37" Type="http://schemas.openxmlformats.org/officeDocument/2006/relationships/hyperlink" Target="mailto:ENMARODASF@HOTMAIL.COM" TargetMode="External"/><Relationship Id="rId58" Type="http://schemas.openxmlformats.org/officeDocument/2006/relationships/hyperlink" Target="mailto:TURIZO3@HOTMAIL.COM" TargetMode="External"/><Relationship Id="rId79" Type="http://schemas.openxmlformats.org/officeDocument/2006/relationships/hyperlink" Target="mailto:MNARCISA@HOTMAIL.COM" TargetMode="External"/><Relationship Id="rId102" Type="http://schemas.openxmlformats.org/officeDocument/2006/relationships/hyperlink" Target="mailto:SOPHIALITUMAA@GMAIL.COM" TargetMode="External"/><Relationship Id="rId123" Type="http://schemas.openxmlformats.org/officeDocument/2006/relationships/hyperlink" Target="mailto:LORENA.ANDRADEGI@GMAIL.COM" TargetMode="External"/><Relationship Id="rId144" Type="http://schemas.openxmlformats.org/officeDocument/2006/relationships/hyperlink" Target="mailto:HUBERMEO@HOTMAIL.COM" TargetMode="External"/><Relationship Id="rId90" Type="http://schemas.openxmlformats.org/officeDocument/2006/relationships/hyperlink" Target="mailto:LUPEYARIS@YAHOO.COM" TargetMode="External"/><Relationship Id="rId165" Type="http://schemas.openxmlformats.org/officeDocument/2006/relationships/hyperlink" Target="mailto:CHICAPES@HOTMAIL.COM" TargetMode="External"/><Relationship Id="rId27" Type="http://schemas.openxmlformats.org/officeDocument/2006/relationships/hyperlink" Target="mailto:DAVIDMUNOX30@HOTMAIL.COM" TargetMode="External"/><Relationship Id="rId48" Type="http://schemas.openxmlformats.org/officeDocument/2006/relationships/hyperlink" Target="mailto:ALEXANDRAIDROVO1989@GMAIL.COM" TargetMode="External"/><Relationship Id="rId69" Type="http://schemas.openxmlformats.org/officeDocument/2006/relationships/hyperlink" Target="mailto:SAPGLORIA@YAHOO.COM" TargetMode="External"/><Relationship Id="rId113" Type="http://schemas.openxmlformats.org/officeDocument/2006/relationships/hyperlink" Target="mailto:SSEGARRA@ETAPA.NET.EC" TargetMode="External"/><Relationship Id="rId134" Type="http://schemas.openxmlformats.org/officeDocument/2006/relationships/hyperlink" Target="mailto:NUBEJIMENEZ93@HOTMAIL.COM" TargetMode="External"/><Relationship Id="rId80" Type="http://schemas.openxmlformats.org/officeDocument/2006/relationships/hyperlink" Target="mailto:PAMELABORJA88@HOTMAIL.COM" TargetMode="External"/><Relationship Id="rId155" Type="http://schemas.openxmlformats.org/officeDocument/2006/relationships/hyperlink" Target="mailto:GLORIAGAYBOR@HOTMAIL.COM" TargetMode="External"/><Relationship Id="rId17" Type="http://schemas.openxmlformats.org/officeDocument/2006/relationships/hyperlink" Target="mailto:LUISROMO@AUTOEXFO.EC" TargetMode="External"/><Relationship Id="rId38" Type="http://schemas.openxmlformats.org/officeDocument/2006/relationships/hyperlink" Target="mailto:ENMARODASF@HOTMAIL.COM" TargetMode="External"/><Relationship Id="rId59" Type="http://schemas.openxmlformats.org/officeDocument/2006/relationships/hyperlink" Target="mailto:TURIZO3@HOTMAIL.COM" TargetMode="External"/><Relationship Id="rId103" Type="http://schemas.openxmlformats.org/officeDocument/2006/relationships/hyperlink" Target="mailto:SOPHIALITUMAA@GMAIL.COM" TargetMode="External"/><Relationship Id="rId124" Type="http://schemas.openxmlformats.org/officeDocument/2006/relationships/hyperlink" Target="mailto:PAULESJILA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SEGARRA@ETAPA.NET.EC" TargetMode="External"/><Relationship Id="rId13" Type="http://schemas.openxmlformats.org/officeDocument/2006/relationships/hyperlink" Target="mailto:BERNICR@HOTMAIL.COM" TargetMode="External"/><Relationship Id="rId18" Type="http://schemas.openxmlformats.org/officeDocument/2006/relationships/hyperlink" Target="mailto:LORENA.ANDRADEGI@GMAIL.COM" TargetMode="External"/><Relationship Id="rId26" Type="http://schemas.openxmlformats.org/officeDocument/2006/relationships/hyperlink" Target="mailto:MATIASFRANCISGUETTI@GMAIL.COM" TargetMode="External"/><Relationship Id="rId3" Type="http://schemas.openxmlformats.org/officeDocument/2006/relationships/hyperlink" Target="mailto:MARCETORLA@YAHOO.COM" TargetMode="External"/><Relationship Id="rId21" Type="http://schemas.openxmlformats.org/officeDocument/2006/relationships/hyperlink" Target="mailto:TAFANYVIDAL11@GMAIL.COM" TargetMode="External"/><Relationship Id="rId7" Type="http://schemas.openxmlformats.org/officeDocument/2006/relationships/hyperlink" Target="mailto:DIEGOALCO@YAHOO.COM" TargetMode="External"/><Relationship Id="rId12" Type="http://schemas.openxmlformats.org/officeDocument/2006/relationships/hyperlink" Target="mailto:MIALTO53@HOTMAIL.COM" TargetMode="External"/><Relationship Id="rId17" Type="http://schemas.openxmlformats.org/officeDocument/2006/relationships/hyperlink" Target="mailto:VERONICAORDEN@GMAIL.COM" TargetMode="External"/><Relationship Id="rId25" Type="http://schemas.openxmlformats.org/officeDocument/2006/relationships/hyperlink" Target="mailto:PANCHOCALLE01@GMAIL.COM" TargetMode="External"/><Relationship Id="rId2" Type="http://schemas.openxmlformats.org/officeDocument/2006/relationships/hyperlink" Target="mailto:MCASTRO@HOTELOROVERDE.COM" TargetMode="External"/><Relationship Id="rId16" Type="http://schemas.openxmlformats.org/officeDocument/2006/relationships/hyperlink" Target="mailto:HERNANDEZISMAEL28@HOTMAIL.COM" TargetMode="External"/><Relationship Id="rId20" Type="http://schemas.openxmlformats.org/officeDocument/2006/relationships/hyperlink" Target="mailto:NELITORRES273@GMAIL.COM" TargetMode="External"/><Relationship Id="rId29" Type="http://schemas.openxmlformats.org/officeDocument/2006/relationships/hyperlink" Target="mailto:NUBEJIMENEZ93@HOTMAIL.COM" TargetMode="External"/><Relationship Id="rId1" Type="http://schemas.openxmlformats.org/officeDocument/2006/relationships/hyperlink" Target="mailto:VICTOR.PALACIOS@OUTLLOK.COM" TargetMode="External"/><Relationship Id="rId6" Type="http://schemas.openxmlformats.org/officeDocument/2006/relationships/hyperlink" Target="mailto:FMARCHANG-30@HOTMAIL.COM" TargetMode="External"/><Relationship Id="rId11" Type="http://schemas.openxmlformats.org/officeDocument/2006/relationships/hyperlink" Target="mailto:CECERESBAIXERAS@GMAIL.COM" TargetMode="External"/><Relationship Id="rId24" Type="http://schemas.openxmlformats.org/officeDocument/2006/relationships/hyperlink" Target="mailto:CRISLIT77@GMAIL.COM" TargetMode="External"/><Relationship Id="rId32" Type="http://schemas.openxmlformats.org/officeDocument/2006/relationships/drawing" Target="../drawings/drawing5.xml"/><Relationship Id="rId5" Type="http://schemas.openxmlformats.org/officeDocument/2006/relationships/hyperlink" Target="mailto:PATTYCAZORLA@HOTMAIL.COM" TargetMode="External"/><Relationship Id="rId15" Type="http://schemas.openxmlformats.org/officeDocument/2006/relationships/hyperlink" Target="mailto:ALIV.SOS@HOTMAIL.COM" TargetMode="External"/><Relationship Id="rId23" Type="http://schemas.openxmlformats.org/officeDocument/2006/relationships/hyperlink" Target="mailto:PATRICIAAGUIRRE87@HOTMAIL.COM" TargetMode="External"/><Relationship Id="rId28" Type="http://schemas.openxmlformats.org/officeDocument/2006/relationships/hyperlink" Target="mailto:CNSCOSMORA96@GMAIL.COM" TargetMode="External"/><Relationship Id="rId10" Type="http://schemas.openxmlformats.org/officeDocument/2006/relationships/hyperlink" Target="mailto:PEZVACAB@HOTMAIL.COM" TargetMode="External"/><Relationship Id="rId19" Type="http://schemas.openxmlformats.org/officeDocument/2006/relationships/hyperlink" Target="mailto:PAULESJILA@GMAIL.COM" TargetMode="External"/><Relationship Id="rId31" Type="http://schemas.openxmlformats.org/officeDocument/2006/relationships/hyperlink" Target="mailto:MANESSERRANO@HOTMAIL.COM" TargetMode="External"/><Relationship Id="rId4" Type="http://schemas.openxmlformats.org/officeDocument/2006/relationships/hyperlink" Target="mailto:FERALVARADOP@HOTMAIL.COM" TargetMode="External"/><Relationship Id="rId9" Type="http://schemas.openxmlformats.org/officeDocument/2006/relationships/hyperlink" Target="mailto:PCAZORLACH@GMAIL.COM" TargetMode="External"/><Relationship Id="rId14" Type="http://schemas.openxmlformats.org/officeDocument/2006/relationships/hyperlink" Target="mailto:FABRICIOTENESACA@PACAJEAN.COM" TargetMode="External"/><Relationship Id="rId22" Type="http://schemas.openxmlformats.org/officeDocument/2006/relationships/hyperlink" Target="mailto:MONICAJUELA@GMAIL.COM" TargetMode="External"/><Relationship Id="rId27" Type="http://schemas.openxmlformats.org/officeDocument/2006/relationships/hyperlink" Target="mailto:ONCOCHOP196@GMAIL.COM" TargetMode="External"/><Relationship Id="rId30" Type="http://schemas.openxmlformats.org/officeDocument/2006/relationships/hyperlink" Target="mailto:OJONA19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40"/>
  <sheetViews>
    <sheetView topLeftCell="A17" zoomScale="120" zoomScaleNormal="120" workbookViewId="0">
      <selection activeCell="I40" sqref="I40"/>
    </sheetView>
  </sheetViews>
  <sheetFormatPr baseColWidth="10" defaultRowHeight="15"/>
  <cols>
    <col min="1" max="1" width="6.1640625" customWidth="1"/>
    <col min="2" max="2" width="11.1640625" customWidth="1"/>
    <col min="3" max="3" width="13.6640625" customWidth="1"/>
    <col min="4" max="4" width="9.5" customWidth="1"/>
    <col min="5" max="5" width="20.1640625" customWidth="1"/>
    <col min="6" max="6" width="20.5" customWidth="1"/>
    <col min="7" max="7" width="16.5" customWidth="1"/>
    <col min="8" max="8" width="42.1640625" customWidth="1"/>
    <col min="9" max="9" width="17.33203125" customWidth="1"/>
    <col min="10" max="10" width="9.1640625" customWidth="1"/>
    <col min="11" max="11" width="9.6640625" customWidth="1"/>
    <col min="12" max="12" width="22.83203125" customWidth="1"/>
    <col min="13" max="13" width="23" customWidth="1"/>
    <col min="14" max="14" width="7.83203125" customWidth="1"/>
    <col min="15" max="15" width="22" style="4" customWidth="1"/>
    <col min="16" max="16" width="24.5" customWidth="1"/>
    <col min="17" max="17" width="14.1640625" bestFit="1" customWidth="1"/>
    <col min="19" max="19" width="26.1640625" customWidth="1"/>
  </cols>
  <sheetData>
    <row r="2" spans="1:28" ht="17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8"/>
      <c r="P2" s="5"/>
      <c r="Q2" s="5"/>
      <c r="R2" s="5"/>
    </row>
    <row r="3" spans="1:28" ht="18">
      <c r="B3" s="9"/>
      <c r="C3" s="10" t="s">
        <v>0</v>
      </c>
      <c r="D3" s="11"/>
      <c r="E3" s="12"/>
      <c r="F3" s="13"/>
      <c r="G3" s="14"/>
      <c r="H3" s="15"/>
      <c r="I3" s="15"/>
      <c r="J3" s="15"/>
      <c r="K3" s="15"/>
      <c r="L3" s="15"/>
      <c r="M3" s="16"/>
      <c r="N3" s="17"/>
      <c r="O3" s="18"/>
      <c r="P3" s="19"/>
      <c r="Q3" s="19"/>
      <c r="R3" s="19"/>
      <c r="S3" s="19"/>
    </row>
    <row r="4" spans="1:28" ht="18">
      <c r="B4" s="9"/>
      <c r="C4" s="20" t="s">
        <v>1</v>
      </c>
      <c r="D4" s="21"/>
      <c r="E4" s="22"/>
      <c r="F4" s="22"/>
      <c r="G4" s="14"/>
      <c r="H4" s="15"/>
      <c r="I4" s="15"/>
      <c r="J4" s="15"/>
      <c r="K4" s="15"/>
      <c r="L4" s="15"/>
      <c r="M4" s="16"/>
      <c r="N4" s="17"/>
      <c r="O4" s="18"/>
      <c r="P4" s="19"/>
      <c r="Q4" s="19"/>
      <c r="R4" s="19"/>
      <c r="S4" s="19"/>
    </row>
    <row r="5" spans="1:28" ht="24">
      <c r="B5" s="23" t="s">
        <v>2</v>
      </c>
      <c r="C5" s="24"/>
      <c r="D5" s="25"/>
      <c r="E5" s="26" t="s">
        <v>3</v>
      </c>
      <c r="F5" s="27"/>
      <c r="G5" s="28"/>
      <c r="H5" s="29"/>
      <c r="I5" s="30"/>
      <c r="J5" s="31"/>
      <c r="K5" s="31"/>
      <c r="L5" s="32"/>
      <c r="M5" s="33" t="s">
        <v>1723</v>
      </c>
      <c r="N5" s="34"/>
      <c r="O5" s="35"/>
    </row>
    <row r="6" spans="1:28" ht="17">
      <c r="B6" s="36" t="s">
        <v>4</v>
      </c>
      <c r="C6" s="37"/>
      <c r="D6" s="38"/>
      <c r="E6" s="38"/>
      <c r="F6" s="38"/>
      <c r="G6" s="38"/>
      <c r="H6" s="38"/>
      <c r="I6" s="38"/>
      <c r="J6" s="38"/>
      <c r="K6" s="38"/>
      <c r="L6" s="38"/>
      <c r="M6" s="39"/>
      <c r="N6" s="34"/>
      <c r="O6" s="35"/>
    </row>
    <row r="7" spans="1:28" ht="18">
      <c r="B7" s="40" t="s">
        <v>1725</v>
      </c>
      <c r="C7" s="41"/>
      <c r="D7" s="42"/>
      <c r="E7" s="42"/>
      <c r="F7" s="42"/>
      <c r="G7" s="42"/>
      <c r="H7" s="42" t="s">
        <v>5</v>
      </c>
      <c r="I7" s="42"/>
      <c r="J7" s="42"/>
      <c r="K7" s="42"/>
      <c r="L7" s="42"/>
      <c r="M7" s="43"/>
      <c r="N7" s="34"/>
      <c r="O7" s="35"/>
    </row>
    <row r="8" spans="1:28" ht="36">
      <c r="A8" s="44"/>
      <c r="B8" s="45" t="s">
        <v>6</v>
      </c>
      <c r="C8" s="45" t="s">
        <v>7</v>
      </c>
      <c r="D8" s="45" t="s">
        <v>8</v>
      </c>
      <c r="E8" s="45" t="s">
        <v>9</v>
      </c>
      <c r="F8" s="45" t="s">
        <v>10</v>
      </c>
      <c r="G8" s="45" t="s">
        <v>11</v>
      </c>
      <c r="H8" s="45" t="s">
        <v>12</v>
      </c>
      <c r="I8" s="45" t="s">
        <v>13</v>
      </c>
      <c r="J8" s="45" t="s">
        <v>14</v>
      </c>
      <c r="K8" s="45" t="s">
        <v>15</v>
      </c>
      <c r="L8" s="45" t="s">
        <v>16</v>
      </c>
      <c r="M8" s="46" t="s">
        <v>17</v>
      </c>
      <c r="N8" s="47" t="s">
        <v>18</v>
      </c>
      <c r="O8" s="48" t="s">
        <v>19</v>
      </c>
      <c r="P8" s="45" t="s">
        <v>20</v>
      </c>
      <c r="Q8" s="45" t="s">
        <v>21</v>
      </c>
      <c r="R8" s="49" t="s">
        <v>22</v>
      </c>
      <c r="S8" s="49" t="s">
        <v>23</v>
      </c>
      <c r="T8" s="50"/>
      <c r="U8" s="44"/>
      <c r="V8" s="44"/>
      <c r="W8" s="44"/>
      <c r="X8" s="44"/>
      <c r="Y8" s="44"/>
      <c r="Z8" s="44"/>
      <c r="AA8" s="44"/>
      <c r="AB8" s="44"/>
    </row>
    <row r="9" spans="1:28" ht="54">
      <c r="A9">
        <v>1</v>
      </c>
      <c r="B9" s="51">
        <v>45741</v>
      </c>
      <c r="C9" s="52">
        <v>45951</v>
      </c>
      <c r="D9" s="53">
        <v>1</v>
      </c>
      <c r="E9" s="53">
        <v>60803282</v>
      </c>
      <c r="F9" s="54" t="s">
        <v>1746</v>
      </c>
      <c r="G9" s="55">
        <v>112500047</v>
      </c>
      <c r="H9" s="56" t="str">
        <f>VLOOKUP(G9,PROD,2,FALSE)</f>
        <v>IZF 99700 MST COCINA INDUCCION</v>
      </c>
      <c r="I9" s="57" t="s">
        <v>1747</v>
      </c>
      <c r="J9" s="58" t="s">
        <v>24</v>
      </c>
      <c r="K9" s="57" t="s">
        <v>25</v>
      </c>
      <c r="L9" s="57" t="s">
        <v>1748</v>
      </c>
      <c r="M9" s="54" t="s">
        <v>1749</v>
      </c>
      <c r="N9" s="59">
        <v>12.5</v>
      </c>
      <c r="O9" s="212" t="s">
        <v>1750</v>
      </c>
      <c r="P9" s="60" t="s">
        <v>1751</v>
      </c>
      <c r="Q9" s="61">
        <v>9842723334</v>
      </c>
      <c r="R9" s="61"/>
      <c r="S9" s="61" t="s">
        <v>1752</v>
      </c>
    </row>
    <row r="10" spans="1:28" ht="36">
      <c r="A10">
        <v>2</v>
      </c>
      <c r="B10" s="51">
        <v>45866</v>
      </c>
      <c r="C10" s="52">
        <v>45957</v>
      </c>
      <c r="D10" s="53">
        <v>1</v>
      </c>
      <c r="E10" s="53"/>
      <c r="F10" s="54"/>
      <c r="G10" s="55">
        <v>112500046</v>
      </c>
      <c r="H10" s="56" t="str">
        <f>VLOOKUP(G10,PROD,2,FALSE)</f>
        <v>IZF 88700 MST COCINA INDUCCION</v>
      </c>
      <c r="I10" s="57" t="s">
        <v>1215</v>
      </c>
      <c r="J10" s="58" t="s">
        <v>24</v>
      </c>
      <c r="K10" s="57" t="s">
        <v>25</v>
      </c>
      <c r="L10" s="57" t="s">
        <v>1216</v>
      </c>
      <c r="M10" s="54" t="s">
        <v>1551</v>
      </c>
      <c r="N10" s="59">
        <v>12.5</v>
      </c>
      <c r="O10" s="212" t="s">
        <v>1217</v>
      </c>
      <c r="P10" s="60" t="s">
        <v>1218</v>
      </c>
      <c r="Q10" s="61">
        <v>998161675</v>
      </c>
      <c r="R10" s="61"/>
      <c r="S10" s="61" t="s">
        <v>1219</v>
      </c>
    </row>
    <row r="11" spans="1:28" ht="54">
      <c r="A11">
        <v>3</v>
      </c>
      <c r="B11" s="51">
        <v>45731</v>
      </c>
      <c r="C11" s="52">
        <v>45958</v>
      </c>
      <c r="D11" s="53"/>
      <c r="E11" s="53"/>
      <c r="F11" s="54"/>
      <c r="G11" s="165">
        <v>112030019</v>
      </c>
      <c r="H11" s="56" t="str">
        <f>VLOOKUP(G11,PROD,2,FALSE)</f>
        <v>ML 8220 BIS FBK- MICROONDAS</v>
      </c>
      <c r="I11" s="57" t="s">
        <v>1324</v>
      </c>
      <c r="J11" s="58" t="s">
        <v>24</v>
      </c>
      <c r="K11" s="57" t="s">
        <v>25</v>
      </c>
      <c r="L11" s="57" t="s">
        <v>1325</v>
      </c>
      <c r="M11" s="54" t="s">
        <v>1326</v>
      </c>
      <c r="N11" s="59">
        <v>15</v>
      </c>
      <c r="O11" s="212" t="s">
        <v>1327</v>
      </c>
      <c r="P11" s="60" t="s">
        <v>1328</v>
      </c>
      <c r="Q11" s="61">
        <v>991095384</v>
      </c>
      <c r="R11" s="61"/>
      <c r="S11" s="61" t="s">
        <v>1329</v>
      </c>
    </row>
    <row r="12" spans="1:28" ht="72">
      <c r="A12">
        <v>4</v>
      </c>
      <c r="B12" s="51">
        <v>45933</v>
      </c>
      <c r="C12" s="52">
        <v>45958</v>
      </c>
      <c r="D12" s="53"/>
      <c r="E12" s="53"/>
      <c r="F12" s="54"/>
      <c r="G12" s="165">
        <v>112030019</v>
      </c>
      <c r="H12" s="56" t="str">
        <f t="shared" ref="H12:H20" si="0">VLOOKUP(G12,PROD,2,FALSE)</f>
        <v>ML 8220 BIS FBK- MICROONDAS</v>
      </c>
      <c r="I12" s="57" t="s">
        <v>1524</v>
      </c>
      <c r="J12" s="58" t="s">
        <v>24</v>
      </c>
      <c r="K12" s="57" t="s">
        <v>25</v>
      </c>
      <c r="L12" s="57" t="s">
        <v>1525</v>
      </c>
      <c r="M12" s="54" t="s">
        <v>1526</v>
      </c>
      <c r="N12" s="59">
        <v>15</v>
      </c>
      <c r="O12" s="212" t="s">
        <v>1239</v>
      </c>
      <c r="P12" s="60" t="s">
        <v>1527</v>
      </c>
      <c r="Q12" s="61">
        <v>995720411</v>
      </c>
      <c r="R12" s="61"/>
      <c r="S12" s="61" t="s">
        <v>1235</v>
      </c>
    </row>
    <row r="13" spans="1:28" ht="54">
      <c r="A13">
        <v>5</v>
      </c>
      <c r="B13" s="51">
        <v>45503</v>
      </c>
      <c r="C13" s="52">
        <v>45958</v>
      </c>
      <c r="D13" s="53">
        <v>1</v>
      </c>
      <c r="E13" s="53">
        <v>60803317</v>
      </c>
      <c r="F13" s="54" t="s">
        <v>1753</v>
      </c>
      <c r="G13" s="165">
        <v>112730000</v>
      </c>
      <c r="H13" s="56" t="str">
        <f t="shared" ref="H13" si="1">VLOOKUP(G13,PROD,2,FALSE)</f>
        <v>AFF 87601 HOOD IN HOB</v>
      </c>
      <c r="I13" s="57" t="s">
        <v>1754</v>
      </c>
      <c r="J13" s="58" t="s">
        <v>24</v>
      </c>
      <c r="K13" s="57" t="s">
        <v>25</v>
      </c>
      <c r="L13" s="57" t="s">
        <v>1678</v>
      </c>
      <c r="M13" s="54" t="s">
        <v>1755</v>
      </c>
      <c r="N13" s="59">
        <v>12.5</v>
      </c>
      <c r="O13" s="212" t="s">
        <v>1756</v>
      </c>
      <c r="P13" s="60" t="s">
        <v>1681</v>
      </c>
      <c r="Q13" s="61">
        <v>994058325</v>
      </c>
      <c r="R13" s="61"/>
      <c r="S13" s="61" t="s">
        <v>1757</v>
      </c>
    </row>
    <row r="14" spans="1:28" ht="54">
      <c r="A14">
        <v>6</v>
      </c>
      <c r="B14" s="51">
        <v>45778</v>
      </c>
      <c r="C14" s="52">
        <v>45959</v>
      </c>
      <c r="D14" s="53">
        <v>1</v>
      </c>
      <c r="E14" s="53">
        <v>81219016</v>
      </c>
      <c r="F14" s="54" t="s">
        <v>1535</v>
      </c>
      <c r="G14" s="165">
        <v>112580027</v>
      </c>
      <c r="H14" s="56" t="str">
        <f t="shared" si="0"/>
        <v>GBC 75030 KBB CRISTAL COCINA GAS</v>
      </c>
      <c r="I14" s="57" t="s">
        <v>1536</v>
      </c>
      <c r="J14" s="58" t="s">
        <v>24</v>
      </c>
      <c r="K14" s="57" t="s">
        <v>25</v>
      </c>
      <c r="L14" s="57" t="s">
        <v>1537</v>
      </c>
      <c r="M14" s="54" t="s">
        <v>1538</v>
      </c>
      <c r="N14" s="59">
        <v>12.5</v>
      </c>
      <c r="O14" s="212" t="s">
        <v>1540</v>
      </c>
      <c r="P14" s="60" t="s">
        <v>1539</v>
      </c>
      <c r="Q14" s="61">
        <v>979328809</v>
      </c>
      <c r="R14" s="61"/>
      <c r="S14" s="61" t="s">
        <v>1541</v>
      </c>
    </row>
    <row r="15" spans="1:28" ht="36">
      <c r="A15">
        <v>7</v>
      </c>
      <c r="B15" s="51">
        <v>45806</v>
      </c>
      <c r="C15" s="52">
        <v>45959</v>
      </c>
      <c r="D15" s="53">
        <v>1</v>
      </c>
      <c r="E15" s="53">
        <v>60803282</v>
      </c>
      <c r="F15" s="54" t="s">
        <v>1542</v>
      </c>
      <c r="G15" s="165">
        <v>112500047</v>
      </c>
      <c r="H15" s="56" t="str">
        <f t="shared" si="0"/>
        <v>IZF 99700 MST COCINA INDUCCION</v>
      </c>
      <c r="I15" s="57" t="s">
        <v>1543</v>
      </c>
      <c r="J15" s="58" t="s">
        <v>24</v>
      </c>
      <c r="K15" s="57" t="s">
        <v>25</v>
      </c>
      <c r="L15" s="57" t="s">
        <v>1544</v>
      </c>
      <c r="M15" s="54" t="s">
        <v>1545</v>
      </c>
      <c r="N15" s="59">
        <v>12.5</v>
      </c>
      <c r="O15" s="212" t="s">
        <v>1546</v>
      </c>
      <c r="P15" s="60" t="s">
        <v>1547</v>
      </c>
      <c r="Q15" s="61">
        <v>999100747</v>
      </c>
      <c r="R15" s="61"/>
      <c r="S15" s="61" t="s">
        <v>1548</v>
      </c>
    </row>
    <row r="16" spans="1:28" ht="36">
      <c r="A16">
        <v>8</v>
      </c>
      <c r="B16" s="51">
        <v>45127</v>
      </c>
      <c r="C16" s="52">
        <v>45960</v>
      </c>
      <c r="D16" s="53">
        <v>1</v>
      </c>
      <c r="E16" s="53">
        <v>60803272</v>
      </c>
      <c r="F16" s="54" t="s">
        <v>1528</v>
      </c>
      <c r="G16" s="165">
        <v>112500048</v>
      </c>
      <c r="H16" s="56" t="str">
        <f t="shared" ref="H16" si="2">VLOOKUP(G16,PROD,2,FALSE)</f>
        <v>IZS 97630 MST COCINA INDUCCION</v>
      </c>
      <c r="I16" s="57" t="s">
        <v>1529</v>
      </c>
      <c r="J16" s="58" t="s">
        <v>24</v>
      </c>
      <c r="K16" s="57" t="s">
        <v>25</v>
      </c>
      <c r="L16" s="57" t="s">
        <v>1530</v>
      </c>
      <c r="M16" s="54" t="s">
        <v>1531</v>
      </c>
      <c r="N16" s="59">
        <v>12.5</v>
      </c>
      <c r="O16" s="212" t="s">
        <v>1532</v>
      </c>
      <c r="P16" s="60" t="s">
        <v>1533</v>
      </c>
      <c r="Q16" s="61">
        <v>998346841</v>
      </c>
      <c r="R16" s="61"/>
      <c r="S16" s="61" t="s">
        <v>1534</v>
      </c>
    </row>
    <row r="17" spans="1:19" ht="36">
      <c r="A17">
        <v>9</v>
      </c>
      <c r="B17" s="51">
        <v>45949</v>
      </c>
      <c r="C17" s="52">
        <v>45968</v>
      </c>
      <c r="D17" s="53">
        <v>1</v>
      </c>
      <c r="E17" s="53">
        <v>81742367</v>
      </c>
      <c r="F17" s="54" t="s">
        <v>1549</v>
      </c>
      <c r="G17" s="55">
        <v>114270008</v>
      </c>
      <c r="H17" s="56" t="str">
        <f t="shared" si="0"/>
        <v>LAVAVAJILLAS DFI 46900 120 60 WH</v>
      </c>
      <c r="I17" s="57" t="s">
        <v>1140</v>
      </c>
      <c r="J17" s="58" t="s">
        <v>24</v>
      </c>
      <c r="K17" s="57" t="s">
        <v>25</v>
      </c>
      <c r="L17" s="57" t="s">
        <v>1141</v>
      </c>
      <c r="M17" s="54" t="s">
        <v>1550</v>
      </c>
      <c r="N17" s="59">
        <v>18.75</v>
      </c>
      <c r="O17" s="212" t="s">
        <v>1143</v>
      </c>
      <c r="P17" s="60" t="s">
        <v>1181</v>
      </c>
      <c r="Q17" s="61">
        <v>997439434</v>
      </c>
      <c r="R17" s="61"/>
      <c r="S17" s="61" t="s">
        <v>1139</v>
      </c>
    </row>
    <row r="18" spans="1:19" ht="37" customHeight="1">
      <c r="A18">
        <v>10</v>
      </c>
      <c r="B18" s="51">
        <v>45381</v>
      </c>
      <c r="C18" s="52">
        <v>45971</v>
      </c>
      <c r="D18" s="53">
        <v>1</v>
      </c>
      <c r="E18" s="53">
        <v>60803282</v>
      </c>
      <c r="F18" s="54" t="s">
        <v>1746</v>
      </c>
      <c r="G18" s="55">
        <v>112500047</v>
      </c>
      <c r="H18" s="56" t="str">
        <f t="shared" ref="H18:H19" si="3">VLOOKUP(G18,PROD,2,FALSE)</f>
        <v>IZF 99700 MST COCINA INDUCCION</v>
      </c>
      <c r="I18" s="57" t="s">
        <v>1758</v>
      </c>
      <c r="J18" s="58" t="s">
        <v>24</v>
      </c>
      <c r="K18" s="57" t="s">
        <v>25</v>
      </c>
      <c r="L18" s="57" t="s">
        <v>1759</v>
      </c>
      <c r="M18" s="54" t="s">
        <v>1760</v>
      </c>
      <c r="N18" s="59">
        <v>12.5</v>
      </c>
      <c r="O18" s="212" t="s">
        <v>1761</v>
      </c>
      <c r="P18" s="60" t="s">
        <v>1762</v>
      </c>
      <c r="Q18" s="61">
        <v>980913535</v>
      </c>
      <c r="R18" s="61"/>
      <c r="S18" s="61" t="s">
        <v>1763</v>
      </c>
    </row>
    <row r="19" spans="1:19" ht="37" customHeight="1">
      <c r="A19">
        <v>11</v>
      </c>
      <c r="B19" s="51">
        <v>45346</v>
      </c>
      <c r="C19" s="52">
        <v>45975</v>
      </c>
      <c r="D19" s="53">
        <v>1</v>
      </c>
      <c r="E19" s="53">
        <v>60803316</v>
      </c>
      <c r="F19" s="54" t="s">
        <v>1764</v>
      </c>
      <c r="G19" s="55">
        <v>112730000</v>
      </c>
      <c r="H19" s="56" t="str">
        <f t="shared" si="3"/>
        <v>AFF 87601 HOOD IN HOB</v>
      </c>
      <c r="I19" s="57" t="s">
        <v>1765</v>
      </c>
      <c r="J19" s="58" t="s">
        <v>24</v>
      </c>
      <c r="K19" s="57" t="s">
        <v>25</v>
      </c>
      <c r="L19" s="57" t="s">
        <v>1766</v>
      </c>
      <c r="M19" s="54" t="s">
        <v>1767</v>
      </c>
      <c r="N19" s="59">
        <v>12.5</v>
      </c>
      <c r="O19" s="212" t="s">
        <v>1768</v>
      </c>
      <c r="P19" s="60" t="s">
        <v>1769</v>
      </c>
      <c r="Q19" s="61">
        <v>99340209</v>
      </c>
      <c r="R19" s="61"/>
      <c r="S19" s="61" t="s">
        <v>1770</v>
      </c>
    </row>
    <row r="20" spans="1:19" ht="37" customHeight="1">
      <c r="A20">
        <v>12</v>
      </c>
      <c r="B20" s="51">
        <v>45204</v>
      </c>
      <c r="C20" s="52">
        <v>45976</v>
      </c>
      <c r="D20" s="53">
        <v>1</v>
      </c>
      <c r="E20" s="53">
        <v>60803213</v>
      </c>
      <c r="F20" s="54" t="s">
        <v>1579</v>
      </c>
      <c r="G20" s="55">
        <v>112570126</v>
      </c>
      <c r="H20" s="56" t="str">
        <f t="shared" si="0"/>
        <v>JZC 96324 ABB BK (LAT) COCINA MIXTA GAS - INDUCCION (40213042)</v>
      </c>
      <c r="I20" s="57" t="s">
        <v>1580</v>
      </c>
      <c r="J20" s="58" t="s">
        <v>24</v>
      </c>
      <c r="K20" s="57" t="s">
        <v>25</v>
      </c>
      <c r="L20" s="57" t="s">
        <v>1581</v>
      </c>
      <c r="M20" s="54" t="s">
        <v>1582</v>
      </c>
      <c r="N20" s="59">
        <v>12.5</v>
      </c>
      <c r="O20" s="212" t="s">
        <v>1583</v>
      </c>
      <c r="P20" s="60" t="s">
        <v>1584</v>
      </c>
      <c r="Q20" s="61">
        <v>996155115</v>
      </c>
      <c r="R20" s="61"/>
      <c r="S20" s="61" t="s">
        <v>1585</v>
      </c>
    </row>
    <row r="21" spans="1:19" ht="36">
      <c r="A21">
        <v>13</v>
      </c>
      <c r="B21" s="51">
        <v>45923</v>
      </c>
      <c r="C21" s="52">
        <v>45976</v>
      </c>
      <c r="D21" s="53">
        <v>1</v>
      </c>
      <c r="E21" s="53">
        <v>81240011</v>
      </c>
      <c r="F21" s="54" t="s">
        <v>1586</v>
      </c>
      <c r="G21" s="55">
        <v>112610067</v>
      </c>
      <c r="H21" s="56" t="str">
        <f t="shared" ref="H21:H25" si="4">VLOOKUP(G21,PROD,2,FALSE)</f>
        <v>GSC 96320 XBA IX (LAT) COCINA INOX</v>
      </c>
      <c r="I21" s="57" t="s">
        <v>1587</v>
      </c>
      <c r="J21" s="58" t="s">
        <v>24</v>
      </c>
      <c r="K21" s="57" t="s">
        <v>25</v>
      </c>
      <c r="L21" s="57" t="s">
        <v>1349</v>
      </c>
      <c r="M21" s="54" t="s">
        <v>1588</v>
      </c>
      <c r="N21" s="59">
        <v>12.5</v>
      </c>
      <c r="O21" s="212" t="s">
        <v>1351</v>
      </c>
      <c r="P21" s="60" t="s">
        <v>1589</v>
      </c>
      <c r="Q21" s="61">
        <v>999486055</v>
      </c>
      <c r="R21" s="61"/>
      <c r="S21" s="61" t="s">
        <v>1590</v>
      </c>
    </row>
    <row r="22" spans="1:19" ht="36">
      <c r="A22">
        <v>14</v>
      </c>
      <c r="B22" s="51">
        <v>45512</v>
      </c>
      <c r="C22" s="52">
        <v>45976</v>
      </c>
      <c r="D22" s="53">
        <v>1</v>
      </c>
      <c r="E22" s="53">
        <v>81636002</v>
      </c>
      <c r="F22" s="54" t="s">
        <v>1676</v>
      </c>
      <c r="G22" s="165">
        <v>113610005</v>
      </c>
      <c r="H22" s="56" t="str">
        <f t="shared" si="4"/>
        <v>RVF 10032 VINERA</v>
      </c>
      <c r="I22" s="57" t="s">
        <v>1677</v>
      </c>
      <c r="J22" s="58" t="s">
        <v>24</v>
      </c>
      <c r="K22" s="57" t="s">
        <v>25</v>
      </c>
      <c r="L22" s="57" t="s">
        <v>1678</v>
      </c>
      <c r="M22" s="54" t="s">
        <v>1679</v>
      </c>
      <c r="N22" s="59">
        <v>18.75</v>
      </c>
      <c r="O22" s="212" t="s">
        <v>1680</v>
      </c>
      <c r="P22" s="60" t="s">
        <v>1681</v>
      </c>
      <c r="Q22" s="61">
        <v>994058325</v>
      </c>
      <c r="R22" s="61"/>
      <c r="S22" s="61" t="s">
        <v>1682</v>
      </c>
    </row>
    <row r="23" spans="1:19" ht="36">
      <c r="A23">
        <v>15</v>
      </c>
      <c r="B23" s="51">
        <v>45615</v>
      </c>
      <c r="C23" s="52">
        <v>45976</v>
      </c>
      <c r="D23" s="53">
        <v>1</v>
      </c>
      <c r="E23" s="53">
        <v>83340602</v>
      </c>
      <c r="F23" s="54" t="s">
        <v>1683</v>
      </c>
      <c r="G23" s="165">
        <v>41560061</v>
      </c>
      <c r="H23" s="56" t="str">
        <f t="shared" si="4"/>
        <v>HLB 830 INOX HORNO ELEC</v>
      </c>
      <c r="I23" s="57" t="s">
        <v>1684</v>
      </c>
      <c r="J23" s="58" t="s">
        <v>24</v>
      </c>
      <c r="K23" s="57" t="s">
        <v>25</v>
      </c>
      <c r="L23" s="57" t="s">
        <v>1685</v>
      </c>
      <c r="M23" s="54" t="s">
        <v>1686</v>
      </c>
      <c r="N23" s="59">
        <v>15</v>
      </c>
      <c r="O23" s="212" t="s">
        <v>1687</v>
      </c>
      <c r="P23" s="60" t="s">
        <v>1688</v>
      </c>
      <c r="Q23" s="61">
        <v>987008849</v>
      </c>
      <c r="R23" s="61"/>
      <c r="S23" s="61" t="s">
        <v>1689</v>
      </c>
    </row>
    <row r="24" spans="1:19" ht="21">
      <c r="A24">
        <v>16</v>
      </c>
      <c r="B24" s="51">
        <v>45775</v>
      </c>
      <c r="C24" s="52">
        <v>45977</v>
      </c>
      <c r="D24" s="53">
        <v>1</v>
      </c>
      <c r="E24" s="53">
        <v>83340602</v>
      </c>
      <c r="F24" s="54" t="s">
        <v>1690</v>
      </c>
      <c r="G24" s="165">
        <v>111000051</v>
      </c>
      <c r="H24" s="56" t="str">
        <f t="shared" si="4"/>
        <v>HLB 8416 "AIR FRY" - HORNO ELEC</v>
      </c>
      <c r="I24" s="57" t="s">
        <v>1691</v>
      </c>
      <c r="J24" s="58" t="s">
        <v>24</v>
      </c>
      <c r="K24" s="57" t="s">
        <v>25</v>
      </c>
      <c r="L24" s="57" t="s">
        <v>1692</v>
      </c>
      <c r="M24" s="54" t="s">
        <v>1693</v>
      </c>
      <c r="N24" s="59">
        <v>15</v>
      </c>
      <c r="O24" s="212" t="s">
        <v>1694</v>
      </c>
      <c r="P24" s="60" t="s">
        <v>1695</v>
      </c>
      <c r="Q24" s="61">
        <v>984616503</v>
      </c>
      <c r="R24" s="61"/>
      <c r="S24" s="61" t="s">
        <v>1696</v>
      </c>
    </row>
    <row r="25" spans="1:19" ht="36">
      <c r="A25">
        <v>17</v>
      </c>
      <c r="B25" s="51">
        <v>45919</v>
      </c>
      <c r="C25" s="52">
        <v>45977</v>
      </c>
      <c r="D25" s="53">
        <v>1</v>
      </c>
      <c r="E25" s="53">
        <v>60803327</v>
      </c>
      <c r="F25" s="54" t="s">
        <v>1697</v>
      </c>
      <c r="G25" s="165">
        <v>112500049</v>
      </c>
      <c r="H25" s="56" t="str">
        <f t="shared" si="4"/>
        <v>IZS 86630 MST COCINA INDUCCION</v>
      </c>
      <c r="I25" s="57" t="s">
        <v>1698</v>
      </c>
      <c r="J25" s="58" t="s">
        <v>24</v>
      </c>
      <c r="K25" s="57" t="s">
        <v>25</v>
      </c>
      <c r="L25" s="57" t="s">
        <v>1129</v>
      </c>
      <c r="M25" s="54" t="s">
        <v>1699</v>
      </c>
      <c r="N25" s="59">
        <v>12.5</v>
      </c>
      <c r="O25" s="212" t="s">
        <v>1700</v>
      </c>
      <c r="P25" s="60" t="s">
        <v>1701</v>
      </c>
      <c r="Q25" s="61">
        <v>996123320</v>
      </c>
      <c r="R25" s="61"/>
      <c r="S25" s="61" t="s">
        <v>1702</v>
      </c>
    </row>
    <row r="26" spans="1:19" ht="36">
      <c r="A26">
        <v>18</v>
      </c>
      <c r="B26" s="51">
        <v>45949</v>
      </c>
      <c r="C26" s="52">
        <v>45978</v>
      </c>
      <c r="D26" s="53">
        <v>1</v>
      </c>
      <c r="E26" s="53">
        <v>81742384</v>
      </c>
      <c r="F26" s="54" t="s">
        <v>1771</v>
      </c>
      <c r="G26" s="165">
        <v>114270008</v>
      </c>
      <c r="H26" s="56" t="str">
        <f t="shared" ref="H26" si="5">VLOOKUP(G26,PROD,2,FALSE)</f>
        <v>LAVAVAJILLAS DFI 46900 120 60 WH</v>
      </c>
      <c r="I26" s="57" t="s">
        <v>1140</v>
      </c>
      <c r="J26" s="58" t="s">
        <v>24</v>
      </c>
      <c r="K26" s="57" t="s">
        <v>25</v>
      </c>
      <c r="L26" s="57" t="s">
        <v>1141</v>
      </c>
      <c r="M26" s="54" t="s">
        <v>1772</v>
      </c>
      <c r="N26" s="59">
        <v>18.75</v>
      </c>
      <c r="O26" s="212" t="s">
        <v>1143</v>
      </c>
      <c r="P26" s="60" t="s">
        <v>1181</v>
      </c>
      <c r="Q26" s="61">
        <v>997439434</v>
      </c>
      <c r="R26" s="61"/>
      <c r="S26" s="61" t="s">
        <v>1139</v>
      </c>
    </row>
    <row r="27" spans="1:19" ht="16">
      <c r="G27" s="1"/>
      <c r="N27" s="62">
        <f>SUM(N9:N26)</f>
        <v>253.75</v>
      </c>
    </row>
    <row r="28" spans="1:19" ht="16">
      <c r="G28" s="1"/>
    </row>
    <row r="33" spans="7:10" ht="16">
      <c r="G33">
        <v>11</v>
      </c>
      <c r="H33" s="1" t="s">
        <v>26</v>
      </c>
      <c r="I33" s="1">
        <v>12.5</v>
      </c>
      <c r="J33" s="1">
        <f>+G33*I33</f>
        <v>137.5</v>
      </c>
    </row>
    <row r="34" spans="7:10" ht="16">
      <c r="G34">
        <v>2</v>
      </c>
      <c r="H34" s="1" t="s">
        <v>1720</v>
      </c>
      <c r="I34" s="1">
        <v>18.75</v>
      </c>
      <c r="J34" s="1">
        <f t="shared" ref="J34:J37" si="6">+G34*I34</f>
        <v>37.5</v>
      </c>
    </row>
    <row r="35" spans="7:10" ht="16">
      <c r="G35">
        <v>2</v>
      </c>
      <c r="H35" s="1" t="s">
        <v>1029</v>
      </c>
      <c r="I35" s="1">
        <v>15</v>
      </c>
      <c r="J35" s="1">
        <f t="shared" si="6"/>
        <v>30</v>
      </c>
    </row>
    <row r="36" spans="7:10" ht="16">
      <c r="G36">
        <v>1</v>
      </c>
      <c r="H36" s="1" t="s">
        <v>1030</v>
      </c>
      <c r="I36" s="1">
        <v>18.75</v>
      </c>
      <c r="J36" s="1">
        <f t="shared" si="6"/>
        <v>18.75</v>
      </c>
    </row>
    <row r="37" spans="7:10" ht="16">
      <c r="G37">
        <v>2</v>
      </c>
      <c r="H37" s="1" t="s">
        <v>1031</v>
      </c>
      <c r="I37" s="1">
        <v>15</v>
      </c>
      <c r="J37" s="1">
        <f t="shared" si="6"/>
        <v>30</v>
      </c>
    </row>
    <row r="40" spans="7:10">
      <c r="G40">
        <f>SUM(G33:G39)</f>
        <v>18</v>
      </c>
      <c r="J40">
        <f>SUM(J33:J39)</f>
        <v>253.75</v>
      </c>
    </row>
  </sheetData>
  <phoneticPr fontId="92" type="noConversion"/>
  <hyperlinks>
    <hyperlink ref="P10" r:id="rId1" xr:uid="{80628F81-4086-0145-B104-0800A70F01BA}"/>
    <hyperlink ref="P11" r:id="rId2" xr:uid="{9D563A7D-1ACF-6A4B-A9E0-3B0420D551FF}"/>
    <hyperlink ref="P12" r:id="rId3" xr:uid="{CF2500DC-E971-9F40-A4A5-DDDE334E3CAC}"/>
    <hyperlink ref="P14" r:id="rId4" xr:uid="{A7C0A5C3-7271-E54A-9976-A6087BF3857F}"/>
    <hyperlink ref="P15" r:id="rId5" xr:uid="{19E209C8-C473-B549-9EFA-F14CB3EAC5C2}"/>
    <hyperlink ref="P17" r:id="rId6" xr:uid="{C32BEFC6-7DE3-614F-A751-F982E70FFF69}"/>
    <hyperlink ref="P20" r:id="rId7" xr:uid="{17FBDF01-0887-A84B-9244-58AEFC07E88F}"/>
    <hyperlink ref="P21" r:id="rId8" xr:uid="{2465959D-25B5-2D42-B58F-FC83902953AF}"/>
    <hyperlink ref="P22" r:id="rId9" xr:uid="{2EA79653-9AAD-F141-ABDE-84C63A094AAF}"/>
    <hyperlink ref="P23" r:id="rId10" xr:uid="{6F7E0F8E-05D4-0B48-A055-41A563170B36}"/>
    <hyperlink ref="P24" r:id="rId11" xr:uid="{D278DC71-08CC-DD4D-8629-9D94FB3862C2}"/>
    <hyperlink ref="P25" r:id="rId12" xr:uid="{35188336-32B3-4844-B38E-FBC7E2C09610}"/>
    <hyperlink ref="P16" r:id="rId13" xr:uid="{5A12E4D8-2821-F34D-AEAC-4A84539F417F}"/>
    <hyperlink ref="P9" r:id="rId14" xr:uid="{B377E605-D83B-9E40-81DE-43053BFBCD63}"/>
    <hyperlink ref="P13" r:id="rId15" xr:uid="{97B8AEE6-BCE8-DB4B-9067-D7C8DFF3BBE2}"/>
    <hyperlink ref="P18" r:id="rId16" xr:uid="{8581D56F-8AF7-C747-AA9A-E927C6020FA4}"/>
    <hyperlink ref="P19" r:id="rId17" xr:uid="{A265D991-B075-6740-A318-FFBA7EBEFF03}"/>
    <hyperlink ref="P26" r:id="rId18" xr:uid="{DA8C8F19-9D41-8D4F-8D5A-4FFE93F90A14}"/>
  </hyperlinks>
  <pageMargins left="0.7" right="0.7" top="0.75" bottom="0.75" header="0.3" footer="0.3"/>
  <pageSetup paperSize="9" orientation="portrait" horizontalDpi="0" verticalDpi="0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24"/>
  <sheetViews>
    <sheetView tabSelected="1" topLeftCell="A2" zoomScaleNormal="100" workbookViewId="0">
      <pane ySplit="4" topLeftCell="A26" activePane="bottomLeft" state="frozen"/>
      <selection activeCell="B2" sqref="B2"/>
      <selection pane="bottomLeft" activeCell="A63" sqref="A63:U66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9" customWidth="1"/>
    <col min="6" max="6" width="47" customWidth="1"/>
    <col min="7" max="7" width="20.1640625" customWidth="1"/>
    <col min="8" max="8" width="7.6640625" customWidth="1"/>
    <col min="9" max="9" width="9.1640625" customWidth="1"/>
    <col min="10" max="10" width="10" customWidth="1"/>
    <col min="11" max="11" width="19.83203125" customWidth="1"/>
    <col min="12" max="12" width="27.6640625" customWidth="1"/>
    <col min="13" max="13" width="33.1640625" customWidth="1"/>
    <col min="14" max="15" width="17.6640625" customWidth="1"/>
    <col min="16" max="16" width="13.6640625" customWidth="1"/>
    <col min="18" max="18" width="7.6640625" customWidth="1"/>
    <col min="19" max="19" width="22.83203125" customWidth="1"/>
    <col min="20" max="20" width="26.5" customWidth="1"/>
    <col min="21" max="21" width="35.5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4"/>
      <c r="L2" s="63"/>
      <c r="M2" s="63"/>
      <c r="N2" s="63"/>
      <c r="O2" s="63"/>
      <c r="P2" s="63"/>
      <c r="Q2" s="63"/>
      <c r="R2" s="63"/>
      <c r="S2" s="63"/>
    </row>
    <row r="3" spans="1:21" ht="18">
      <c r="A3" s="65"/>
      <c r="C3" s="66" t="s">
        <v>0</v>
      </c>
      <c r="D3" s="63"/>
      <c r="E3" s="67"/>
      <c r="F3" s="63"/>
      <c r="G3" s="68"/>
      <c r="H3" s="64"/>
      <c r="I3" s="69"/>
      <c r="J3" s="70"/>
      <c r="K3" s="64"/>
      <c r="L3" s="71"/>
      <c r="M3" s="71"/>
      <c r="N3" s="64"/>
      <c r="O3" s="72"/>
      <c r="P3" s="63"/>
      <c r="Q3" s="63"/>
      <c r="R3" s="63"/>
      <c r="S3" s="63"/>
    </row>
    <row r="4" spans="1:21" ht="18">
      <c r="A4" s="65"/>
      <c r="C4" s="73" t="s">
        <v>1</v>
      </c>
      <c r="D4" s="63"/>
      <c r="E4" s="64"/>
      <c r="F4" s="63"/>
      <c r="G4" s="74"/>
      <c r="H4" s="75"/>
      <c r="I4" s="76"/>
      <c r="J4" s="77" t="s">
        <v>27</v>
      </c>
      <c r="K4" s="75"/>
      <c r="L4" s="78"/>
      <c r="M4" s="79"/>
      <c r="N4" s="64" t="s">
        <v>1724</v>
      </c>
      <c r="O4" s="72"/>
      <c r="P4" s="80"/>
      <c r="Q4" s="63"/>
      <c r="R4" s="63"/>
      <c r="S4" s="63"/>
    </row>
    <row r="5" spans="1:21" s="1" customFormat="1" ht="51">
      <c r="A5" s="81"/>
      <c r="B5" s="82" t="s">
        <v>28</v>
      </c>
      <c r="C5" s="82" t="s">
        <v>29</v>
      </c>
      <c r="D5" s="82" t="s">
        <v>30</v>
      </c>
      <c r="E5" s="82" t="s">
        <v>31</v>
      </c>
      <c r="F5" s="83" t="s">
        <v>32</v>
      </c>
      <c r="G5" s="82" t="s">
        <v>33</v>
      </c>
      <c r="H5" s="82" t="s">
        <v>34</v>
      </c>
      <c r="I5" s="82" t="s">
        <v>35</v>
      </c>
      <c r="J5" s="82" t="s">
        <v>36</v>
      </c>
      <c r="K5" s="82" t="s">
        <v>37</v>
      </c>
      <c r="L5" s="84" t="s">
        <v>38</v>
      </c>
      <c r="M5" s="84" t="s">
        <v>39</v>
      </c>
      <c r="N5" s="82" t="s">
        <v>40</v>
      </c>
      <c r="O5" s="85" t="s">
        <v>41</v>
      </c>
      <c r="P5" s="82" t="s">
        <v>42</v>
      </c>
      <c r="Q5" s="82" t="s">
        <v>43</v>
      </c>
      <c r="R5" s="82" t="s">
        <v>22</v>
      </c>
      <c r="S5" s="82" t="s">
        <v>23</v>
      </c>
      <c r="T5" s="82" t="s">
        <v>44</v>
      </c>
      <c r="U5" s="82" t="s">
        <v>45</v>
      </c>
    </row>
    <row r="6" spans="1:21" s="134" customFormat="1" ht="19">
      <c r="A6" s="134">
        <v>1</v>
      </c>
      <c r="B6" s="135">
        <v>45854</v>
      </c>
      <c r="C6" s="135" t="s">
        <v>1032</v>
      </c>
      <c r="D6" s="135" t="s">
        <v>1034</v>
      </c>
      <c r="E6" s="136">
        <v>112580027</v>
      </c>
      <c r="F6" s="137" t="str">
        <f t="shared" ref="F6:F69" si="0">VLOOKUP(E6,PROD,2,FALSE)</f>
        <v>GBC 75030 KBB CRISTAL COCINA GAS</v>
      </c>
      <c r="G6" s="138" t="s">
        <v>1036</v>
      </c>
      <c r="H6" s="139" t="s">
        <v>24</v>
      </c>
      <c r="I6" s="139" t="s">
        <v>46</v>
      </c>
      <c r="J6" s="139" t="s">
        <v>47</v>
      </c>
      <c r="K6" s="152">
        <v>45953</v>
      </c>
      <c r="L6" s="135" t="s">
        <v>1038</v>
      </c>
      <c r="M6" s="135" t="s">
        <v>1039</v>
      </c>
      <c r="N6" s="140">
        <v>997270444</v>
      </c>
      <c r="O6" s="141">
        <v>20</v>
      </c>
      <c r="P6" s="139" t="s">
        <v>48</v>
      </c>
      <c r="Q6" s="139" t="s">
        <v>46</v>
      </c>
      <c r="R6" s="142"/>
      <c r="S6" s="138" t="str">
        <f>D6</f>
        <v>001-500-000075062</v>
      </c>
      <c r="T6" s="145" t="s">
        <v>1040</v>
      </c>
      <c r="U6" s="86" t="s">
        <v>1041</v>
      </c>
    </row>
    <row r="7" spans="1:21" s="134" customFormat="1" ht="19">
      <c r="A7" s="134">
        <v>2</v>
      </c>
      <c r="B7" s="135">
        <v>45678</v>
      </c>
      <c r="C7" s="135" t="s">
        <v>1033</v>
      </c>
      <c r="D7" s="135" t="s">
        <v>1035</v>
      </c>
      <c r="E7" s="136">
        <v>40483182</v>
      </c>
      <c r="F7" s="137" t="str">
        <f t="shared" si="0"/>
        <v>CUERPO DPL ISLA 1180</v>
      </c>
      <c r="G7" s="138" t="s">
        <v>1037</v>
      </c>
      <c r="H7" s="139" t="s">
        <v>24</v>
      </c>
      <c r="I7" s="139" t="s">
        <v>46</v>
      </c>
      <c r="J7" s="139" t="s">
        <v>47</v>
      </c>
      <c r="K7" s="152">
        <v>45953</v>
      </c>
      <c r="L7" s="135" t="s">
        <v>1038</v>
      </c>
      <c r="M7" s="135" t="s">
        <v>1039</v>
      </c>
      <c r="N7" s="140">
        <v>997270444</v>
      </c>
      <c r="O7" s="141">
        <v>30</v>
      </c>
      <c r="P7" s="139" t="s">
        <v>48</v>
      </c>
      <c r="Q7" s="139" t="s">
        <v>46</v>
      </c>
      <c r="R7" s="142"/>
      <c r="S7" s="138" t="str">
        <f>D7</f>
        <v>017-901-000110461</v>
      </c>
      <c r="T7" s="145" t="s">
        <v>1040</v>
      </c>
      <c r="U7" s="86" t="s">
        <v>1041</v>
      </c>
    </row>
    <row r="8" spans="1:21" s="134" customFormat="1" ht="19">
      <c r="A8" s="134">
        <v>3</v>
      </c>
      <c r="B8" s="135">
        <v>45874</v>
      </c>
      <c r="C8" s="135" t="s">
        <v>1032</v>
      </c>
      <c r="D8" s="135" t="s">
        <v>1042</v>
      </c>
      <c r="E8" s="136">
        <v>112610067</v>
      </c>
      <c r="F8" s="137" t="str">
        <f t="shared" si="0"/>
        <v>GSC 96320 XBA IX (LAT) COCINA INOX</v>
      </c>
      <c r="G8" s="138" t="s">
        <v>1043</v>
      </c>
      <c r="H8" s="139" t="s">
        <v>24</v>
      </c>
      <c r="I8" s="139" t="s">
        <v>46</v>
      </c>
      <c r="J8" s="139" t="s">
        <v>47</v>
      </c>
      <c r="K8" s="152">
        <v>45953</v>
      </c>
      <c r="L8" s="135" t="s">
        <v>1045</v>
      </c>
      <c r="M8" s="135" t="s">
        <v>1046</v>
      </c>
      <c r="N8" s="140">
        <v>991381982</v>
      </c>
      <c r="O8" s="141">
        <v>20</v>
      </c>
      <c r="P8" s="139" t="s">
        <v>48</v>
      </c>
      <c r="Q8" s="139" t="s">
        <v>46</v>
      </c>
      <c r="R8" s="142"/>
      <c r="S8" s="138" t="str">
        <f t="shared" ref="S8" si="1">D8</f>
        <v>001-500-000075701</v>
      </c>
      <c r="T8" s="145" t="s">
        <v>1047</v>
      </c>
      <c r="U8" s="86" t="s">
        <v>1048</v>
      </c>
    </row>
    <row r="9" spans="1:21" s="134" customFormat="1" ht="19">
      <c r="A9" s="134">
        <v>4</v>
      </c>
      <c r="B9" s="135">
        <v>45874</v>
      </c>
      <c r="C9" s="135" t="s">
        <v>1032</v>
      </c>
      <c r="D9" s="135" t="s">
        <v>1042</v>
      </c>
      <c r="E9" s="139">
        <v>40590830</v>
      </c>
      <c r="F9" s="137" t="str">
        <f t="shared" si="0"/>
        <v>MWG 11X - MICROONDAS</v>
      </c>
      <c r="G9" s="138" t="s">
        <v>1044</v>
      </c>
      <c r="H9" s="139" t="s">
        <v>24</v>
      </c>
      <c r="I9" s="139" t="s">
        <v>46</v>
      </c>
      <c r="J9" s="139" t="s">
        <v>47</v>
      </c>
      <c r="K9" s="152">
        <v>45953</v>
      </c>
      <c r="L9" s="135" t="s">
        <v>1045</v>
      </c>
      <c r="M9" s="135" t="s">
        <v>1046</v>
      </c>
      <c r="N9" s="140">
        <v>991381982</v>
      </c>
      <c r="O9" s="141">
        <v>20</v>
      </c>
      <c r="P9" s="139" t="s">
        <v>48</v>
      </c>
      <c r="Q9" s="139" t="s">
        <v>46</v>
      </c>
      <c r="R9" s="142"/>
      <c r="S9" s="138" t="str">
        <f t="shared" ref="S9" si="2">D9</f>
        <v>001-500-000075701</v>
      </c>
      <c r="T9" s="145" t="s">
        <v>1047</v>
      </c>
      <c r="U9" s="86" t="s">
        <v>1048</v>
      </c>
    </row>
    <row r="10" spans="1:21" s="134" customFormat="1" ht="19">
      <c r="A10" s="134">
        <v>5</v>
      </c>
      <c r="B10" s="135">
        <v>45853</v>
      </c>
      <c r="C10" s="138" t="s">
        <v>1032</v>
      </c>
      <c r="D10" s="138" t="s">
        <v>1049</v>
      </c>
      <c r="E10" s="139">
        <v>112030019</v>
      </c>
      <c r="F10" s="137" t="str">
        <f t="shared" si="0"/>
        <v>ML 8220 BIS FBK- MICROONDAS</v>
      </c>
      <c r="G10" s="138" t="s">
        <v>1050</v>
      </c>
      <c r="H10" s="139" t="s">
        <v>24</v>
      </c>
      <c r="I10" s="139" t="s">
        <v>46</v>
      </c>
      <c r="J10" s="139" t="s">
        <v>47</v>
      </c>
      <c r="K10" s="152">
        <v>45953</v>
      </c>
      <c r="L10" s="144" t="s">
        <v>1054</v>
      </c>
      <c r="M10" s="144" t="s">
        <v>1055</v>
      </c>
      <c r="N10" s="138">
        <v>995437662</v>
      </c>
      <c r="O10" s="141">
        <v>15</v>
      </c>
      <c r="P10" s="139" t="s">
        <v>48</v>
      </c>
      <c r="Q10" s="139" t="s">
        <v>46</v>
      </c>
      <c r="R10" s="142"/>
      <c r="S10" s="138" t="str">
        <f t="shared" ref="S10:S28" si="3">D10</f>
        <v>001-502-000000381</v>
      </c>
      <c r="T10" s="145" t="s">
        <v>1056</v>
      </c>
      <c r="U10" s="86" t="s">
        <v>1057</v>
      </c>
    </row>
    <row r="11" spans="1:21" s="134" customFormat="1" ht="19">
      <c r="A11" s="134">
        <v>6</v>
      </c>
      <c r="B11" s="135">
        <v>45853</v>
      </c>
      <c r="C11" s="138" t="s">
        <v>1032</v>
      </c>
      <c r="D11" s="138" t="s">
        <v>1049</v>
      </c>
      <c r="E11" s="136">
        <v>111000059</v>
      </c>
      <c r="F11" s="137" t="str">
        <f t="shared" si="0"/>
        <v>HLB 85-G1 P BM Maestro Pizza</v>
      </c>
      <c r="G11" s="138" t="s">
        <v>1051</v>
      </c>
      <c r="H11" s="139" t="s">
        <v>24</v>
      </c>
      <c r="I11" s="139" t="s">
        <v>46</v>
      </c>
      <c r="J11" s="139" t="s">
        <v>47</v>
      </c>
      <c r="K11" s="152">
        <v>45953</v>
      </c>
      <c r="L11" s="144" t="s">
        <v>1054</v>
      </c>
      <c r="M11" s="144" t="s">
        <v>1055</v>
      </c>
      <c r="N11" s="138">
        <v>995437662</v>
      </c>
      <c r="O11" s="141">
        <v>15</v>
      </c>
      <c r="P11" s="139" t="s">
        <v>48</v>
      </c>
      <c r="Q11" s="139" t="s">
        <v>46</v>
      </c>
      <c r="R11" s="142"/>
      <c r="S11" s="138" t="str">
        <f t="shared" ref="S11:S13" si="4">D11</f>
        <v>001-502-000000381</v>
      </c>
      <c r="T11" s="145" t="s">
        <v>1056</v>
      </c>
      <c r="U11" s="86" t="s">
        <v>1057</v>
      </c>
    </row>
    <row r="12" spans="1:21" s="134" customFormat="1" ht="19">
      <c r="A12" s="134">
        <v>7</v>
      </c>
      <c r="B12" s="135">
        <v>45853</v>
      </c>
      <c r="C12" s="138" t="s">
        <v>1032</v>
      </c>
      <c r="D12" s="138" t="s">
        <v>1049</v>
      </c>
      <c r="E12" s="139">
        <v>40446712</v>
      </c>
      <c r="F12" s="137" t="str">
        <f t="shared" si="0"/>
        <v>GFH 73 INOX CAMPANA (110V-60HZ) C/KIT</v>
      </c>
      <c r="G12" s="138" t="s">
        <v>1052</v>
      </c>
      <c r="H12" s="139" t="s">
        <v>24</v>
      </c>
      <c r="I12" s="139" t="s">
        <v>46</v>
      </c>
      <c r="J12" s="139" t="s">
        <v>47</v>
      </c>
      <c r="K12" s="152">
        <v>45953</v>
      </c>
      <c r="L12" s="144" t="s">
        <v>1054</v>
      </c>
      <c r="M12" s="144" t="s">
        <v>1055</v>
      </c>
      <c r="N12" s="138">
        <v>995437662</v>
      </c>
      <c r="O12" s="141">
        <v>15</v>
      </c>
      <c r="P12" s="139" t="s">
        <v>48</v>
      </c>
      <c r="Q12" s="139" t="s">
        <v>46</v>
      </c>
      <c r="R12" s="142"/>
      <c r="S12" s="138" t="str">
        <f t="shared" si="4"/>
        <v>001-502-000000381</v>
      </c>
      <c r="T12" s="145" t="s">
        <v>1056</v>
      </c>
      <c r="U12" s="86" t="s">
        <v>1057</v>
      </c>
    </row>
    <row r="13" spans="1:21" s="134" customFormat="1" ht="19">
      <c r="A13" s="134">
        <v>8</v>
      </c>
      <c r="B13" s="135">
        <v>45853</v>
      </c>
      <c r="C13" s="138" t="s">
        <v>1032</v>
      </c>
      <c r="D13" s="138" t="s">
        <v>1049</v>
      </c>
      <c r="E13" s="139">
        <v>112580058</v>
      </c>
      <c r="F13" s="137" t="str">
        <f t="shared" si="0"/>
        <v>GBC 95030 KBB BK COCINA GAS</v>
      </c>
      <c r="G13" s="138" t="s">
        <v>1053</v>
      </c>
      <c r="H13" s="139" t="s">
        <v>24</v>
      </c>
      <c r="I13" s="139" t="s">
        <v>46</v>
      </c>
      <c r="J13" s="139" t="s">
        <v>47</v>
      </c>
      <c r="K13" s="152">
        <v>45953</v>
      </c>
      <c r="L13" s="144" t="s">
        <v>1054</v>
      </c>
      <c r="M13" s="144" t="s">
        <v>1055</v>
      </c>
      <c r="N13" s="138">
        <v>995437662</v>
      </c>
      <c r="O13" s="141">
        <v>15</v>
      </c>
      <c r="P13" s="139" t="s">
        <v>48</v>
      </c>
      <c r="Q13" s="139" t="s">
        <v>46</v>
      </c>
      <c r="R13" s="142"/>
      <c r="S13" s="138" t="str">
        <f t="shared" si="4"/>
        <v>001-502-000000381</v>
      </c>
      <c r="T13" s="145" t="s">
        <v>1056</v>
      </c>
      <c r="U13" s="86" t="s">
        <v>1057</v>
      </c>
    </row>
    <row r="14" spans="1:21" s="134" customFormat="1" ht="19">
      <c r="A14" s="134">
        <v>9</v>
      </c>
      <c r="B14" s="153">
        <v>45884</v>
      </c>
      <c r="C14" s="138" t="s">
        <v>1033</v>
      </c>
      <c r="D14" s="138" t="s">
        <v>1058</v>
      </c>
      <c r="E14" s="139">
        <v>111000051</v>
      </c>
      <c r="F14" s="137" t="str">
        <f t="shared" si="0"/>
        <v>HLB 8416 "AIR FRY" - HORNO ELEC</v>
      </c>
      <c r="G14" s="138" t="s">
        <v>1059</v>
      </c>
      <c r="H14" s="139" t="s">
        <v>24</v>
      </c>
      <c r="I14" s="139" t="s">
        <v>46</v>
      </c>
      <c r="J14" s="139" t="s">
        <v>47</v>
      </c>
      <c r="K14" s="152">
        <v>45953</v>
      </c>
      <c r="L14" s="144" t="s">
        <v>1062</v>
      </c>
      <c r="M14" s="144" t="s">
        <v>1063</v>
      </c>
      <c r="N14" s="138">
        <v>987688969</v>
      </c>
      <c r="O14" s="141">
        <v>15</v>
      </c>
      <c r="P14" s="139" t="s">
        <v>48</v>
      </c>
      <c r="Q14" s="139" t="s">
        <v>46</v>
      </c>
      <c r="R14" s="142"/>
      <c r="S14" s="138" t="str">
        <f t="shared" ref="S14" si="5">D14</f>
        <v>043-905-000089006</v>
      </c>
      <c r="T14" s="145" t="s">
        <v>1064</v>
      </c>
      <c r="U14" s="86" t="s">
        <v>1065</v>
      </c>
    </row>
    <row r="15" spans="1:21" s="134" customFormat="1" ht="19">
      <c r="A15" s="134">
        <v>10</v>
      </c>
      <c r="B15" s="153">
        <v>45884</v>
      </c>
      <c r="C15" s="138" t="s">
        <v>1033</v>
      </c>
      <c r="D15" s="138" t="s">
        <v>1058</v>
      </c>
      <c r="E15" s="139">
        <v>40584202</v>
      </c>
      <c r="F15" s="137" t="str">
        <f t="shared" si="0"/>
        <v>ML 820 BIS - MICROONDAS</v>
      </c>
      <c r="G15" s="138" t="s">
        <v>1060</v>
      </c>
      <c r="H15" s="139" t="s">
        <v>24</v>
      </c>
      <c r="I15" s="139" t="s">
        <v>46</v>
      </c>
      <c r="J15" s="139" t="s">
        <v>47</v>
      </c>
      <c r="K15" s="152">
        <v>45953</v>
      </c>
      <c r="L15" s="144" t="s">
        <v>1062</v>
      </c>
      <c r="M15" s="144" t="s">
        <v>1063</v>
      </c>
      <c r="N15" s="138">
        <v>987688969</v>
      </c>
      <c r="O15" s="141">
        <v>15</v>
      </c>
      <c r="P15" s="139" t="s">
        <v>48</v>
      </c>
      <c r="Q15" s="139" t="s">
        <v>46</v>
      </c>
      <c r="R15" s="142"/>
      <c r="S15" s="138" t="str">
        <f t="shared" ref="S15:S17" si="6">D15</f>
        <v>043-905-000089006</v>
      </c>
      <c r="T15" s="145" t="s">
        <v>1064</v>
      </c>
      <c r="U15" s="86" t="s">
        <v>1065</v>
      </c>
    </row>
    <row r="16" spans="1:21" s="134" customFormat="1" ht="19">
      <c r="A16" s="134">
        <v>11</v>
      </c>
      <c r="B16" s="153">
        <v>45884</v>
      </c>
      <c r="C16" s="138" t="s">
        <v>1033</v>
      </c>
      <c r="D16" s="138" t="s">
        <v>1058</v>
      </c>
      <c r="E16" s="139">
        <v>112500046</v>
      </c>
      <c r="F16" s="137" t="str">
        <f t="shared" si="0"/>
        <v>IZF 88700 MST COCINA INDUCCION</v>
      </c>
      <c r="G16" s="138" t="s">
        <v>1061</v>
      </c>
      <c r="H16" s="139" t="s">
        <v>24</v>
      </c>
      <c r="I16" s="139" t="s">
        <v>46</v>
      </c>
      <c r="J16" s="139" t="s">
        <v>47</v>
      </c>
      <c r="K16" s="152">
        <v>45953</v>
      </c>
      <c r="L16" s="144" t="s">
        <v>1062</v>
      </c>
      <c r="M16" s="144" t="s">
        <v>1063</v>
      </c>
      <c r="N16" s="138">
        <v>987688969</v>
      </c>
      <c r="O16" s="141">
        <v>15</v>
      </c>
      <c r="P16" s="139" t="s">
        <v>48</v>
      </c>
      <c r="Q16" s="139" t="s">
        <v>46</v>
      </c>
      <c r="R16" s="142"/>
      <c r="S16" s="138" t="str">
        <f t="shared" si="6"/>
        <v>043-905-000089006</v>
      </c>
      <c r="T16" s="145" t="s">
        <v>1064</v>
      </c>
      <c r="U16" s="86" t="s">
        <v>1065</v>
      </c>
    </row>
    <row r="17" spans="1:21" s="134" customFormat="1" ht="19">
      <c r="A17" s="134">
        <v>12</v>
      </c>
      <c r="B17" s="153" t="s">
        <v>1066</v>
      </c>
      <c r="C17" s="138" t="s">
        <v>1067</v>
      </c>
      <c r="D17" s="138" t="s">
        <v>1068</v>
      </c>
      <c r="E17" s="139">
        <v>111000030</v>
      </c>
      <c r="F17" s="137" t="str">
        <f t="shared" si="0"/>
        <v>STEAKMASTER - HORNO ELEC</v>
      </c>
      <c r="G17" s="138" t="s">
        <v>1069</v>
      </c>
      <c r="H17" s="139" t="s">
        <v>24</v>
      </c>
      <c r="I17" s="139" t="s">
        <v>46</v>
      </c>
      <c r="J17" s="139" t="s">
        <v>47</v>
      </c>
      <c r="K17" s="152">
        <v>45953</v>
      </c>
      <c r="L17" s="213" t="s">
        <v>1070</v>
      </c>
      <c r="M17" s="144" t="s">
        <v>1071</v>
      </c>
      <c r="N17" s="138">
        <v>999333592</v>
      </c>
      <c r="O17" s="141">
        <v>20</v>
      </c>
      <c r="P17" s="139" t="s">
        <v>48</v>
      </c>
      <c r="Q17" s="139" t="s">
        <v>46</v>
      </c>
      <c r="R17" s="142"/>
      <c r="S17" s="138" t="str">
        <f t="shared" si="6"/>
        <v>040-103-000016648</v>
      </c>
      <c r="T17" s="145" t="s">
        <v>1072</v>
      </c>
      <c r="U17" s="86" t="s">
        <v>1073</v>
      </c>
    </row>
    <row r="18" spans="1:21" s="134" customFormat="1" ht="20">
      <c r="A18" s="134">
        <v>13</v>
      </c>
      <c r="B18" s="153" t="s">
        <v>1066</v>
      </c>
      <c r="C18" s="138" t="s">
        <v>1067</v>
      </c>
      <c r="D18" s="138" t="s">
        <v>1068</v>
      </c>
      <c r="E18" s="139">
        <v>112500046</v>
      </c>
      <c r="F18" s="137" t="str">
        <f t="shared" si="0"/>
        <v>IZF 88700 MST COCINA INDUCCION</v>
      </c>
      <c r="G18" s="146" t="s">
        <v>1075</v>
      </c>
      <c r="H18" s="139" t="s">
        <v>24</v>
      </c>
      <c r="I18" s="139" t="s">
        <v>46</v>
      </c>
      <c r="J18" s="139" t="s">
        <v>47</v>
      </c>
      <c r="K18" s="152">
        <v>45953</v>
      </c>
      <c r="L18" s="213" t="s">
        <v>1070</v>
      </c>
      <c r="M18" s="144" t="s">
        <v>1071</v>
      </c>
      <c r="N18" s="138">
        <v>999333592</v>
      </c>
      <c r="O18" s="141">
        <v>20</v>
      </c>
      <c r="P18" s="139" t="s">
        <v>48</v>
      </c>
      <c r="Q18" s="139" t="s">
        <v>46</v>
      </c>
      <c r="R18" s="142"/>
      <c r="S18" s="138" t="str">
        <f t="shared" ref="S18" si="7">D18</f>
        <v>040-103-000016648</v>
      </c>
      <c r="T18" s="145" t="s">
        <v>1072</v>
      </c>
      <c r="U18" s="86" t="s">
        <v>1073</v>
      </c>
    </row>
    <row r="19" spans="1:21" s="134" customFormat="1" ht="19">
      <c r="A19" s="134">
        <v>14</v>
      </c>
      <c r="B19" s="153">
        <v>45941</v>
      </c>
      <c r="C19" s="138" t="s">
        <v>1067</v>
      </c>
      <c r="D19" s="138" t="s">
        <v>1074</v>
      </c>
      <c r="E19" s="139">
        <v>40584202</v>
      </c>
      <c r="F19" s="137" t="str">
        <f t="shared" si="0"/>
        <v>ML 820 BIS - MICROONDAS</v>
      </c>
      <c r="G19" s="138" t="s">
        <v>1076</v>
      </c>
      <c r="H19" s="139" t="s">
        <v>24</v>
      </c>
      <c r="I19" s="139" t="s">
        <v>46</v>
      </c>
      <c r="J19" s="139" t="s">
        <v>47</v>
      </c>
      <c r="K19" s="143">
        <v>45954</v>
      </c>
      <c r="L19" s="144" t="s">
        <v>1077</v>
      </c>
      <c r="M19" s="144" t="s">
        <v>1078</v>
      </c>
      <c r="N19" s="138">
        <v>984378517</v>
      </c>
      <c r="O19" s="141">
        <v>20</v>
      </c>
      <c r="P19" s="139" t="s">
        <v>48</v>
      </c>
      <c r="Q19" s="139" t="s">
        <v>46</v>
      </c>
      <c r="R19" s="142"/>
      <c r="S19" s="138" t="str">
        <f t="shared" ref="S19" si="8">D19</f>
        <v>040-104-000014000</v>
      </c>
      <c r="T19" s="145" t="s">
        <v>1079</v>
      </c>
      <c r="U19" s="86" t="s">
        <v>1080</v>
      </c>
    </row>
    <row r="20" spans="1:21" s="134" customFormat="1" ht="19">
      <c r="A20" s="134">
        <v>15</v>
      </c>
      <c r="B20" s="153">
        <v>45941</v>
      </c>
      <c r="C20" s="138" t="s">
        <v>1067</v>
      </c>
      <c r="D20" s="138" t="s">
        <v>1074</v>
      </c>
      <c r="E20" s="139">
        <v>41560061</v>
      </c>
      <c r="F20" s="137" t="str">
        <f t="shared" si="0"/>
        <v>HLB 830 INOX HORNO ELEC</v>
      </c>
      <c r="G20" s="138" t="s">
        <v>1081</v>
      </c>
      <c r="H20" s="139" t="s">
        <v>24</v>
      </c>
      <c r="I20" s="139" t="s">
        <v>46</v>
      </c>
      <c r="J20" s="139" t="s">
        <v>47</v>
      </c>
      <c r="K20" s="143">
        <v>45954</v>
      </c>
      <c r="L20" s="144" t="s">
        <v>1077</v>
      </c>
      <c r="M20" s="144" t="s">
        <v>1078</v>
      </c>
      <c r="N20" s="138">
        <v>984378517</v>
      </c>
      <c r="O20" s="141">
        <v>20</v>
      </c>
      <c r="P20" s="139" t="s">
        <v>48</v>
      </c>
      <c r="Q20" s="139" t="s">
        <v>46</v>
      </c>
      <c r="R20" s="142"/>
      <c r="S20" s="138" t="str">
        <f t="shared" ref="S20" si="9">D20</f>
        <v>040-104-000014000</v>
      </c>
      <c r="T20" s="145" t="s">
        <v>1079</v>
      </c>
      <c r="U20" s="86" t="s">
        <v>1080</v>
      </c>
    </row>
    <row r="21" spans="1:21" s="134" customFormat="1" ht="19">
      <c r="A21" s="134">
        <v>16</v>
      </c>
      <c r="B21" s="153">
        <v>45933</v>
      </c>
      <c r="C21" s="138" t="s">
        <v>1033</v>
      </c>
      <c r="D21" s="138" t="s">
        <v>1163</v>
      </c>
      <c r="E21" s="139">
        <v>112030019</v>
      </c>
      <c r="F21" s="137" t="str">
        <f t="shared" si="0"/>
        <v>ML 8220 BIS FBK- MICROONDAS</v>
      </c>
      <c r="G21" s="138" t="s">
        <v>1164</v>
      </c>
      <c r="H21" s="139" t="s">
        <v>24</v>
      </c>
      <c r="I21" s="139" t="s">
        <v>46</v>
      </c>
      <c r="J21" s="139" t="s">
        <v>47</v>
      </c>
      <c r="K21" s="143">
        <v>45954</v>
      </c>
      <c r="L21" s="144" t="s">
        <v>1167</v>
      </c>
      <c r="M21" s="144" t="s">
        <v>1168</v>
      </c>
      <c r="N21" s="138">
        <v>998266357</v>
      </c>
      <c r="O21" s="141">
        <v>15</v>
      </c>
      <c r="P21" s="139" t="s">
        <v>48</v>
      </c>
      <c r="Q21" s="139" t="s">
        <v>46</v>
      </c>
      <c r="R21" s="142"/>
      <c r="S21" s="138" t="str">
        <f t="shared" ref="S21" si="10">D21</f>
        <v>043-401-000032447</v>
      </c>
      <c r="T21" s="145" t="s">
        <v>1169</v>
      </c>
      <c r="U21" s="86" t="s">
        <v>1170</v>
      </c>
    </row>
    <row r="22" spans="1:21" s="134" customFormat="1" ht="19">
      <c r="A22" s="134">
        <v>17</v>
      </c>
      <c r="B22" s="153">
        <v>45933</v>
      </c>
      <c r="C22" s="138" t="s">
        <v>1033</v>
      </c>
      <c r="D22" s="138" t="s">
        <v>1163</v>
      </c>
      <c r="E22" s="139">
        <v>111000051</v>
      </c>
      <c r="F22" s="137" t="str">
        <f t="shared" si="0"/>
        <v>HLB 8416 "AIR FRY" - HORNO ELEC</v>
      </c>
      <c r="G22" s="138" t="s">
        <v>1165</v>
      </c>
      <c r="H22" s="139" t="s">
        <v>24</v>
      </c>
      <c r="I22" s="139" t="s">
        <v>46</v>
      </c>
      <c r="J22" s="139" t="s">
        <v>47</v>
      </c>
      <c r="K22" s="143">
        <v>45954</v>
      </c>
      <c r="L22" s="144" t="s">
        <v>1167</v>
      </c>
      <c r="M22" s="144" t="s">
        <v>1168</v>
      </c>
      <c r="N22" s="138">
        <v>998266357</v>
      </c>
      <c r="O22" s="141">
        <v>15</v>
      </c>
      <c r="P22" s="139" t="s">
        <v>48</v>
      </c>
      <c r="Q22" s="139" t="s">
        <v>46</v>
      </c>
      <c r="R22" s="142"/>
      <c r="S22" s="138" t="str">
        <f t="shared" ref="S22:S23" si="11">D22</f>
        <v>043-401-000032447</v>
      </c>
      <c r="T22" s="145" t="s">
        <v>1169</v>
      </c>
      <c r="U22" s="86" t="s">
        <v>1170</v>
      </c>
    </row>
    <row r="23" spans="1:21" s="134" customFormat="1" ht="19">
      <c r="A23" s="134">
        <v>18</v>
      </c>
      <c r="B23" s="153">
        <v>45933</v>
      </c>
      <c r="C23" s="138" t="s">
        <v>1033</v>
      </c>
      <c r="D23" s="138" t="s">
        <v>1163</v>
      </c>
      <c r="E23" s="139">
        <v>113120010</v>
      </c>
      <c r="F23" s="137" t="str">
        <f t="shared" si="0"/>
        <v>GFI 97350 ECS IX 110/60 CAMPANA</v>
      </c>
      <c r="G23" s="138" t="s">
        <v>1166</v>
      </c>
      <c r="H23" s="139" t="s">
        <v>24</v>
      </c>
      <c r="I23" s="139" t="s">
        <v>46</v>
      </c>
      <c r="J23" s="139" t="s">
        <v>47</v>
      </c>
      <c r="K23" s="143">
        <v>45954</v>
      </c>
      <c r="L23" s="144" t="s">
        <v>1167</v>
      </c>
      <c r="M23" s="144" t="s">
        <v>1168</v>
      </c>
      <c r="N23" s="138">
        <v>998266357</v>
      </c>
      <c r="O23" s="141">
        <v>15</v>
      </c>
      <c r="P23" s="139" t="s">
        <v>48</v>
      </c>
      <c r="Q23" s="139" t="s">
        <v>46</v>
      </c>
      <c r="R23" s="142"/>
      <c r="S23" s="138" t="str">
        <f t="shared" si="11"/>
        <v>043-401-000032447</v>
      </c>
      <c r="T23" s="145" t="s">
        <v>1169</v>
      </c>
      <c r="U23" s="86" t="s">
        <v>1170</v>
      </c>
    </row>
    <row r="24" spans="1:21" s="134" customFormat="1" ht="19">
      <c r="A24" s="134">
        <v>19</v>
      </c>
      <c r="B24" s="153">
        <v>45944</v>
      </c>
      <c r="C24" s="138" t="s">
        <v>1033</v>
      </c>
      <c r="D24" s="138" t="s">
        <v>1171</v>
      </c>
      <c r="E24" s="139">
        <v>40446702</v>
      </c>
      <c r="F24" s="137" t="str">
        <f t="shared" si="0"/>
        <v>GFH 55 INOX CAMPANA (110V-60HZ) C/KIT</v>
      </c>
      <c r="G24" s="138" t="s">
        <v>1172</v>
      </c>
      <c r="H24" s="139" t="s">
        <v>24</v>
      </c>
      <c r="I24" s="139" t="s">
        <v>46</v>
      </c>
      <c r="J24" s="139" t="s">
        <v>47</v>
      </c>
      <c r="K24" s="143">
        <v>45957</v>
      </c>
      <c r="L24" s="144" t="s">
        <v>1176</v>
      </c>
      <c r="M24" s="144" t="s">
        <v>1177</v>
      </c>
      <c r="N24" s="138">
        <v>999896010</v>
      </c>
      <c r="O24" s="141">
        <v>15</v>
      </c>
      <c r="P24" s="139" t="s">
        <v>48</v>
      </c>
      <c r="Q24" s="139" t="s">
        <v>46</v>
      </c>
      <c r="R24" s="142"/>
      <c r="S24" s="138" t="str">
        <f t="shared" ref="S24" si="12">D24</f>
        <v>026-906-000111007</v>
      </c>
      <c r="T24" s="145" t="s">
        <v>1178</v>
      </c>
      <c r="U24" s="86" t="s">
        <v>1179</v>
      </c>
    </row>
    <row r="25" spans="1:21" s="134" customFormat="1" ht="19">
      <c r="A25" s="134">
        <v>20</v>
      </c>
      <c r="B25" s="153">
        <v>45944</v>
      </c>
      <c r="C25" s="138" t="s">
        <v>1033</v>
      </c>
      <c r="D25" s="138" t="s">
        <v>1171</v>
      </c>
      <c r="E25" s="139">
        <v>40446702</v>
      </c>
      <c r="F25" s="137" t="str">
        <f t="shared" si="0"/>
        <v>GFH 55 INOX CAMPANA (110V-60HZ) C/KIT</v>
      </c>
      <c r="G25" s="138" t="s">
        <v>1173</v>
      </c>
      <c r="H25" s="139" t="s">
        <v>24</v>
      </c>
      <c r="I25" s="139" t="s">
        <v>46</v>
      </c>
      <c r="J25" s="139" t="s">
        <v>47</v>
      </c>
      <c r="K25" s="143">
        <v>45957</v>
      </c>
      <c r="L25" s="144" t="s">
        <v>1176</v>
      </c>
      <c r="M25" s="144" t="s">
        <v>1177</v>
      </c>
      <c r="N25" s="138">
        <v>999896010</v>
      </c>
      <c r="O25" s="141">
        <v>15</v>
      </c>
      <c r="P25" s="139" t="s">
        <v>48</v>
      </c>
      <c r="Q25" s="139" t="s">
        <v>46</v>
      </c>
      <c r="R25" s="142"/>
      <c r="S25" s="138" t="str">
        <f t="shared" ref="S25:S27" si="13">D25</f>
        <v>026-906-000111007</v>
      </c>
      <c r="T25" s="145" t="s">
        <v>1178</v>
      </c>
      <c r="U25" s="86" t="s">
        <v>1179</v>
      </c>
    </row>
    <row r="26" spans="1:21" s="134" customFormat="1" ht="19">
      <c r="A26" s="134">
        <v>21</v>
      </c>
      <c r="B26" s="153">
        <v>45944</v>
      </c>
      <c r="C26" s="138" t="s">
        <v>1033</v>
      </c>
      <c r="D26" s="138" t="s">
        <v>1171</v>
      </c>
      <c r="E26" s="269">
        <v>112580027</v>
      </c>
      <c r="F26" s="137" t="str">
        <f t="shared" si="0"/>
        <v>GBC 75030 KBB CRISTAL COCINA GAS</v>
      </c>
      <c r="G26" s="138" t="s">
        <v>1174</v>
      </c>
      <c r="H26" s="139" t="s">
        <v>24</v>
      </c>
      <c r="I26" s="139" t="s">
        <v>46</v>
      </c>
      <c r="J26" s="139" t="s">
        <v>47</v>
      </c>
      <c r="K26" s="143">
        <v>45957</v>
      </c>
      <c r="L26" s="144" t="s">
        <v>1176</v>
      </c>
      <c r="M26" s="144" t="s">
        <v>1177</v>
      </c>
      <c r="N26" s="138">
        <v>999896010</v>
      </c>
      <c r="O26" s="141">
        <v>15</v>
      </c>
      <c r="P26" s="139" t="s">
        <v>48</v>
      </c>
      <c r="Q26" s="139" t="s">
        <v>46</v>
      </c>
      <c r="R26" s="142"/>
      <c r="S26" s="138" t="str">
        <f t="shared" si="13"/>
        <v>026-906-000111007</v>
      </c>
      <c r="T26" s="145" t="s">
        <v>1178</v>
      </c>
      <c r="U26" s="86" t="s">
        <v>1179</v>
      </c>
    </row>
    <row r="27" spans="1:21" s="134" customFormat="1" ht="19">
      <c r="A27" s="134">
        <v>22</v>
      </c>
      <c r="B27" s="153">
        <v>45944</v>
      </c>
      <c r="C27" s="138" t="s">
        <v>1033</v>
      </c>
      <c r="D27" s="138" t="s">
        <v>1171</v>
      </c>
      <c r="E27" s="269">
        <v>112580027</v>
      </c>
      <c r="F27" s="137" t="str">
        <f t="shared" si="0"/>
        <v>GBC 75030 KBB CRISTAL COCINA GAS</v>
      </c>
      <c r="G27" s="138" t="s">
        <v>1175</v>
      </c>
      <c r="H27" s="139" t="s">
        <v>24</v>
      </c>
      <c r="I27" s="139" t="s">
        <v>46</v>
      </c>
      <c r="J27" s="139" t="s">
        <v>47</v>
      </c>
      <c r="K27" s="143">
        <v>45957</v>
      </c>
      <c r="L27" s="144" t="s">
        <v>1176</v>
      </c>
      <c r="M27" s="144" t="s">
        <v>1177</v>
      </c>
      <c r="N27" s="138">
        <v>999896010</v>
      </c>
      <c r="O27" s="141">
        <v>15</v>
      </c>
      <c r="P27" s="139" t="s">
        <v>48</v>
      </c>
      <c r="Q27" s="139" t="s">
        <v>46</v>
      </c>
      <c r="R27" s="142"/>
      <c r="S27" s="138" t="str">
        <f t="shared" si="13"/>
        <v>026-906-000111007</v>
      </c>
      <c r="T27" s="145" t="s">
        <v>1178</v>
      </c>
      <c r="U27" s="86" t="s">
        <v>1179</v>
      </c>
    </row>
    <row r="28" spans="1:21" s="134" customFormat="1" ht="19">
      <c r="A28" s="134">
        <v>23</v>
      </c>
      <c r="B28" s="153">
        <v>45910</v>
      </c>
      <c r="C28" s="138" t="s">
        <v>1220</v>
      </c>
      <c r="D28" s="138" t="s">
        <v>1221</v>
      </c>
      <c r="E28" s="139">
        <v>40467305</v>
      </c>
      <c r="F28" s="137" t="str">
        <f t="shared" si="0"/>
        <v>C 710 NEGRA CAMPANA (110V-60HZ) C/KIT</v>
      </c>
      <c r="G28" s="138" t="s">
        <v>1222</v>
      </c>
      <c r="H28" s="139" t="s">
        <v>24</v>
      </c>
      <c r="I28" s="139" t="s">
        <v>46</v>
      </c>
      <c r="J28" s="139" t="s">
        <v>47</v>
      </c>
      <c r="K28" s="143">
        <v>45958</v>
      </c>
      <c r="L28" s="144" t="s">
        <v>1223</v>
      </c>
      <c r="M28" s="144" t="s">
        <v>1224</v>
      </c>
      <c r="N28" s="138">
        <v>996109556</v>
      </c>
      <c r="O28" s="141">
        <v>20</v>
      </c>
      <c r="P28" s="139" t="s">
        <v>48</v>
      </c>
      <c r="Q28" s="139" t="s">
        <v>46</v>
      </c>
      <c r="R28" s="142"/>
      <c r="S28" s="138" t="str">
        <f t="shared" si="3"/>
        <v>001-001-000001294</v>
      </c>
      <c r="T28" s="145" t="s">
        <v>1225</v>
      </c>
      <c r="U28" s="86" t="s">
        <v>1226</v>
      </c>
    </row>
    <row r="29" spans="1:21" s="134" customFormat="1" ht="19">
      <c r="A29" s="134">
        <v>24</v>
      </c>
      <c r="B29" s="153">
        <v>45897</v>
      </c>
      <c r="C29" s="138" t="s">
        <v>1220</v>
      </c>
      <c r="D29" s="138" t="s">
        <v>1228</v>
      </c>
      <c r="E29" s="139">
        <v>112570073</v>
      </c>
      <c r="F29" s="137" t="str">
        <f t="shared" si="0"/>
        <v>GZC 96310 XBB CRISTAL COCINA GAS</v>
      </c>
      <c r="G29" s="138" t="s">
        <v>1227</v>
      </c>
      <c r="H29" s="139" t="s">
        <v>24</v>
      </c>
      <c r="I29" s="139" t="s">
        <v>46</v>
      </c>
      <c r="J29" s="139" t="s">
        <v>47</v>
      </c>
      <c r="K29" s="143">
        <v>45958</v>
      </c>
      <c r="L29" s="144" t="s">
        <v>1223</v>
      </c>
      <c r="M29" s="144" t="s">
        <v>1224</v>
      </c>
      <c r="N29" s="138">
        <v>996109556</v>
      </c>
      <c r="O29" s="141">
        <v>20</v>
      </c>
      <c r="P29" s="139" t="s">
        <v>48</v>
      </c>
      <c r="Q29" s="139" t="s">
        <v>46</v>
      </c>
      <c r="R29" s="142"/>
      <c r="S29" s="138" t="str">
        <f t="shared" ref="S29" si="14">D29</f>
        <v>001-001-000001256</v>
      </c>
      <c r="T29" s="145" t="s">
        <v>1225</v>
      </c>
      <c r="U29" s="86" t="s">
        <v>1226</v>
      </c>
    </row>
    <row r="30" spans="1:21" s="134" customFormat="1" ht="19">
      <c r="A30" s="134">
        <v>25</v>
      </c>
      <c r="B30" s="153">
        <v>45776</v>
      </c>
      <c r="C30" s="138" t="s">
        <v>1241</v>
      </c>
      <c r="D30" s="138" t="s">
        <v>1242</v>
      </c>
      <c r="E30" s="139">
        <v>40483183</v>
      </c>
      <c r="F30" s="137" t="str">
        <f t="shared" si="0"/>
        <v>ESTRUCTURA DPL ISLA 1180</v>
      </c>
      <c r="G30" s="138" t="s">
        <v>1243</v>
      </c>
      <c r="H30" s="139" t="s">
        <v>24</v>
      </c>
      <c r="I30" s="139" t="s">
        <v>46</v>
      </c>
      <c r="J30" s="139" t="s">
        <v>47</v>
      </c>
      <c r="K30" s="143">
        <v>45959</v>
      </c>
      <c r="L30" s="144" t="s">
        <v>1248</v>
      </c>
      <c r="M30" s="144" t="s">
        <v>1142</v>
      </c>
      <c r="N30" s="138">
        <v>992667566</v>
      </c>
      <c r="O30" s="141">
        <v>30</v>
      </c>
      <c r="P30" s="139" t="s">
        <v>48</v>
      </c>
      <c r="Q30" s="139" t="s">
        <v>46</v>
      </c>
      <c r="R30" s="142"/>
      <c r="S30" s="138" t="str">
        <f t="shared" ref="S30" si="15">D30</f>
        <v>007-000037229</v>
      </c>
      <c r="T30" s="145" t="s">
        <v>1249</v>
      </c>
      <c r="U30" s="86" t="s">
        <v>1250</v>
      </c>
    </row>
    <row r="31" spans="1:21" s="134" customFormat="1" ht="19">
      <c r="A31" s="134">
        <v>26</v>
      </c>
      <c r="B31" s="153">
        <v>45776</v>
      </c>
      <c r="C31" s="138" t="s">
        <v>1241</v>
      </c>
      <c r="D31" s="138" t="s">
        <v>1242</v>
      </c>
      <c r="E31" s="139">
        <v>112030019</v>
      </c>
      <c r="F31" s="137" t="str">
        <f t="shared" si="0"/>
        <v>ML 8220 BIS FBK- MICROONDAS</v>
      </c>
      <c r="G31" s="138" t="s">
        <v>1244</v>
      </c>
      <c r="H31" s="139" t="s">
        <v>24</v>
      </c>
      <c r="I31" s="139" t="s">
        <v>46</v>
      </c>
      <c r="J31" s="139" t="s">
        <v>47</v>
      </c>
      <c r="K31" s="143">
        <v>45959</v>
      </c>
      <c r="L31" s="144" t="s">
        <v>1248</v>
      </c>
      <c r="M31" s="144" t="s">
        <v>1142</v>
      </c>
      <c r="N31" s="138">
        <v>992667566</v>
      </c>
      <c r="O31" s="141">
        <v>15</v>
      </c>
      <c r="P31" s="139" t="s">
        <v>48</v>
      </c>
      <c r="Q31" s="139" t="s">
        <v>46</v>
      </c>
      <c r="R31" s="142"/>
      <c r="S31" s="138" t="str">
        <f t="shared" ref="S31:S34" si="16">D31</f>
        <v>007-000037229</v>
      </c>
      <c r="T31" s="145" t="s">
        <v>1249</v>
      </c>
      <c r="U31" s="86" t="s">
        <v>1250</v>
      </c>
    </row>
    <row r="32" spans="1:21" s="134" customFormat="1" ht="19">
      <c r="A32" s="134">
        <v>27</v>
      </c>
      <c r="B32" s="153">
        <v>45776</v>
      </c>
      <c r="C32" s="138" t="s">
        <v>1241</v>
      </c>
      <c r="D32" s="138" t="s">
        <v>1242</v>
      </c>
      <c r="E32" s="111">
        <v>112500049</v>
      </c>
      <c r="F32" s="137" t="str">
        <f t="shared" si="0"/>
        <v>IZS 86630 MST COCINA INDUCCION</v>
      </c>
      <c r="G32" s="138" t="s">
        <v>1245</v>
      </c>
      <c r="H32" s="139" t="s">
        <v>24</v>
      </c>
      <c r="I32" s="139" t="s">
        <v>46</v>
      </c>
      <c r="J32" s="139" t="s">
        <v>47</v>
      </c>
      <c r="K32" s="143">
        <v>45959</v>
      </c>
      <c r="L32" s="144" t="s">
        <v>1248</v>
      </c>
      <c r="M32" s="144" t="s">
        <v>1142</v>
      </c>
      <c r="N32" s="138">
        <v>992667566</v>
      </c>
      <c r="O32" s="141">
        <v>15</v>
      </c>
      <c r="P32" s="139" t="s">
        <v>48</v>
      </c>
      <c r="Q32" s="139" t="s">
        <v>46</v>
      </c>
      <c r="R32" s="142"/>
      <c r="S32" s="138" t="str">
        <f t="shared" si="16"/>
        <v>007-000037229</v>
      </c>
      <c r="T32" s="145" t="s">
        <v>1249</v>
      </c>
      <c r="U32" s="86" t="s">
        <v>1250</v>
      </c>
    </row>
    <row r="33" spans="1:21" s="134" customFormat="1" ht="19">
      <c r="A33" s="134">
        <v>28</v>
      </c>
      <c r="B33" s="153">
        <v>45776</v>
      </c>
      <c r="C33" s="138" t="s">
        <v>1241</v>
      </c>
      <c r="D33" s="138" t="s">
        <v>1242</v>
      </c>
      <c r="E33" s="139">
        <v>111000078</v>
      </c>
      <c r="F33" s="137" t="str">
        <f t="shared" si="0"/>
        <v>HLB 8400 FBK HORNO ELEC</v>
      </c>
      <c r="G33" s="138" t="s">
        <v>1246</v>
      </c>
      <c r="H33" s="139" t="s">
        <v>24</v>
      </c>
      <c r="I33" s="139" t="s">
        <v>46</v>
      </c>
      <c r="J33" s="139" t="s">
        <v>47</v>
      </c>
      <c r="K33" s="143">
        <v>45959</v>
      </c>
      <c r="L33" s="144" t="s">
        <v>1248</v>
      </c>
      <c r="M33" s="144" t="s">
        <v>1142</v>
      </c>
      <c r="N33" s="138">
        <v>992667566</v>
      </c>
      <c r="O33" s="141">
        <v>15</v>
      </c>
      <c r="P33" s="139" t="s">
        <v>48</v>
      </c>
      <c r="Q33" s="139" t="s">
        <v>46</v>
      </c>
      <c r="R33" s="142"/>
      <c r="S33" s="138" t="str">
        <f t="shared" si="16"/>
        <v>007-000037229</v>
      </c>
      <c r="T33" s="145" t="s">
        <v>1249</v>
      </c>
      <c r="U33" s="86" t="s">
        <v>1250</v>
      </c>
    </row>
    <row r="34" spans="1:21" s="134" customFormat="1" ht="19">
      <c r="A34" s="134">
        <v>29</v>
      </c>
      <c r="B34" s="153">
        <v>45901</v>
      </c>
      <c r="C34" s="138" t="s">
        <v>1032</v>
      </c>
      <c r="D34" s="138" t="s">
        <v>1251</v>
      </c>
      <c r="E34" s="139">
        <v>112570016</v>
      </c>
      <c r="F34" s="137" t="str">
        <f t="shared" si="0"/>
        <v>GZC 32300 XBB CRISTAL COCINA GAS</v>
      </c>
      <c r="G34" s="138" t="s">
        <v>1247</v>
      </c>
      <c r="H34" s="139" t="s">
        <v>24</v>
      </c>
      <c r="I34" s="139" t="s">
        <v>46</v>
      </c>
      <c r="J34" s="139" t="s">
        <v>47</v>
      </c>
      <c r="K34" s="143">
        <v>45959</v>
      </c>
      <c r="L34" s="144" t="s">
        <v>1248</v>
      </c>
      <c r="M34" s="144" t="s">
        <v>1142</v>
      </c>
      <c r="N34" s="138">
        <v>992667566</v>
      </c>
      <c r="O34" s="141">
        <v>15</v>
      </c>
      <c r="P34" s="139" t="s">
        <v>48</v>
      </c>
      <c r="Q34" s="139" t="s">
        <v>46</v>
      </c>
      <c r="R34" s="142"/>
      <c r="S34" s="138" t="str">
        <f t="shared" si="16"/>
        <v>001-500-000076514</v>
      </c>
      <c r="T34" s="145" t="s">
        <v>1249</v>
      </c>
      <c r="U34" s="86" t="s">
        <v>1250</v>
      </c>
    </row>
    <row r="35" spans="1:21" s="134" customFormat="1" ht="19">
      <c r="A35" s="134">
        <v>30</v>
      </c>
      <c r="B35" s="153">
        <v>45944</v>
      </c>
      <c r="C35" s="138" t="s">
        <v>1252</v>
      </c>
      <c r="D35" s="138" t="s">
        <v>1253</v>
      </c>
      <c r="E35" s="139">
        <v>112580017</v>
      </c>
      <c r="F35" s="137" t="str">
        <f t="shared" si="0"/>
        <v>GBC 64000 KBB CRISTAL COCINA GAS</v>
      </c>
      <c r="G35" s="138" t="s">
        <v>1254</v>
      </c>
      <c r="H35" s="139" t="s">
        <v>24</v>
      </c>
      <c r="I35" s="139" t="s">
        <v>46</v>
      </c>
      <c r="J35" s="139" t="s">
        <v>47</v>
      </c>
      <c r="K35" s="143">
        <v>45960</v>
      </c>
      <c r="L35" s="144" t="s">
        <v>1257</v>
      </c>
      <c r="M35" s="144" t="s">
        <v>1258</v>
      </c>
      <c r="N35" s="138">
        <v>959062680</v>
      </c>
      <c r="O35" s="141">
        <v>15</v>
      </c>
      <c r="P35" s="139" t="s">
        <v>48</v>
      </c>
      <c r="Q35" s="139" t="s">
        <v>46</v>
      </c>
      <c r="R35" s="142"/>
      <c r="S35" s="138" t="str">
        <f t="shared" ref="S35" si="17">D35</f>
        <v>040-103-000016710</v>
      </c>
      <c r="T35" s="145" t="s">
        <v>1259</v>
      </c>
      <c r="U35" s="86" t="s">
        <v>1260</v>
      </c>
    </row>
    <row r="36" spans="1:21" s="134" customFormat="1" ht="19">
      <c r="A36" s="134">
        <v>31</v>
      </c>
      <c r="B36" s="153">
        <v>45944</v>
      </c>
      <c r="C36" s="138" t="s">
        <v>1252</v>
      </c>
      <c r="D36" s="138" t="s">
        <v>1253</v>
      </c>
      <c r="E36" s="139">
        <v>40446712</v>
      </c>
      <c r="F36" s="137" t="str">
        <f t="shared" si="0"/>
        <v>GFH 73 INOX CAMPANA (110V-60HZ) C/KIT</v>
      </c>
      <c r="G36" s="138" t="s">
        <v>1255</v>
      </c>
      <c r="H36" s="139" t="s">
        <v>24</v>
      </c>
      <c r="I36" s="139" t="s">
        <v>46</v>
      </c>
      <c r="J36" s="139" t="s">
        <v>47</v>
      </c>
      <c r="K36" s="143">
        <v>45960</v>
      </c>
      <c r="L36" s="144" t="s">
        <v>1257</v>
      </c>
      <c r="M36" s="144" t="s">
        <v>1258</v>
      </c>
      <c r="N36" s="138">
        <v>959062680</v>
      </c>
      <c r="O36" s="141">
        <v>15</v>
      </c>
      <c r="P36" s="139" t="s">
        <v>48</v>
      </c>
      <c r="Q36" s="139" t="s">
        <v>46</v>
      </c>
      <c r="R36" s="142"/>
      <c r="S36" s="138" t="str">
        <f t="shared" ref="S36" si="18">D36</f>
        <v>040-103-000016710</v>
      </c>
      <c r="T36" s="145" t="s">
        <v>1259</v>
      </c>
      <c r="U36" s="86" t="s">
        <v>1260</v>
      </c>
    </row>
    <row r="37" spans="1:21" s="134" customFormat="1" ht="19">
      <c r="A37" s="134">
        <v>32</v>
      </c>
      <c r="B37" s="153">
        <v>45944</v>
      </c>
      <c r="C37" s="138" t="s">
        <v>1252</v>
      </c>
      <c r="D37" s="138" t="s">
        <v>1253</v>
      </c>
      <c r="E37" s="139">
        <v>111020071</v>
      </c>
      <c r="F37" s="137" t="str">
        <f t="shared" si="0"/>
        <v>HBB 510 BK 220-240  50/60 HORNO ELEC</v>
      </c>
      <c r="G37" s="138" t="s">
        <v>1256</v>
      </c>
      <c r="H37" s="139" t="s">
        <v>24</v>
      </c>
      <c r="I37" s="139" t="s">
        <v>46</v>
      </c>
      <c r="J37" s="139" t="s">
        <v>47</v>
      </c>
      <c r="K37" s="143">
        <v>45960</v>
      </c>
      <c r="L37" s="144" t="s">
        <v>1257</v>
      </c>
      <c r="M37" s="144" t="s">
        <v>1258</v>
      </c>
      <c r="N37" s="138">
        <v>959062680</v>
      </c>
      <c r="O37" s="141">
        <v>15</v>
      </c>
      <c r="P37" s="139" t="s">
        <v>48</v>
      </c>
      <c r="Q37" s="139" t="s">
        <v>46</v>
      </c>
      <c r="R37" s="142"/>
      <c r="S37" s="138" t="str">
        <f t="shared" ref="S37" si="19">D37</f>
        <v>040-103-000016710</v>
      </c>
      <c r="T37" s="145" t="s">
        <v>1259</v>
      </c>
      <c r="U37" s="86" t="s">
        <v>1260</v>
      </c>
    </row>
    <row r="38" spans="1:21" s="134" customFormat="1" ht="19">
      <c r="A38" s="134">
        <v>33</v>
      </c>
      <c r="B38" s="153">
        <v>45910</v>
      </c>
      <c r="C38" s="138" t="s">
        <v>1032</v>
      </c>
      <c r="D38" s="138" t="s">
        <v>1261</v>
      </c>
      <c r="E38" s="139">
        <v>40446712</v>
      </c>
      <c r="F38" s="137" t="str">
        <f t="shared" si="0"/>
        <v>GFH 73 INOX CAMPANA (110V-60HZ) C/KIT</v>
      </c>
      <c r="G38" s="138" t="s">
        <v>1262</v>
      </c>
      <c r="H38" s="139" t="s">
        <v>24</v>
      </c>
      <c r="I38" s="139" t="s">
        <v>46</v>
      </c>
      <c r="J38" s="139" t="s">
        <v>47</v>
      </c>
      <c r="K38" s="143">
        <v>45960</v>
      </c>
      <c r="L38" s="144" t="s">
        <v>1264</v>
      </c>
      <c r="M38" s="144" t="s">
        <v>1265</v>
      </c>
      <c r="N38" s="138">
        <v>984392198</v>
      </c>
      <c r="O38" s="141">
        <v>20</v>
      </c>
      <c r="P38" s="139" t="s">
        <v>48</v>
      </c>
      <c r="Q38" s="139" t="s">
        <v>46</v>
      </c>
      <c r="R38" s="142"/>
      <c r="S38" s="138" t="str">
        <f t="shared" ref="S38:S40" si="20">D38</f>
        <v>001-500-000076779</v>
      </c>
      <c r="T38" s="145" t="s">
        <v>1266</v>
      </c>
      <c r="U38" s="86" t="s">
        <v>1267</v>
      </c>
    </row>
    <row r="39" spans="1:21" s="134" customFormat="1" ht="19">
      <c r="A39" s="134">
        <v>34</v>
      </c>
      <c r="B39" s="153">
        <v>45910</v>
      </c>
      <c r="C39" s="138" t="s">
        <v>1032</v>
      </c>
      <c r="D39" s="138" t="s">
        <v>1261</v>
      </c>
      <c r="E39" s="139">
        <v>112580058</v>
      </c>
      <c r="F39" s="137" t="str">
        <f t="shared" si="0"/>
        <v>GBC 95030 KBB BK COCINA GAS</v>
      </c>
      <c r="G39" s="138" t="s">
        <v>1263</v>
      </c>
      <c r="H39" s="139" t="s">
        <v>24</v>
      </c>
      <c r="I39" s="139" t="s">
        <v>46</v>
      </c>
      <c r="J39" s="139" t="s">
        <v>47</v>
      </c>
      <c r="K39" s="143">
        <v>45960</v>
      </c>
      <c r="L39" s="144" t="s">
        <v>1264</v>
      </c>
      <c r="M39" s="144" t="s">
        <v>1265</v>
      </c>
      <c r="N39" s="138">
        <v>984392198</v>
      </c>
      <c r="O39" s="141">
        <v>20</v>
      </c>
      <c r="P39" s="139" t="s">
        <v>48</v>
      </c>
      <c r="Q39" s="139" t="s">
        <v>46</v>
      </c>
      <c r="R39" s="142"/>
      <c r="S39" s="138" t="str">
        <f t="shared" ref="S39" si="21">D39</f>
        <v>001-500-000076779</v>
      </c>
      <c r="T39" s="145" t="s">
        <v>1266</v>
      </c>
      <c r="U39" s="86" t="s">
        <v>1267</v>
      </c>
    </row>
    <row r="40" spans="1:21" s="134" customFormat="1" ht="19">
      <c r="A40" s="134">
        <v>35</v>
      </c>
      <c r="B40" s="153">
        <v>45943</v>
      </c>
      <c r="C40" s="138" t="s">
        <v>1032</v>
      </c>
      <c r="D40" s="138" t="s">
        <v>1268</v>
      </c>
      <c r="E40" s="139">
        <v>112570128</v>
      </c>
      <c r="F40" s="137" t="str">
        <f t="shared" si="0"/>
        <v>JZC 96342 BBB BK (LAT) COCINA MIXTA GAS - INDUCCION</v>
      </c>
      <c r="G40" s="138" t="s">
        <v>1269</v>
      </c>
      <c r="H40" s="139" t="s">
        <v>24</v>
      </c>
      <c r="I40" s="139" t="s">
        <v>46</v>
      </c>
      <c r="J40" s="139" t="s">
        <v>47</v>
      </c>
      <c r="K40" s="143">
        <v>45961</v>
      </c>
      <c r="L40" s="144" t="s">
        <v>1271</v>
      </c>
      <c r="M40" s="144" t="s">
        <v>1272</v>
      </c>
      <c r="N40" s="138">
        <v>983275741</v>
      </c>
      <c r="O40" s="141">
        <v>20</v>
      </c>
      <c r="P40" s="139" t="s">
        <v>48</v>
      </c>
      <c r="Q40" s="139" t="s">
        <v>46</v>
      </c>
      <c r="R40" s="142"/>
      <c r="S40" s="138" t="str">
        <f t="shared" si="20"/>
        <v>001-500-000077798</v>
      </c>
      <c r="T40" s="145" t="s">
        <v>1273</v>
      </c>
      <c r="U40" s="86" t="s">
        <v>1274</v>
      </c>
    </row>
    <row r="41" spans="1:21" s="134" customFormat="1" ht="19">
      <c r="A41" s="134">
        <v>36</v>
      </c>
      <c r="B41" s="153">
        <v>45943</v>
      </c>
      <c r="C41" s="138" t="s">
        <v>1032</v>
      </c>
      <c r="D41" s="138" t="s">
        <v>1268</v>
      </c>
      <c r="E41" s="139">
        <v>111030002</v>
      </c>
      <c r="F41" s="137" t="str">
        <f t="shared" si="0"/>
        <v>HLB 760 G SS HORNO A GAS</v>
      </c>
      <c r="G41" s="138" t="s">
        <v>1270</v>
      </c>
      <c r="H41" s="139" t="s">
        <v>24</v>
      </c>
      <c r="I41" s="139" t="s">
        <v>46</v>
      </c>
      <c r="J41" s="139" t="s">
        <v>47</v>
      </c>
      <c r="K41" s="143">
        <v>45961</v>
      </c>
      <c r="L41" s="144" t="s">
        <v>1271</v>
      </c>
      <c r="M41" s="144" t="s">
        <v>1272</v>
      </c>
      <c r="N41" s="138">
        <v>983275741</v>
      </c>
      <c r="O41" s="141">
        <v>20</v>
      </c>
      <c r="P41" s="139" t="s">
        <v>48</v>
      </c>
      <c r="Q41" s="139" t="s">
        <v>46</v>
      </c>
      <c r="R41" s="142"/>
      <c r="S41" s="138" t="str">
        <f t="shared" ref="S41" si="22">D41</f>
        <v>001-500-000077798</v>
      </c>
      <c r="T41" s="145" t="s">
        <v>1273</v>
      </c>
      <c r="U41" s="86" t="s">
        <v>1274</v>
      </c>
    </row>
    <row r="42" spans="1:21" s="134" customFormat="1" ht="19">
      <c r="A42" s="134">
        <v>37</v>
      </c>
      <c r="B42" s="153">
        <v>45932</v>
      </c>
      <c r="C42" s="138" t="s">
        <v>1032</v>
      </c>
      <c r="D42" s="138" t="s">
        <v>1275</v>
      </c>
      <c r="E42" s="139">
        <v>112520025</v>
      </c>
      <c r="F42" s="137" t="str">
        <f t="shared" si="0"/>
        <v>IZC 64010 MSS COCINA INDUCCION</v>
      </c>
      <c r="G42" s="138" t="s">
        <v>1276</v>
      </c>
      <c r="H42" s="139" t="s">
        <v>24</v>
      </c>
      <c r="I42" s="139" t="s">
        <v>46</v>
      </c>
      <c r="J42" s="139" t="s">
        <v>47</v>
      </c>
      <c r="K42" s="143">
        <v>45961</v>
      </c>
      <c r="L42" s="144" t="s">
        <v>1279</v>
      </c>
      <c r="M42" s="144" t="s">
        <v>1280</v>
      </c>
      <c r="N42" s="138">
        <v>987512754</v>
      </c>
      <c r="O42" s="141">
        <v>20</v>
      </c>
      <c r="P42" s="139" t="s">
        <v>48</v>
      </c>
      <c r="Q42" s="139" t="s">
        <v>46</v>
      </c>
      <c r="R42" s="142"/>
      <c r="S42" s="138" t="str">
        <f t="shared" ref="S42" si="23">D42</f>
        <v>001-500-000077441</v>
      </c>
      <c r="T42" s="145" t="s">
        <v>1281</v>
      </c>
      <c r="U42" s="86" t="s">
        <v>1282</v>
      </c>
    </row>
    <row r="43" spans="1:21" s="134" customFormat="1" ht="19">
      <c r="A43" s="134">
        <v>38</v>
      </c>
      <c r="B43" s="153">
        <v>45937</v>
      </c>
      <c r="C43" s="138" t="s">
        <v>1032</v>
      </c>
      <c r="D43" s="138" t="s">
        <v>1283</v>
      </c>
      <c r="E43" s="139">
        <v>40584012</v>
      </c>
      <c r="F43" s="137" t="str">
        <f t="shared" si="0"/>
        <v>MS 620 BIS - MICROONDAS</v>
      </c>
      <c r="G43" s="138" t="s">
        <v>1277</v>
      </c>
      <c r="H43" s="139" t="s">
        <v>24</v>
      </c>
      <c r="I43" s="139" t="s">
        <v>46</v>
      </c>
      <c r="J43" s="139" t="s">
        <v>47</v>
      </c>
      <c r="K43" s="143" t="s">
        <v>1278</v>
      </c>
      <c r="L43" s="144" t="s">
        <v>1279</v>
      </c>
      <c r="M43" s="144" t="s">
        <v>1280</v>
      </c>
      <c r="N43" s="138">
        <v>987512754</v>
      </c>
      <c r="O43" s="141">
        <v>20</v>
      </c>
      <c r="P43" s="139" t="s">
        <v>48</v>
      </c>
      <c r="Q43" s="139" t="s">
        <v>46</v>
      </c>
      <c r="R43" s="142"/>
      <c r="S43" s="138" t="str">
        <f t="shared" ref="S43" si="24">D43</f>
        <v>001-500-000077586</v>
      </c>
      <c r="T43" s="145" t="s">
        <v>1281</v>
      </c>
      <c r="U43" s="86" t="s">
        <v>1282</v>
      </c>
    </row>
    <row r="44" spans="1:21" s="134" customFormat="1" ht="19">
      <c r="A44" s="134">
        <v>39</v>
      </c>
      <c r="B44" s="153">
        <v>45626</v>
      </c>
      <c r="C44" s="138" t="s">
        <v>1220</v>
      </c>
      <c r="D44" s="138" t="s">
        <v>1284</v>
      </c>
      <c r="E44" s="139">
        <v>112950021</v>
      </c>
      <c r="F44" s="137" t="str">
        <f t="shared" si="0"/>
        <v>DVN 94030 TCL BK CAMPANA (110V-60HZ) C/KIT</v>
      </c>
      <c r="G44" s="138" t="s">
        <v>1285</v>
      </c>
      <c r="H44" s="139" t="s">
        <v>24</v>
      </c>
      <c r="I44" s="139" t="s">
        <v>46</v>
      </c>
      <c r="J44" s="139" t="s">
        <v>47</v>
      </c>
      <c r="K44" s="143">
        <v>45961</v>
      </c>
      <c r="L44" s="144" t="s">
        <v>1288</v>
      </c>
      <c r="M44" s="144" t="s">
        <v>1289</v>
      </c>
      <c r="N44" s="138">
        <v>986363298</v>
      </c>
      <c r="O44" s="141">
        <v>15</v>
      </c>
      <c r="P44" s="139" t="s">
        <v>48</v>
      </c>
      <c r="Q44" s="139" t="s">
        <v>46</v>
      </c>
      <c r="R44" s="142"/>
      <c r="S44" s="138" t="str">
        <f t="shared" ref="S44" si="25">D44</f>
        <v>001-001-000000332</v>
      </c>
      <c r="T44" s="145" t="s">
        <v>1290</v>
      </c>
      <c r="U44" s="86" t="s">
        <v>1291</v>
      </c>
    </row>
    <row r="45" spans="1:21" s="134" customFormat="1" ht="19">
      <c r="A45" s="134">
        <v>40</v>
      </c>
      <c r="B45" s="153">
        <v>45626</v>
      </c>
      <c r="C45" s="138" t="s">
        <v>1220</v>
      </c>
      <c r="D45" s="138" t="s">
        <v>1284</v>
      </c>
      <c r="E45" s="139">
        <v>111020071</v>
      </c>
      <c r="F45" s="137" t="str">
        <f t="shared" si="0"/>
        <v>HBB 510 BK 220-240  50/60 HORNO ELEC</v>
      </c>
      <c r="G45" s="138" t="s">
        <v>1286</v>
      </c>
      <c r="H45" s="139" t="s">
        <v>24</v>
      </c>
      <c r="I45" s="139" t="s">
        <v>46</v>
      </c>
      <c r="J45" s="139" t="s">
        <v>47</v>
      </c>
      <c r="K45" s="143">
        <v>45961</v>
      </c>
      <c r="L45" s="144" t="s">
        <v>1288</v>
      </c>
      <c r="M45" s="144" t="s">
        <v>1289</v>
      </c>
      <c r="N45" s="138">
        <v>986363298</v>
      </c>
      <c r="O45" s="141">
        <v>15</v>
      </c>
      <c r="P45" s="139" t="s">
        <v>48</v>
      </c>
      <c r="Q45" s="139" t="s">
        <v>46</v>
      </c>
      <c r="R45" s="142"/>
      <c r="S45" s="138" t="str">
        <f t="shared" ref="S45:S46" si="26">D45</f>
        <v>001-001-000000332</v>
      </c>
      <c r="T45" s="145" t="s">
        <v>1290</v>
      </c>
      <c r="U45" s="86" t="s">
        <v>1291</v>
      </c>
    </row>
    <row r="46" spans="1:21" s="134" customFormat="1" ht="19">
      <c r="A46" s="134">
        <v>41</v>
      </c>
      <c r="B46" s="153">
        <v>45626</v>
      </c>
      <c r="C46" s="138" t="s">
        <v>1220</v>
      </c>
      <c r="D46" s="138" t="s">
        <v>1284</v>
      </c>
      <c r="E46" s="139">
        <v>40584202</v>
      </c>
      <c r="F46" s="137" t="str">
        <f t="shared" si="0"/>
        <v>ML 820 BIS - MICROONDAS</v>
      </c>
      <c r="G46" s="138" t="s">
        <v>1287</v>
      </c>
      <c r="H46" s="139" t="s">
        <v>24</v>
      </c>
      <c r="I46" s="139" t="s">
        <v>46</v>
      </c>
      <c r="J46" s="139" t="s">
        <v>47</v>
      </c>
      <c r="K46" s="143">
        <v>45961</v>
      </c>
      <c r="L46" s="144" t="s">
        <v>1288</v>
      </c>
      <c r="M46" s="144" t="s">
        <v>1289</v>
      </c>
      <c r="N46" s="138">
        <v>986363298</v>
      </c>
      <c r="O46" s="141">
        <v>15</v>
      </c>
      <c r="P46" s="139" t="s">
        <v>48</v>
      </c>
      <c r="Q46" s="139" t="s">
        <v>46</v>
      </c>
      <c r="R46" s="142"/>
      <c r="S46" s="138" t="str">
        <f t="shared" si="26"/>
        <v>001-001-000000332</v>
      </c>
      <c r="T46" s="145" t="s">
        <v>1290</v>
      </c>
      <c r="U46" s="86" t="s">
        <v>1291</v>
      </c>
    </row>
    <row r="47" spans="1:21" s="134" customFormat="1" ht="19">
      <c r="A47" s="134">
        <v>42</v>
      </c>
      <c r="B47" s="153">
        <v>45897</v>
      </c>
      <c r="C47" s="138" t="s">
        <v>1032</v>
      </c>
      <c r="D47" s="138" t="s">
        <v>1306</v>
      </c>
      <c r="E47" s="139">
        <v>41596006</v>
      </c>
      <c r="F47" s="137" t="str">
        <f t="shared" si="0"/>
        <v>HLF 824 G SS HORNO A GAS</v>
      </c>
      <c r="G47" s="138" t="s">
        <v>1299</v>
      </c>
      <c r="H47" s="139" t="s">
        <v>24</v>
      </c>
      <c r="I47" s="139" t="s">
        <v>46</v>
      </c>
      <c r="J47" s="139" t="s">
        <v>47</v>
      </c>
      <c r="K47" s="143">
        <v>45966</v>
      </c>
      <c r="L47" s="144" t="s">
        <v>1302</v>
      </c>
      <c r="M47" s="144" t="s">
        <v>1303</v>
      </c>
      <c r="N47" s="138">
        <v>984553983</v>
      </c>
      <c r="O47" s="141">
        <v>15</v>
      </c>
      <c r="P47" s="139" t="s">
        <v>48</v>
      </c>
      <c r="Q47" s="139" t="s">
        <v>46</v>
      </c>
      <c r="R47" s="142"/>
      <c r="S47" s="138" t="str">
        <f t="shared" ref="S47" si="27">D47</f>
        <v>001-500-000076427</v>
      </c>
      <c r="T47" s="145" t="s">
        <v>1304</v>
      </c>
      <c r="U47" s="86" t="s">
        <v>1305</v>
      </c>
    </row>
    <row r="48" spans="1:21" s="134" customFormat="1" ht="19">
      <c r="A48" s="134">
        <v>43</v>
      </c>
      <c r="B48" s="153">
        <v>45891</v>
      </c>
      <c r="C48" s="138" t="s">
        <v>1032</v>
      </c>
      <c r="D48" s="138" t="s">
        <v>1307</v>
      </c>
      <c r="E48" s="139">
        <v>40467305</v>
      </c>
      <c r="F48" s="137" t="str">
        <f t="shared" si="0"/>
        <v>C 710 NEGRA CAMPANA (110V-60HZ) C/KIT</v>
      </c>
      <c r="G48" s="188" t="s">
        <v>1300</v>
      </c>
      <c r="H48" s="139" t="s">
        <v>24</v>
      </c>
      <c r="I48" s="139" t="s">
        <v>46</v>
      </c>
      <c r="J48" s="139" t="s">
        <v>47</v>
      </c>
      <c r="K48" s="143">
        <v>45966</v>
      </c>
      <c r="L48" s="144" t="s">
        <v>1302</v>
      </c>
      <c r="M48" s="144" t="s">
        <v>1303</v>
      </c>
      <c r="N48" s="138">
        <v>984553983</v>
      </c>
      <c r="O48" s="141">
        <v>15</v>
      </c>
      <c r="P48" s="139" t="s">
        <v>48</v>
      </c>
      <c r="Q48" s="139" t="s">
        <v>46</v>
      </c>
      <c r="R48" s="142"/>
      <c r="S48" s="138" t="str">
        <f t="shared" ref="S48:S49" si="28">D48</f>
        <v>001-500-000076249</v>
      </c>
      <c r="T48" s="145" t="s">
        <v>1304</v>
      </c>
      <c r="U48" s="86" t="s">
        <v>1305</v>
      </c>
    </row>
    <row r="49" spans="1:21" s="134" customFormat="1" ht="19">
      <c r="A49" s="134">
        <v>44</v>
      </c>
      <c r="B49" s="153">
        <v>45891</v>
      </c>
      <c r="C49" s="138" t="s">
        <v>1032</v>
      </c>
      <c r="D49" s="138" t="s">
        <v>1298</v>
      </c>
      <c r="E49" s="139">
        <v>112570093</v>
      </c>
      <c r="F49" s="137" t="str">
        <f t="shared" si="0"/>
        <v>GZC 75330 XBB CRISTAL COCINA GAS</v>
      </c>
      <c r="G49" s="138" t="s">
        <v>1301</v>
      </c>
      <c r="H49" s="139" t="s">
        <v>24</v>
      </c>
      <c r="I49" s="139" t="s">
        <v>46</v>
      </c>
      <c r="J49" s="139" t="s">
        <v>47</v>
      </c>
      <c r="K49" s="143">
        <v>45966</v>
      </c>
      <c r="L49" s="144" t="s">
        <v>1302</v>
      </c>
      <c r="M49" s="144" t="s">
        <v>1303</v>
      </c>
      <c r="N49" s="138">
        <v>984553983</v>
      </c>
      <c r="O49" s="141">
        <v>15</v>
      </c>
      <c r="P49" s="139" t="s">
        <v>48</v>
      </c>
      <c r="Q49" s="139" t="s">
        <v>46</v>
      </c>
      <c r="R49" s="142"/>
      <c r="S49" s="138" t="str">
        <f t="shared" si="28"/>
        <v>001-500-000076246</v>
      </c>
      <c r="T49" s="145" t="s">
        <v>1304</v>
      </c>
      <c r="U49" s="86" t="s">
        <v>1305</v>
      </c>
    </row>
    <row r="50" spans="1:21" s="134" customFormat="1" ht="19">
      <c r="A50" s="134">
        <v>45</v>
      </c>
      <c r="B50" s="153">
        <v>45833</v>
      </c>
      <c r="C50" s="138" t="s">
        <v>1033</v>
      </c>
      <c r="D50" s="138" t="s">
        <v>1353</v>
      </c>
      <c r="E50" s="139">
        <v>41560074</v>
      </c>
      <c r="F50" s="137" t="str">
        <f t="shared" ref="F50:F53" si="29">VLOOKUP(E50,PROD,2,FALSE)</f>
        <v>HLB 840 INOX HORNO ELEC</v>
      </c>
      <c r="G50" s="138" t="s">
        <v>1354</v>
      </c>
      <c r="H50" s="139" t="s">
        <v>24</v>
      </c>
      <c r="I50" s="139" t="s">
        <v>46</v>
      </c>
      <c r="J50" s="139" t="s">
        <v>47</v>
      </c>
      <c r="K50" s="154">
        <v>45967</v>
      </c>
      <c r="L50" s="155" t="s">
        <v>1359</v>
      </c>
      <c r="M50" s="155" t="s">
        <v>1360</v>
      </c>
      <c r="N50" s="147">
        <v>984150756</v>
      </c>
      <c r="O50" s="156">
        <v>15</v>
      </c>
      <c r="P50" s="148" t="s">
        <v>48</v>
      </c>
      <c r="Q50" s="148" t="s">
        <v>46</v>
      </c>
      <c r="R50" s="157"/>
      <c r="S50" s="138" t="str">
        <f t="shared" ref="S50" si="30">D50</f>
        <v>016-907-000259142</v>
      </c>
      <c r="T50" s="187" t="s">
        <v>1361</v>
      </c>
      <c r="U50" s="158" t="s">
        <v>1362</v>
      </c>
    </row>
    <row r="51" spans="1:21" s="134" customFormat="1" ht="19">
      <c r="A51" s="134">
        <v>46</v>
      </c>
      <c r="B51" s="153">
        <v>45833</v>
      </c>
      <c r="C51" s="138" t="s">
        <v>1033</v>
      </c>
      <c r="D51" s="138" t="s">
        <v>1353</v>
      </c>
      <c r="E51" s="139">
        <v>40584305</v>
      </c>
      <c r="F51" s="137" t="str">
        <f t="shared" si="29"/>
        <v>ML 822 BIS - MICROONDAS (112030008)</v>
      </c>
      <c r="G51" s="188" t="s">
        <v>1355</v>
      </c>
      <c r="H51" s="139" t="s">
        <v>24</v>
      </c>
      <c r="I51" s="139" t="s">
        <v>46</v>
      </c>
      <c r="J51" s="139" t="s">
        <v>47</v>
      </c>
      <c r="K51" s="154">
        <v>45967</v>
      </c>
      <c r="L51" s="155" t="s">
        <v>1359</v>
      </c>
      <c r="M51" s="155" t="s">
        <v>1360</v>
      </c>
      <c r="N51" s="147">
        <v>984150756</v>
      </c>
      <c r="O51" s="156">
        <v>15</v>
      </c>
      <c r="P51" s="148" t="s">
        <v>48</v>
      </c>
      <c r="Q51" s="148" t="s">
        <v>46</v>
      </c>
      <c r="R51" s="157"/>
      <c r="S51" s="138" t="str">
        <f t="shared" ref="S51:S53" si="31">D51</f>
        <v>016-907-000259142</v>
      </c>
      <c r="T51" s="187" t="s">
        <v>1361</v>
      </c>
      <c r="U51" s="158" t="s">
        <v>1362</v>
      </c>
    </row>
    <row r="52" spans="1:21" s="134" customFormat="1" ht="19">
      <c r="A52" s="134">
        <v>47</v>
      </c>
      <c r="B52" s="153">
        <v>45833</v>
      </c>
      <c r="C52" s="138" t="s">
        <v>1033</v>
      </c>
      <c r="D52" s="138" t="s">
        <v>1353</v>
      </c>
      <c r="E52" s="139">
        <v>112570124</v>
      </c>
      <c r="F52" s="137" t="str">
        <f t="shared" si="29"/>
        <v>JZC 64322 ABB BK (LAT) COCINA MIXTA GAS - INDUCCION</v>
      </c>
      <c r="G52" s="138" t="s">
        <v>1356</v>
      </c>
      <c r="H52" s="139" t="s">
        <v>24</v>
      </c>
      <c r="I52" s="139" t="s">
        <v>46</v>
      </c>
      <c r="J52" s="139" t="s">
        <v>47</v>
      </c>
      <c r="K52" s="154">
        <v>45967</v>
      </c>
      <c r="L52" s="155" t="s">
        <v>1359</v>
      </c>
      <c r="M52" s="155" t="s">
        <v>1360</v>
      </c>
      <c r="N52" s="147">
        <v>984150756</v>
      </c>
      <c r="O52" s="156">
        <v>15</v>
      </c>
      <c r="P52" s="148" t="s">
        <v>48</v>
      </c>
      <c r="Q52" s="148" t="s">
        <v>46</v>
      </c>
      <c r="R52" s="157"/>
      <c r="S52" s="138" t="str">
        <f t="shared" si="31"/>
        <v>016-907-000259142</v>
      </c>
      <c r="T52" s="187" t="s">
        <v>1361</v>
      </c>
      <c r="U52" s="158" t="s">
        <v>1362</v>
      </c>
    </row>
    <row r="53" spans="1:21" s="134" customFormat="1" ht="19">
      <c r="A53" s="134">
        <v>48</v>
      </c>
      <c r="B53" s="153">
        <v>45833</v>
      </c>
      <c r="C53" s="138" t="s">
        <v>1033</v>
      </c>
      <c r="D53" s="138" t="s">
        <v>1358</v>
      </c>
      <c r="E53" s="139">
        <v>113100004</v>
      </c>
      <c r="F53" s="137" t="str">
        <f t="shared" si="29"/>
        <v>CAMPANA DHT 97670 ROS WH</v>
      </c>
      <c r="G53" s="138" t="s">
        <v>1357</v>
      </c>
      <c r="H53" s="139" t="s">
        <v>24</v>
      </c>
      <c r="I53" s="139" t="s">
        <v>46</v>
      </c>
      <c r="J53" s="139" t="s">
        <v>47</v>
      </c>
      <c r="K53" s="154">
        <v>45967</v>
      </c>
      <c r="L53" s="155" t="s">
        <v>1359</v>
      </c>
      <c r="M53" s="155" t="s">
        <v>1360</v>
      </c>
      <c r="N53" s="147">
        <v>984150756</v>
      </c>
      <c r="O53" s="156">
        <v>30</v>
      </c>
      <c r="P53" s="148" t="s">
        <v>48</v>
      </c>
      <c r="Q53" s="148" t="s">
        <v>46</v>
      </c>
      <c r="R53" s="157"/>
      <c r="S53" s="138" t="str">
        <f t="shared" si="31"/>
        <v>016-906-000000106</v>
      </c>
      <c r="T53" s="187" t="s">
        <v>1361</v>
      </c>
      <c r="U53" s="158" t="s">
        <v>1362</v>
      </c>
    </row>
    <row r="54" spans="1:21" s="134" customFormat="1" ht="19">
      <c r="A54" s="134">
        <v>49</v>
      </c>
      <c r="B54" s="153">
        <v>45933</v>
      </c>
      <c r="C54" s="138" t="s">
        <v>1363</v>
      </c>
      <c r="D54" s="138" t="s">
        <v>1364</v>
      </c>
      <c r="E54" s="139">
        <v>40466241</v>
      </c>
      <c r="F54" s="137" t="str">
        <f t="shared" si="0"/>
        <v>C 9310 INOX CAMPANA (110V-60HZ) C/KIT</v>
      </c>
      <c r="G54" s="138" t="s">
        <v>1369</v>
      </c>
      <c r="H54" s="139" t="s">
        <v>24</v>
      </c>
      <c r="I54" s="139" t="s">
        <v>46</v>
      </c>
      <c r="J54" s="139" t="s">
        <v>47</v>
      </c>
      <c r="K54" s="143">
        <v>45967</v>
      </c>
      <c r="L54" s="144" t="s">
        <v>1370</v>
      </c>
      <c r="M54" s="144" t="s">
        <v>1371</v>
      </c>
      <c r="N54" s="138">
        <v>5726697</v>
      </c>
      <c r="O54" s="141">
        <v>15</v>
      </c>
      <c r="P54" s="139" t="s">
        <v>48</v>
      </c>
      <c r="Q54" s="139" t="s">
        <v>46</v>
      </c>
      <c r="R54" s="142"/>
      <c r="S54" s="138" t="str">
        <f t="shared" ref="S54" si="32">D54</f>
        <v>014-004-000071054</v>
      </c>
      <c r="T54" s="145" t="s">
        <v>1372</v>
      </c>
      <c r="U54" s="86" t="s">
        <v>1373</v>
      </c>
    </row>
    <row r="55" spans="1:21" s="134" customFormat="1" ht="19">
      <c r="A55" s="134">
        <v>50</v>
      </c>
      <c r="B55" s="153">
        <v>45933</v>
      </c>
      <c r="C55" s="138" t="s">
        <v>1363</v>
      </c>
      <c r="D55" s="138" t="s">
        <v>1364</v>
      </c>
      <c r="E55" s="139">
        <v>112610067</v>
      </c>
      <c r="F55" s="137" t="str">
        <f t="shared" si="0"/>
        <v>GSC 96320 XBA IX (LAT) COCINA INOX</v>
      </c>
      <c r="G55" s="138" t="s">
        <v>1368</v>
      </c>
      <c r="H55" s="139" t="s">
        <v>24</v>
      </c>
      <c r="I55" s="139" t="s">
        <v>46</v>
      </c>
      <c r="J55" s="139" t="s">
        <v>47</v>
      </c>
      <c r="K55" s="143">
        <v>45967</v>
      </c>
      <c r="L55" s="144" t="s">
        <v>1370</v>
      </c>
      <c r="M55" s="144" t="s">
        <v>1371</v>
      </c>
      <c r="N55" s="138">
        <v>5726697</v>
      </c>
      <c r="O55" s="141">
        <v>15</v>
      </c>
      <c r="P55" s="139" t="s">
        <v>48</v>
      </c>
      <c r="Q55" s="139" t="s">
        <v>46</v>
      </c>
      <c r="R55" s="142"/>
      <c r="S55" s="138" t="str">
        <f t="shared" ref="S55:S58" si="33">D55</f>
        <v>014-004-000071054</v>
      </c>
      <c r="T55" s="145" t="s">
        <v>1372</v>
      </c>
      <c r="U55" s="86" t="s">
        <v>1373</v>
      </c>
    </row>
    <row r="56" spans="1:21" s="134" customFormat="1" ht="19">
      <c r="A56" s="134">
        <v>51</v>
      </c>
      <c r="B56" s="153">
        <v>45933</v>
      </c>
      <c r="C56" s="138" t="s">
        <v>1363</v>
      </c>
      <c r="D56" s="138" t="s">
        <v>1364</v>
      </c>
      <c r="E56" s="139">
        <v>40584105</v>
      </c>
      <c r="F56" s="137" t="str">
        <f t="shared" si="0"/>
        <v>MS 622 BIS - MICROONDAS</v>
      </c>
      <c r="G56" s="138" t="s">
        <v>1367</v>
      </c>
      <c r="H56" s="139" t="s">
        <v>24</v>
      </c>
      <c r="I56" s="139" t="s">
        <v>46</v>
      </c>
      <c r="J56" s="139" t="s">
        <v>47</v>
      </c>
      <c r="K56" s="143">
        <v>45967</v>
      </c>
      <c r="L56" s="144" t="s">
        <v>1370</v>
      </c>
      <c r="M56" s="144" t="s">
        <v>1371</v>
      </c>
      <c r="N56" s="138">
        <v>5726697</v>
      </c>
      <c r="O56" s="141">
        <v>15</v>
      </c>
      <c r="P56" s="139" t="s">
        <v>48</v>
      </c>
      <c r="Q56" s="139" t="s">
        <v>46</v>
      </c>
      <c r="R56" s="142"/>
      <c r="S56" s="138" t="str">
        <f t="shared" si="33"/>
        <v>014-004-000071054</v>
      </c>
      <c r="T56" s="145" t="s">
        <v>1372</v>
      </c>
      <c r="U56" s="86" t="s">
        <v>1373</v>
      </c>
    </row>
    <row r="57" spans="1:21" s="134" customFormat="1" ht="19">
      <c r="A57" s="134">
        <v>52</v>
      </c>
      <c r="B57" s="153">
        <v>45933</v>
      </c>
      <c r="C57" s="138" t="s">
        <v>1363</v>
      </c>
      <c r="D57" s="138" t="s">
        <v>1364</v>
      </c>
      <c r="E57" s="139">
        <v>111010028</v>
      </c>
      <c r="F57" s="137" t="str">
        <f t="shared" si="0"/>
        <v>HSB 646 "AIRFRY" - HORNO ELEC</v>
      </c>
      <c r="G57" s="138" t="s">
        <v>1366</v>
      </c>
      <c r="H57" s="139" t="s">
        <v>24</v>
      </c>
      <c r="I57" s="139" t="s">
        <v>46</v>
      </c>
      <c r="J57" s="139" t="s">
        <v>47</v>
      </c>
      <c r="K57" s="143">
        <v>45967</v>
      </c>
      <c r="L57" s="144" t="s">
        <v>1370</v>
      </c>
      <c r="M57" s="144" t="s">
        <v>1371</v>
      </c>
      <c r="N57" s="138">
        <v>5726697</v>
      </c>
      <c r="O57" s="141">
        <v>15</v>
      </c>
      <c r="P57" s="139" t="s">
        <v>48</v>
      </c>
      <c r="Q57" s="139" t="s">
        <v>46</v>
      </c>
      <c r="R57" s="142"/>
      <c r="S57" s="138" t="str">
        <f t="shared" si="33"/>
        <v>014-004-000071054</v>
      </c>
      <c r="T57" s="145" t="s">
        <v>1372</v>
      </c>
      <c r="U57" s="86" t="s">
        <v>1373</v>
      </c>
    </row>
    <row r="58" spans="1:21" s="134" customFormat="1" ht="19">
      <c r="A58" s="134">
        <v>53</v>
      </c>
      <c r="B58" s="153">
        <v>45933</v>
      </c>
      <c r="C58" s="138" t="s">
        <v>1363</v>
      </c>
      <c r="D58" s="138" t="s">
        <v>1364</v>
      </c>
      <c r="E58" s="139">
        <v>114270008</v>
      </c>
      <c r="F58" s="137" t="str">
        <f t="shared" si="0"/>
        <v>LAVAVAJILLAS DFI 46900 120 60 WH</v>
      </c>
      <c r="G58" s="138" t="s">
        <v>1365</v>
      </c>
      <c r="H58" s="139" t="s">
        <v>24</v>
      </c>
      <c r="I58" s="139" t="s">
        <v>46</v>
      </c>
      <c r="J58" s="139" t="s">
        <v>47</v>
      </c>
      <c r="K58" s="143">
        <v>45967</v>
      </c>
      <c r="L58" s="144" t="s">
        <v>1370</v>
      </c>
      <c r="M58" s="144" t="s">
        <v>1371</v>
      </c>
      <c r="N58" s="138">
        <v>5726697</v>
      </c>
      <c r="O58" s="141">
        <v>15</v>
      </c>
      <c r="P58" s="139" t="s">
        <v>48</v>
      </c>
      <c r="Q58" s="139" t="s">
        <v>46</v>
      </c>
      <c r="R58" s="142"/>
      <c r="S58" s="138" t="str">
        <f t="shared" si="33"/>
        <v>014-004-000071054</v>
      </c>
      <c r="T58" s="145" t="s">
        <v>1372</v>
      </c>
      <c r="U58" s="86" t="s">
        <v>1373</v>
      </c>
    </row>
    <row r="59" spans="1:21" s="134" customFormat="1" ht="19">
      <c r="A59" s="134">
        <v>54</v>
      </c>
      <c r="B59" s="153">
        <v>45920</v>
      </c>
      <c r="C59" s="138" t="s">
        <v>1252</v>
      </c>
      <c r="D59" s="138" t="s">
        <v>1374</v>
      </c>
      <c r="E59" s="139">
        <v>41560142</v>
      </c>
      <c r="F59" s="137" t="str">
        <f t="shared" si="0"/>
        <v>HSB 635 INOX HORNO ELEC (41521810)</v>
      </c>
      <c r="G59" s="138" t="s">
        <v>1375</v>
      </c>
      <c r="H59" s="139" t="s">
        <v>24</v>
      </c>
      <c r="I59" s="139" t="s">
        <v>46</v>
      </c>
      <c r="J59" s="139" t="s">
        <v>47</v>
      </c>
      <c r="K59" s="143">
        <v>45967</v>
      </c>
      <c r="L59" s="144" t="s">
        <v>1379</v>
      </c>
      <c r="M59" s="144" t="s">
        <v>1380</v>
      </c>
      <c r="N59" s="138">
        <v>983473000</v>
      </c>
      <c r="O59" s="141">
        <v>15</v>
      </c>
      <c r="P59" s="139" t="s">
        <v>48</v>
      </c>
      <c r="Q59" s="139" t="s">
        <v>46</v>
      </c>
      <c r="R59" s="142"/>
      <c r="S59" s="138" t="str">
        <f t="shared" ref="S59:S80" si="34">D59</f>
        <v>040-103-000016219</v>
      </c>
      <c r="T59" s="145" t="s">
        <v>1381</v>
      </c>
      <c r="U59" s="86" t="s">
        <v>1382</v>
      </c>
    </row>
    <row r="60" spans="1:21" s="134" customFormat="1" ht="19">
      <c r="A60" s="134">
        <v>55</v>
      </c>
      <c r="B60" s="153">
        <v>45920</v>
      </c>
      <c r="C60" s="138" t="s">
        <v>1252</v>
      </c>
      <c r="D60" s="138" t="s">
        <v>1374</v>
      </c>
      <c r="E60" s="139">
        <v>112510036</v>
      </c>
      <c r="F60" s="137" t="str">
        <f t="shared" si="0"/>
        <v>IZC 32310 MSP BK COCINA MODULAR INDUCCION</v>
      </c>
      <c r="G60" s="138" t="s">
        <v>1376</v>
      </c>
      <c r="H60" s="139" t="s">
        <v>24</v>
      </c>
      <c r="I60" s="139" t="s">
        <v>46</v>
      </c>
      <c r="J60" s="139" t="s">
        <v>47</v>
      </c>
      <c r="K60" s="143">
        <v>45967</v>
      </c>
      <c r="L60" s="144" t="s">
        <v>1379</v>
      </c>
      <c r="M60" s="144" t="s">
        <v>1380</v>
      </c>
      <c r="N60" s="138">
        <v>983473000</v>
      </c>
      <c r="O60" s="141">
        <v>15</v>
      </c>
      <c r="P60" s="139" t="s">
        <v>48</v>
      </c>
      <c r="Q60" s="139" t="s">
        <v>46</v>
      </c>
      <c r="R60" s="142"/>
      <c r="S60" s="138" t="str">
        <f t="shared" ref="S60:S62" si="35">D60</f>
        <v>040-103-000016219</v>
      </c>
      <c r="T60" s="145" t="s">
        <v>1381</v>
      </c>
      <c r="U60" s="86" t="s">
        <v>1382</v>
      </c>
    </row>
    <row r="61" spans="1:21" s="134" customFormat="1" ht="19">
      <c r="A61" s="134">
        <v>56</v>
      </c>
      <c r="B61" s="153">
        <v>45920</v>
      </c>
      <c r="C61" s="138" t="s">
        <v>1252</v>
      </c>
      <c r="D61" s="138" t="s">
        <v>1374</v>
      </c>
      <c r="E61" s="139">
        <v>112580017</v>
      </c>
      <c r="F61" s="137" t="str">
        <f t="shared" si="0"/>
        <v>GBC 64000 KBB CRISTAL COCINA GAS</v>
      </c>
      <c r="G61" s="138" t="s">
        <v>1377</v>
      </c>
      <c r="H61" s="139" t="s">
        <v>24</v>
      </c>
      <c r="I61" s="139" t="s">
        <v>46</v>
      </c>
      <c r="J61" s="139" t="s">
        <v>47</v>
      </c>
      <c r="K61" s="143">
        <v>45967</v>
      </c>
      <c r="L61" s="144" t="s">
        <v>1379</v>
      </c>
      <c r="M61" s="144" t="s">
        <v>1380</v>
      </c>
      <c r="N61" s="138">
        <v>983473000</v>
      </c>
      <c r="O61" s="141">
        <v>15</v>
      </c>
      <c r="P61" s="139" t="s">
        <v>48</v>
      </c>
      <c r="Q61" s="139" t="s">
        <v>46</v>
      </c>
      <c r="R61" s="142"/>
      <c r="S61" s="138" t="str">
        <f t="shared" si="35"/>
        <v>040-103-000016219</v>
      </c>
      <c r="T61" s="145" t="s">
        <v>1381</v>
      </c>
      <c r="U61" s="86" t="s">
        <v>1382</v>
      </c>
    </row>
    <row r="62" spans="1:21" s="134" customFormat="1" ht="19">
      <c r="A62" s="134">
        <v>57</v>
      </c>
      <c r="B62" s="153">
        <v>45920</v>
      </c>
      <c r="C62" s="138" t="s">
        <v>1252</v>
      </c>
      <c r="D62" s="138" t="s">
        <v>1374</v>
      </c>
      <c r="E62" s="190">
        <v>40584012</v>
      </c>
      <c r="F62" s="137" t="str">
        <f t="shared" si="0"/>
        <v>MS 620 BIS - MICROONDAS</v>
      </c>
      <c r="G62" s="189" t="s">
        <v>1378</v>
      </c>
      <c r="H62" s="139" t="s">
        <v>24</v>
      </c>
      <c r="I62" s="139" t="s">
        <v>46</v>
      </c>
      <c r="J62" s="139" t="s">
        <v>47</v>
      </c>
      <c r="K62" s="143">
        <v>45967</v>
      </c>
      <c r="L62" s="144" t="s">
        <v>1379</v>
      </c>
      <c r="M62" s="144" t="s">
        <v>1380</v>
      </c>
      <c r="N62" s="138">
        <v>983473000</v>
      </c>
      <c r="O62" s="141">
        <v>15</v>
      </c>
      <c r="P62" s="139" t="s">
        <v>48</v>
      </c>
      <c r="Q62" s="139" t="s">
        <v>46</v>
      </c>
      <c r="R62" s="142"/>
      <c r="S62" s="138" t="str">
        <f t="shared" si="35"/>
        <v>040-103-000016219</v>
      </c>
      <c r="T62" s="145" t="s">
        <v>1381</v>
      </c>
      <c r="U62" s="86" t="s">
        <v>1382</v>
      </c>
    </row>
    <row r="63" spans="1:21" s="134" customFormat="1" ht="21">
      <c r="A63" s="377">
        <v>58</v>
      </c>
      <c r="B63" s="378">
        <v>45798</v>
      </c>
      <c r="C63" s="379" t="s">
        <v>1363</v>
      </c>
      <c r="D63" s="379" t="s">
        <v>1404</v>
      </c>
      <c r="E63" s="380">
        <v>111010028</v>
      </c>
      <c r="F63" s="381" t="str">
        <f t="shared" si="0"/>
        <v>HSB 646 "AIRFRY" - HORNO ELEC</v>
      </c>
      <c r="G63" s="379" t="s">
        <v>1405</v>
      </c>
      <c r="H63" s="382" t="s">
        <v>24</v>
      </c>
      <c r="I63" s="382" t="s">
        <v>46</v>
      </c>
      <c r="J63" s="382" t="s">
        <v>47</v>
      </c>
      <c r="K63" s="383">
        <v>45968</v>
      </c>
      <c r="L63" s="379" t="s">
        <v>1409</v>
      </c>
      <c r="M63" s="379" t="s">
        <v>1410</v>
      </c>
      <c r="N63" s="379">
        <v>998284291</v>
      </c>
      <c r="O63" s="384">
        <v>15</v>
      </c>
      <c r="P63" s="382" t="s">
        <v>48</v>
      </c>
      <c r="Q63" s="382" t="s">
        <v>46</v>
      </c>
      <c r="R63" s="385"/>
      <c r="S63" s="386" t="str">
        <f t="shared" si="34"/>
        <v>007-007-000031372</v>
      </c>
      <c r="T63" s="387" t="s">
        <v>1411</v>
      </c>
      <c r="U63" s="388" t="s">
        <v>1412</v>
      </c>
    </row>
    <row r="64" spans="1:21" s="134" customFormat="1" ht="21">
      <c r="A64" s="377">
        <v>59</v>
      </c>
      <c r="B64" s="378">
        <v>45798</v>
      </c>
      <c r="C64" s="379" t="s">
        <v>1363</v>
      </c>
      <c r="D64" s="379" t="s">
        <v>1404</v>
      </c>
      <c r="E64" s="380">
        <v>40466241</v>
      </c>
      <c r="F64" s="381" t="str">
        <f t="shared" si="0"/>
        <v>C 9310 INOX CAMPANA (110V-60HZ) C/KIT</v>
      </c>
      <c r="G64" s="379" t="s">
        <v>1406</v>
      </c>
      <c r="H64" s="382" t="s">
        <v>24</v>
      </c>
      <c r="I64" s="382" t="s">
        <v>46</v>
      </c>
      <c r="J64" s="382" t="s">
        <v>47</v>
      </c>
      <c r="K64" s="383">
        <v>45968</v>
      </c>
      <c r="L64" s="379" t="s">
        <v>1409</v>
      </c>
      <c r="M64" s="379" t="s">
        <v>1410</v>
      </c>
      <c r="N64" s="379">
        <v>998284291</v>
      </c>
      <c r="O64" s="384">
        <v>15</v>
      </c>
      <c r="P64" s="382" t="s">
        <v>48</v>
      </c>
      <c r="Q64" s="382" t="s">
        <v>46</v>
      </c>
      <c r="R64" s="385"/>
      <c r="S64" s="386" t="str">
        <f t="shared" ref="S64:S66" si="36">D64</f>
        <v>007-007-000031372</v>
      </c>
      <c r="T64" s="387" t="s">
        <v>1411</v>
      </c>
      <c r="U64" s="388" t="s">
        <v>1412</v>
      </c>
    </row>
    <row r="65" spans="1:21" s="134" customFormat="1" ht="21">
      <c r="A65" s="377">
        <v>60</v>
      </c>
      <c r="B65" s="378">
        <v>45798</v>
      </c>
      <c r="C65" s="379" t="s">
        <v>1363</v>
      </c>
      <c r="D65" s="379" t="s">
        <v>1404</v>
      </c>
      <c r="E65" s="382">
        <v>112610067</v>
      </c>
      <c r="F65" s="381" t="str">
        <f t="shared" si="0"/>
        <v>GSC 96320 XBA IX (LAT) COCINA INOX</v>
      </c>
      <c r="G65" s="386" t="s">
        <v>1407</v>
      </c>
      <c r="H65" s="382" t="s">
        <v>24</v>
      </c>
      <c r="I65" s="382" t="s">
        <v>46</v>
      </c>
      <c r="J65" s="382" t="s">
        <v>47</v>
      </c>
      <c r="K65" s="383">
        <v>45968</v>
      </c>
      <c r="L65" s="379" t="s">
        <v>1409</v>
      </c>
      <c r="M65" s="379" t="s">
        <v>1410</v>
      </c>
      <c r="N65" s="379">
        <v>998284291</v>
      </c>
      <c r="O65" s="384">
        <v>15</v>
      </c>
      <c r="P65" s="382" t="s">
        <v>48</v>
      </c>
      <c r="Q65" s="382" t="s">
        <v>46</v>
      </c>
      <c r="R65" s="385"/>
      <c r="S65" s="386" t="str">
        <f t="shared" si="36"/>
        <v>007-007-000031372</v>
      </c>
      <c r="T65" s="387" t="s">
        <v>1411</v>
      </c>
      <c r="U65" s="388" t="s">
        <v>1412</v>
      </c>
    </row>
    <row r="66" spans="1:21" s="134" customFormat="1" ht="21">
      <c r="A66" s="377">
        <v>61</v>
      </c>
      <c r="B66" s="378">
        <v>45708</v>
      </c>
      <c r="C66" s="379" t="s">
        <v>1363</v>
      </c>
      <c r="D66" s="379" t="s">
        <v>1413</v>
      </c>
      <c r="E66" s="382">
        <v>40782127</v>
      </c>
      <c r="F66" s="381" t="str">
        <f t="shared" si="0"/>
        <v>DW8 57 FIM PANELABLE LAVAVAJILLAS</v>
      </c>
      <c r="G66" s="386" t="s">
        <v>1408</v>
      </c>
      <c r="H66" s="382" t="s">
        <v>24</v>
      </c>
      <c r="I66" s="382" t="s">
        <v>46</v>
      </c>
      <c r="J66" s="382" t="s">
        <v>47</v>
      </c>
      <c r="K66" s="383">
        <v>45968</v>
      </c>
      <c r="L66" s="379" t="s">
        <v>1409</v>
      </c>
      <c r="M66" s="379" t="s">
        <v>1410</v>
      </c>
      <c r="N66" s="379">
        <v>998284291</v>
      </c>
      <c r="O66" s="384">
        <v>15</v>
      </c>
      <c r="P66" s="382" t="s">
        <v>48</v>
      </c>
      <c r="Q66" s="382" t="s">
        <v>46</v>
      </c>
      <c r="R66" s="385"/>
      <c r="S66" s="386" t="str">
        <f t="shared" si="36"/>
        <v>007-005-000136176</v>
      </c>
      <c r="T66" s="387" t="s">
        <v>1411</v>
      </c>
      <c r="U66" s="388" t="s">
        <v>1412</v>
      </c>
    </row>
    <row r="67" spans="1:21" s="134" customFormat="1" ht="19">
      <c r="A67" s="134">
        <v>62</v>
      </c>
      <c r="B67" s="153">
        <v>45751</v>
      </c>
      <c r="C67" s="138" t="s">
        <v>1032</v>
      </c>
      <c r="D67" s="138" t="s">
        <v>1414</v>
      </c>
      <c r="E67" s="139">
        <v>40584202</v>
      </c>
      <c r="F67" s="137" t="str">
        <f t="shared" si="0"/>
        <v>ML 820 BIS - MICROONDAS</v>
      </c>
      <c r="G67" s="138" t="s">
        <v>1415</v>
      </c>
      <c r="H67" s="139" t="s">
        <v>24</v>
      </c>
      <c r="I67" s="139" t="s">
        <v>46</v>
      </c>
      <c r="J67" s="139" t="s">
        <v>47</v>
      </c>
      <c r="K67" s="143">
        <v>45968</v>
      </c>
      <c r="L67" s="144" t="s">
        <v>1416</v>
      </c>
      <c r="M67" s="144" t="s">
        <v>1417</v>
      </c>
      <c r="N67" s="138">
        <v>998484504</v>
      </c>
      <c r="O67" s="141">
        <v>15</v>
      </c>
      <c r="P67" s="139" t="s">
        <v>48</v>
      </c>
      <c r="Q67" s="139" t="s">
        <v>46</v>
      </c>
      <c r="R67" s="142"/>
      <c r="S67" s="138" t="str">
        <f t="shared" ref="S67" si="37">D67</f>
        <v>001-500-000000201</v>
      </c>
      <c r="T67" s="145" t="s">
        <v>1418</v>
      </c>
      <c r="U67" s="86" t="s">
        <v>1419</v>
      </c>
    </row>
    <row r="68" spans="1:21" s="134" customFormat="1" ht="19">
      <c r="A68" s="134">
        <v>63</v>
      </c>
      <c r="B68" s="153">
        <v>45751</v>
      </c>
      <c r="C68" s="138" t="s">
        <v>1032</v>
      </c>
      <c r="D68" s="138" t="s">
        <v>1414</v>
      </c>
      <c r="E68" s="139">
        <v>111000051</v>
      </c>
      <c r="F68" s="137" t="str">
        <f t="shared" si="0"/>
        <v>HLB 8416 "AIR FRY" - HORNO ELEC</v>
      </c>
      <c r="G68" s="138" t="s">
        <v>1420</v>
      </c>
      <c r="H68" s="139" t="s">
        <v>24</v>
      </c>
      <c r="I68" s="139" t="s">
        <v>46</v>
      </c>
      <c r="J68" s="139" t="s">
        <v>47</v>
      </c>
      <c r="K68" s="143">
        <v>45968</v>
      </c>
      <c r="L68" s="144" t="s">
        <v>1416</v>
      </c>
      <c r="M68" s="144" t="s">
        <v>1417</v>
      </c>
      <c r="N68" s="138">
        <v>998484504</v>
      </c>
      <c r="O68" s="141">
        <v>15</v>
      </c>
      <c r="P68" s="139" t="s">
        <v>48</v>
      </c>
      <c r="Q68" s="139" t="s">
        <v>46</v>
      </c>
      <c r="R68" s="142"/>
      <c r="S68" s="138" t="str">
        <f t="shared" ref="S68:S69" si="38">D68</f>
        <v>001-500-000000201</v>
      </c>
      <c r="T68" s="145" t="s">
        <v>1418</v>
      </c>
      <c r="U68" s="86" t="s">
        <v>1419</v>
      </c>
    </row>
    <row r="69" spans="1:21" s="134" customFormat="1" ht="19">
      <c r="A69" s="134">
        <v>64</v>
      </c>
      <c r="B69" s="153">
        <v>45751</v>
      </c>
      <c r="C69" s="138" t="s">
        <v>1032</v>
      </c>
      <c r="D69" s="138" t="s">
        <v>1414</v>
      </c>
      <c r="E69" s="139">
        <v>112580058</v>
      </c>
      <c r="F69" s="137" t="str">
        <f t="shared" si="0"/>
        <v>GBC 95030 KBB BK COCINA GAS</v>
      </c>
      <c r="G69" s="138" t="s">
        <v>1421</v>
      </c>
      <c r="H69" s="139" t="s">
        <v>24</v>
      </c>
      <c r="I69" s="139" t="s">
        <v>46</v>
      </c>
      <c r="J69" s="139" t="s">
        <v>47</v>
      </c>
      <c r="K69" s="143">
        <v>45968</v>
      </c>
      <c r="L69" s="144" t="s">
        <v>1416</v>
      </c>
      <c r="M69" s="144" t="s">
        <v>1417</v>
      </c>
      <c r="N69" s="138">
        <v>998484504</v>
      </c>
      <c r="O69" s="141">
        <v>15</v>
      </c>
      <c r="P69" s="139" t="s">
        <v>48</v>
      </c>
      <c r="Q69" s="139" t="s">
        <v>46</v>
      </c>
      <c r="R69" s="142"/>
      <c r="S69" s="138" t="str">
        <f t="shared" si="38"/>
        <v>001-500-000000201</v>
      </c>
      <c r="T69" s="145" t="s">
        <v>1418</v>
      </c>
      <c r="U69" s="86" t="s">
        <v>1419</v>
      </c>
    </row>
    <row r="70" spans="1:21" s="134" customFormat="1" ht="19">
      <c r="A70" s="134">
        <v>65</v>
      </c>
      <c r="B70" s="153">
        <v>45625</v>
      </c>
      <c r="C70" s="138" t="s">
        <v>1067</v>
      </c>
      <c r="D70" s="138" t="s">
        <v>1435</v>
      </c>
      <c r="E70" s="139">
        <v>111010028</v>
      </c>
      <c r="F70" s="137" t="str">
        <f t="shared" ref="F70:F89" si="39">VLOOKUP(E70,PROD,2,FALSE)</f>
        <v>HSB 646 "AIRFRY" - HORNO ELEC</v>
      </c>
      <c r="G70" s="138" t="s">
        <v>1436</v>
      </c>
      <c r="H70" s="139" t="s">
        <v>24</v>
      </c>
      <c r="I70" s="139" t="s">
        <v>46</v>
      </c>
      <c r="J70" s="139" t="s">
        <v>47</v>
      </c>
      <c r="K70" s="143">
        <v>45971</v>
      </c>
      <c r="L70" s="144" t="s">
        <v>1440</v>
      </c>
      <c r="M70" s="144" t="s">
        <v>1447</v>
      </c>
      <c r="N70" s="138">
        <v>987109638</v>
      </c>
      <c r="O70" s="141">
        <v>15</v>
      </c>
      <c r="P70" s="139" t="s">
        <v>48</v>
      </c>
      <c r="Q70" s="139" t="s">
        <v>46</v>
      </c>
      <c r="R70" s="142"/>
      <c r="S70" s="138" t="str">
        <f t="shared" ref="S70" si="40">D70</f>
        <v>040-101-000000496</v>
      </c>
      <c r="T70" s="145" t="s">
        <v>1441</v>
      </c>
      <c r="U70" s="86" t="s">
        <v>1468</v>
      </c>
    </row>
    <row r="71" spans="1:21" s="134" customFormat="1" ht="19">
      <c r="A71" s="134">
        <v>66</v>
      </c>
      <c r="B71" s="153">
        <v>45625</v>
      </c>
      <c r="C71" s="138" t="s">
        <v>1067</v>
      </c>
      <c r="D71" s="138" t="s">
        <v>1442</v>
      </c>
      <c r="E71" s="139">
        <v>40584105</v>
      </c>
      <c r="F71" s="137" t="str">
        <f t="shared" si="39"/>
        <v>MS 622 BIS - MICROONDAS</v>
      </c>
      <c r="G71" s="138" t="s">
        <v>1437</v>
      </c>
      <c r="H71" s="139" t="s">
        <v>24</v>
      </c>
      <c r="I71" s="139" t="s">
        <v>46</v>
      </c>
      <c r="J71" s="139" t="s">
        <v>47</v>
      </c>
      <c r="K71" s="143">
        <v>45971</v>
      </c>
      <c r="L71" s="144" t="s">
        <v>1440</v>
      </c>
      <c r="M71" s="144" t="s">
        <v>1447</v>
      </c>
      <c r="N71" s="138">
        <v>987109638</v>
      </c>
      <c r="O71" s="141">
        <v>15</v>
      </c>
      <c r="P71" s="139" t="s">
        <v>48</v>
      </c>
      <c r="Q71" s="139" t="s">
        <v>46</v>
      </c>
      <c r="R71" s="142"/>
      <c r="S71" s="138" t="str">
        <f t="shared" ref="S71:S73" si="41">D71</f>
        <v>040-101-000000495</v>
      </c>
      <c r="T71" s="145" t="s">
        <v>1441</v>
      </c>
      <c r="U71" s="86" t="s">
        <v>1468</v>
      </c>
    </row>
    <row r="72" spans="1:21" s="134" customFormat="1" ht="19">
      <c r="A72" s="134">
        <v>67</v>
      </c>
      <c r="B72" s="153">
        <v>45625</v>
      </c>
      <c r="C72" s="138" t="s">
        <v>1067</v>
      </c>
      <c r="D72" s="138" t="s">
        <v>1435</v>
      </c>
      <c r="E72" s="139">
        <v>112570128</v>
      </c>
      <c r="F72" s="137" t="str">
        <f t="shared" si="39"/>
        <v>JZC 96342 BBB BK (LAT) COCINA MIXTA GAS - INDUCCION</v>
      </c>
      <c r="G72" s="138" t="s">
        <v>1438</v>
      </c>
      <c r="H72" s="139" t="s">
        <v>24</v>
      </c>
      <c r="I72" s="139" t="s">
        <v>46</v>
      </c>
      <c r="J72" s="139" t="s">
        <v>47</v>
      </c>
      <c r="K72" s="143">
        <v>45971</v>
      </c>
      <c r="L72" s="144" t="s">
        <v>1440</v>
      </c>
      <c r="M72" s="144" t="s">
        <v>1447</v>
      </c>
      <c r="N72" s="138">
        <v>987109638</v>
      </c>
      <c r="O72" s="141">
        <v>15</v>
      </c>
      <c r="P72" s="139" t="s">
        <v>48</v>
      </c>
      <c r="Q72" s="139" t="s">
        <v>46</v>
      </c>
      <c r="R72" s="142"/>
      <c r="S72" s="138" t="str">
        <f t="shared" si="41"/>
        <v>040-101-000000496</v>
      </c>
      <c r="T72" s="145" t="s">
        <v>1441</v>
      </c>
      <c r="U72" s="86" t="s">
        <v>1468</v>
      </c>
    </row>
    <row r="73" spans="1:21" s="134" customFormat="1" ht="19">
      <c r="A73" s="134">
        <v>68</v>
      </c>
      <c r="B73" s="153">
        <v>45625</v>
      </c>
      <c r="C73" s="138" t="s">
        <v>1067</v>
      </c>
      <c r="D73" s="138" t="s">
        <v>1435</v>
      </c>
      <c r="E73" s="139">
        <v>40480301</v>
      </c>
      <c r="F73" s="137" t="str">
        <f t="shared" si="39"/>
        <v>CC 40 ISLA INOX CAMPANA NC:40480321</v>
      </c>
      <c r="G73" s="138" t="s">
        <v>1439</v>
      </c>
      <c r="H73" s="139" t="s">
        <v>24</v>
      </c>
      <c r="I73" s="139" t="s">
        <v>46</v>
      </c>
      <c r="J73" s="139" t="s">
        <v>47</v>
      </c>
      <c r="K73" s="143">
        <v>45971</v>
      </c>
      <c r="L73" s="144" t="s">
        <v>1440</v>
      </c>
      <c r="M73" s="144" t="s">
        <v>1447</v>
      </c>
      <c r="N73" s="138">
        <v>987109638</v>
      </c>
      <c r="O73" s="141">
        <v>30</v>
      </c>
      <c r="P73" s="139" t="s">
        <v>48</v>
      </c>
      <c r="Q73" s="139" t="s">
        <v>46</v>
      </c>
      <c r="R73" s="142"/>
      <c r="S73" s="138" t="str">
        <f t="shared" si="41"/>
        <v>040-101-000000496</v>
      </c>
      <c r="T73" s="145" t="s">
        <v>1441</v>
      </c>
      <c r="U73" s="86" t="s">
        <v>1468</v>
      </c>
    </row>
    <row r="74" spans="1:21" s="134" customFormat="1" ht="19">
      <c r="A74" s="134">
        <v>69</v>
      </c>
      <c r="B74" s="153">
        <v>45927</v>
      </c>
      <c r="C74" s="138" t="s">
        <v>1067</v>
      </c>
      <c r="D74" s="138" t="s">
        <v>1443</v>
      </c>
      <c r="E74" s="139">
        <v>111910000</v>
      </c>
      <c r="F74" s="137" t="str">
        <f t="shared" si="39"/>
        <v>MLH 845 SS - MICROONDAS</v>
      </c>
      <c r="G74" s="138" t="s">
        <v>1444</v>
      </c>
      <c r="H74" s="139" t="s">
        <v>24</v>
      </c>
      <c r="I74" s="139" t="s">
        <v>46</v>
      </c>
      <c r="J74" s="139" t="s">
        <v>47</v>
      </c>
      <c r="K74" s="143">
        <v>45971</v>
      </c>
      <c r="L74" s="144" t="s">
        <v>1446</v>
      </c>
      <c r="M74" s="144" t="s">
        <v>1448</v>
      </c>
      <c r="N74" s="138">
        <v>980744307</v>
      </c>
      <c r="O74" s="141">
        <v>20</v>
      </c>
      <c r="P74" s="139" t="s">
        <v>48</v>
      </c>
      <c r="Q74" s="139" t="s">
        <v>46</v>
      </c>
      <c r="R74" s="142"/>
      <c r="S74" s="138" t="str">
        <f t="shared" ref="S74" si="42">D74</f>
        <v>040-101-000000796</v>
      </c>
      <c r="T74" s="145" t="s">
        <v>1449</v>
      </c>
      <c r="U74" s="86" t="s">
        <v>1450</v>
      </c>
    </row>
    <row r="75" spans="1:21" s="134" customFormat="1" ht="19">
      <c r="A75" s="134">
        <v>70</v>
      </c>
      <c r="B75" s="153">
        <v>45927</v>
      </c>
      <c r="C75" s="138" t="s">
        <v>1067</v>
      </c>
      <c r="D75" s="138" t="s">
        <v>1443</v>
      </c>
      <c r="E75" s="139">
        <v>111010041</v>
      </c>
      <c r="F75" s="137" t="str">
        <f t="shared" si="39"/>
        <v>HSB 630 NEGRO HORNO ELEC</v>
      </c>
      <c r="G75" s="138" t="s">
        <v>1445</v>
      </c>
      <c r="H75" s="139" t="s">
        <v>24</v>
      </c>
      <c r="I75" s="139" t="s">
        <v>46</v>
      </c>
      <c r="J75" s="139" t="s">
        <v>47</v>
      </c>
      <c r="K75" s="143">
        <v>45971</v>
      </c>
      <c r="L75" s="144" t="s">
        <v>1446</v>
      </c>
      <c r="M75" s="144" t="s">
        <v>1448</v>
      </c>
      <c r="N75" s="138">
        <v>980744307</v>
      </c>
      <c r="O75" s="141">
        <v>20</v>
      </c>
      <c r="P75" s="139" t="s">
        <v>48</v>
      </c>
      <c r="Q75" s="139" t="s">
        <v>46</v>
      </c>
      <c r="R75" s="142"/>
      <c r="S75" s="138" t="str">
        <f t="shared" ref="S75" si="43">D75</f>
        <v>040-101-000000796</v>
      </c>
      <c r="T75" s="145" t="s">
        <v>1449</v>
      </c>
      <c r="U75" s="86" t="s">
        <v>1450</v>
      </c>
    </row>
    <row r="76" spans="1:21" s="134" customFormat="1" ht="19">
      <c r="A76" s="134">
        <v>71</v>
      </c>
      <c r="B76" s="153">
        <v>45897</v>
      </c>
      <c r="C76" s="138" t="s">
        <v>1252</v>
      </c>
      <c r="D76" s="138" t="s">
        <v>1451</v>
      </c>
      <c r="E76" s="139">
        <v>112030019</v>
      </c>
      <c r="F76" s="137" t="str">
        <f t="shared" si="39"/>
        <v>ML 8220 BIS FBK- MICROONDAS</v>
      </c>
      <c r="G76" s="138" t="s">
        <v>1452</v>
      </c>
      <c r="H76" s="139" t="s">
        <v>24</v>
      </c>
      <c r="I76" s="139" t="s">
        <v>46</v>
      </c>
      <c r="J76" s="139" t="s">
        <v>47</v>
      </c>
      <c r="K76" s="143">
        <v>45971</v>
      </c>
      <c r="L76" s="144" t="s">
        <v>1456</v>
      </c>
      <c r="M76" s="144" t="s">
        <v>1457</v>
      </c>
      <c r="N76" s="138">
        <v>9887111791</v>
      </c>
      <c r="O76" s="141">
        <v>15</v>
      </c>
      <c r="P76" s="139" t="s">
        <v>48</v>
      </c>
      <c r="Q76" s="139" t="s">
        <v>46</v>
      </c>
      <c r="R76" s="142"/>
      <c r="S76" s="138" t="str">
        <f t="shared" si="34"/>
        <v>040-103-000015738</v>
      </c>
      <c r="T76" s="145" t="s">
        <v>1458</v>
      </c>
      <c r="U76" s="86" t="s">
        <v>1459</v>
      </c>
    </row>
    <row r="77" spans="1:21" s="134" customFormat="1" ht="19">
      <c r="A77" s="134">
        <v>72</v>
      </c>
      <c r="B77" s="153">
        <v>45897</v>
      </c>
      <c r="C77" s="138" t="s">
        <v>1252</v>
      </c>
      <c r="D77" s="138" t="s">
        <v>1451</v>
      </c>
      <c r="E77" s="139">
        <v>111000051</v>
      </c>
      <c r="F77" s="137" t="str">
        <f t="shared" si="39"/>
        <v>HLB 8416 "AIR FRY" - HORNO ELEC</v>
      </c>
      <c r="G77" s="138" t="s">
        <v>1453</v>
      </c>
      <c r="H77" s="139" t="s">
        <v>24</v>
      </c>
      <c r="I77" s="139" t="s">
        <v>46</v>
      </c>
      <c r="J77" s="139" t="s">
        <v>47</v>
      </c>
      <c r="K77" s="143">
        <v>45971</v>
      </c>
      <c r="L77" s="144" t="s">
        <v>1456</v>
      </c>
      <c r="M77" s="144" t="s">
        <v>1457</v>
      </c>
      <c r="N77" s="138">
        <v>9887111791</v>
      </c>
      <c r="O77" s="141">
        <v>15</v>
      </c>
      <c r="P77" s="139" t="s">
        <v>48</v>
      </c>
      <c r="Q77" s="139" t="s">
        <v>46</v>
      </c>
      <c r="R77" s="142"/>
      <c r="S77" s="138" t="str">
        <f t="shared" ref="S77:S79" si="44">D77</f>
        <v>040-103-000015738</v>
      </c>
      <c r="T77" s="145" t="s">
        <v>1458</v>
      </c>
      <c r="U77" s="86" t="s">
        <v>1459</v>
      </c>
    </row>
    <row r="78" spans="1:21" s="134" customFormat="1" ht="19">
      <c r="A78" s="134">
        <v>73</v>
      </c>
      <c r="B78" s="153">
        <v>45897</v>
      </c>
      <c r="C78" s="138" t="s">
        <v>1252</v>
      </c>
      <c r="D78" s="138" t="s">
        <v>1451</v>
      </c>
      <c r="E78" s="139">
        <v>112930047</v>
      </c>
      <c r="F78" s="137" t="str">
        <f t="shared" si="39"/>
        <v>DVT 98660 TRL BK</v>
      </c>
      <c r="G78" s="138" t="s">
        <v>1454</v>
      </c>
      <c r="H78" s="139" t="s">
        <v>24</v>
      </c>
      <c r="I78" s="139" t="s">
        <v>46</v>
      </c>
      <c r="J78" s="139" t="s">
        <v>47</v>
      </c>
      <c r="K78" s="143">
        <v>45971</v>
      </c>
      <c r="L78" s="144" t="s">
        <v>1456</v>
      </c>
      <c r="M78" s="144" t="s">
        <v>1457</v>
      </c>
      <c r="N78" s="138">
        <v>9887111791</v>
      </c>
      <c r="O78" s="141">
        <v>15</v>
      </c>
      <c r="P78" s="139" t="s">
        <v>48</v>
      </c>
      <c r="Q78" s="139" t="s">
        <v>46</v>
      </c>
      <c r="R78" s="142"/>
      <c r="S78" s="138" t="str">
        <f t="shared" si="44"/>
        <v>040-103-000015738</v>
      </c>
      <c r="T78" s="145" t="s">
        <v>1458</v>
      </c>
      <c r="U78" s="86" t="s">
        <v>1459</v>
      </c>
    </row>
    <row r="79" spans="1:21" s="134" customFormat="1" ht="19">
      <c r="A79" s="134">
        <v>74</v>
      </c>
      <c r="B79" s="153">
        <v>45897</v>
      </c>
      <c r="C79" s="138" t="s">
        <v>1252</v>
      </c>
      <c r="D79" s="138" t="s">
        <v>1451</v>
      </c>
      <c r="E79" s="139">
        <v>112570073</v>
      </c>
      <c r="F79" s="137" t="str">
        <f t="shared" si="39"/>
        <v>GZC 96310 XBB CRISTAL COCINA GAS</v>
      </c>
      <c r="G79" s="138" t="s">
        <v>1455</v>
      </c>
      <c r="H79" s="139" t="s">
        <v>24</v>
      </c>
      <c r="I79" s="139" t="s">
        <v>46</v>
      </c>
      <c r="J79" s="139" t="s">
        <v>47</v>
      </c>
      <c r="K79" s="143">
        <v>45971</v>
      </c>
      <c r="L79" s="144" t="s">
        <v>1456</v>
      </c>
      <c r="M79" s="144" t="s">
        <v>1457</v>
      </c>
      <c r="N79" s="138">
        <v>9887111791</v>
      </c>
      <c r="O79" s="141">
        <v>15</v>
      </c>
      <c r="P79" s="139" t="s">
        <v>48</v>
      </c>
      <c r="Q79" s="139" t="s">
        <v>46</v>
      </c>
      <c r="R79" s="142"/>
      <c r="S79" s="138" t="str">
        <f t="shared" si="44"/>
        <v>040-103-000015738</v>
      </c>
      <c r="T79" s="145" t="s">
        <v>1458</v>
      </c>
      <c r="U79" s="86" t="s">
        <v>1459</v>
      </c>
    </row>
    <row r="80" spans="1:21" s="134" customFormat="1" ht="19">
      <c r="A80" s="134">
        <v>75</v>
      </c>
      <c r="B80" s="153">
        <v>45929</v>
      </c>
      <c r="C80" s="138" t="s">
        <v>1033</v>
      </c>
      <c r="D80" s="138" t="s">
        <v>1460</v>
      </c>
      <c r="E80" s="139">
        <v>40446712</v>
      </c>
      <c r="F80" s="137" t="str">
        <f t="shared" si="39"/>
        <v>GFH 73 INOX CAMPANA (110V-60HZ) C/KIT</v>
      </c>
      <c r="G80" s="138" t="s">
        <v>1461</v>
      </c>
      <c r="H80" s="139" t="s">
        <v>24</v>
      </c>
      <c r="I80" s="139" t="s">
        <v>46</v>
      </c>
      <c r="J80" s="139" t="s">
        <v>47</v>
      </c>
      <c r="K80" s="143">
        <v>45971</v>
      </c>
      <c r="L80" s="144" t="s">
        <v>1464</v>
      </c>
      <c r="M80" s="144" t="s">
        <v>1465</v>
      </c>
      <c r="N80" s="138">
        <v>992206605</v>
      </c>
      <c r="O80" s="141">
        <v>15</v>
      </c>
      <c r="P80" s="139" t="s">
        <v>48</v>
      </c>
      <c r="Q80" s="139" t="s">
        <v>46</v>
      </c>
      <c r="R80" s="142"/>
      <c r="S80" s="138" t="str">
        <f t="shared" si="34"/>
        <v>043-901-000031950</v>
      </c>
      <c r="T80" s="145" t="s">
        <v>1466</v>
      </c>
      <c r="U80" s="86" t="s">
        <v>1467</v>
      </c>
    </row>
    <row r="81" spans="1:21" s="134" customFormat="1" ht="19">
      <c r="A81" s="134">
        <v>76</v>
      </c>
      <c r="B81" s="153">
        <v>45929</v>
      </c>
      <c r="C81" s="138" t="s">
        <v>1033</v>
      </c>
      <c r="D81" s="138" t="s">
        <v>1460</v>
      </c>
      <c r="E81" s="139">
        <v>112610069</v>
      </c>
      <c r="F81" s="137" t="str">
        <f t="shared" si="39"/>
        <v>GSC 75330 XBA IX (LAT) COCINA INOX</v>
      </c>
      <c r="G81" s="138" t="s">
        <v>1462</v>
      </c>
      <c r="H81" s="139" t="s">
        <v>24</v>
      </c>
      <c r="I81" s="139" t="s">
        <v>46</v>
      </c>
      <c r="J81" s="139" t="s">
        <v>47</v>
      </c>
      <c r="K81" s="143">
        <v>45971</v>
      </c>
      <c r="L81" s="144" t="s">
        <v>1464</v>
      </c>
      <c r="M81" s="144" t="s">
        <v>1465</v>
      </c>
      <c r="N81" s="138">
        <v>992206605</v>
      </c>
      <c r="O81" s="141">
        <v>15</v>
      </c>
      <c r="P81" s="139" t="s">
        <v>48</v>
      </c>
      <c r="Q81" s="139" t="s">
        <v>46</v>
      </c>
      <c r="R81" s="142"/>
      <c r="S81" s="138" t="str">
        <f t="shared" ref="S81:S82" si="45">D81</f>
        <v>043-901-000031950</v>
      </c>
      <c r="T81" s="145" t="s">
        <v>1466</v>
      </c>
      <c r="U81" s="86" t="s">
        <v>1467</v>
      </c>
    </row>
    <row r="82" spans="1:21" s="134" customFormat="1" ht="19">
      <c r="A82" s="134">
        <v>77</v>
      </c>
      <c r="B82" s="153">
        <v>45929</v>
      </c>
      <c r="C82" s="138" t="s">
        <v>1033</v>
      </c>
      <c r="D82" s="138" t="s">
        <v>1460</v>
      </c>
      <c r="E82" s="139">
        <v>111000051</v>
      </c>
      <c r="F82" s="137" t="str">
        <f t="shared" si="39"/>
        <v>HLB 8416 "AIR FRY" - HORNO ELEC</v>
      </c>
      <c r="G82" s="138" t="s">
        <v>1463</v>
      </c>
      <c r="H82" s="139" t="s">
        <v>24</v>
      </c>
      <c r="I82" s="139" t="s">
        <v>46</v>
      </c>
      <c r="J82" s="139" t="s">
        <v>47</v>
      </c>
      <c r="K82" s="143">
        <v>45971</v>
      </c>
      <c r="L82" s="144" t="s">
        <v>1464</v>
      </c>
      <c r="M82" s="144" t="s">
        <v>1465</v>
      </c>
      <c r="N82" s="138">
        <v>992206605</v>
      </c>
      <c r="O82" s="141">
        <v>15</v>
      </c>
      <c r="P82" s="139" t="s">
        <v>48</v>
      </c>
      <c r="Q82" s="139" t="s">
        <v>46</v>
      </c>
      <c r="R82" s="142"/>
      <c r="S82" s="138" t="str">
        <f t="shared" si="45"/>
        <v>043-901-000031950</v>
      </c>
      <c r="T82" s="145" t="s">
        <v>1466</v>
      </c>
      <c r="U82" s="86" t="s">
        <v>1467</v>
      </c>
    </row>
    <row r="83" spans="1:21" s="134" customFormat="1" ht="19">
      <c r="A83" s="134">
        <v>78</v>
      </c>
      <c r="B83" s="153">
        <v>45872</v>
      </c>
      <c r="C83" s="138" t="s">
        <v>1033</v>
      </c>
      <c r="D83" s="138" t="s">
        <v>1469</v>
      </c>
      <c r="E83" s="139">
        <v>112610067</v>
      </c>
      <c r="F83" s="137" t="str">
        <f t="shared" si="39"/>
        <v>GSC 96320 XBA IX (LAT) COCINA INOX</v>
      </c>
      <c r="G83" s="138" t="s">
        <v>1470</v>
      </c>
      <c r="H83" s="139" t="s">
        <v>24</v>
      </c>
      <c r="I83" s="139" t="s">
        <v>46</v>
      </c>
      <c r="J83" s="139" t="s">
        <v>47</v>
      </c>
      <c r="K83" s="143">
        <v>45971</v>
      </c>
      <c r="L83" s="144" t="s">
        <v>1473</v>
      </c>
      <c r="M83" s="144" t="s">
        <v>1474</v>
      </c>
      <c r="N83" s="138">
        <v>995190646</v>
      </c>
      <c r="O83" s="141">
        <v>15</v>
      </c>
      <c r="P83" s="139" t="s">
        <v>48</v>
      </c>
      <c r="Q83" s="139" t="s">
        <v>46</v>
      </c>
      <c r="R83" s="142"/>
      <c r="S83" s="138" t="str">
        <f t="shared" ref="S83" si="46">D83</f>
        <v>043-901-000081922</v>
      </c>
      <c r="T83" s="145" t="s">
        <v>1475</v>
      </c>
      <c r="U83" s="86" t="s">
        <v>1476</v>
      </c>
    </row>
    <row r="84" spans="1:21" s="134" customFormat="1" ht="19">
      <c r="A84" s="134">
        <v>79</v>
      </c>
      <c r="B84" s="153">
        <v>45872</v>
      </c>
      <c r="C84" s="138" t="s">
        <v>1033</v>
      </c>
      <c r="D84" s="138" t="s">
        <v>1469</v>
      </c>
      <c r="E84" s="139">
        <v>111010028</v>
      </c>
      <c r="F84" s="137" t="str">
        <f t="shared" si="39"/>
        <v>HSB 646 "AIRFRY" - HORNO ELEC</v>
      </c>
      <c r="G84" s="138" t="s">
        <v>1471</v>
      </c>
      <c r="H84" s="139" t="s">
        <v>24</v>
      </c>
      <c r="I84" s="139" t="s">
        <v>46</v>
      </c>
      <c r="J84" s="139" t="s">
        <v>47</v>
      </c>
      <c r="K84" s="143">
        <v>45971</v>
      </c>
      <c r="L84" s="144" t="s">
        <v>1473</v>
      </c>
      <c r="M84" s="144" t="s">
        <v>1474</v>
      </c>
      <c r="N84" s="138">
        <v>995190646</v>
      </c>
      <c r="O84" s="141">
        <v>15</v>
      </c>
      <c r="P84" s="139" t="s">
        <v>48</v>
      </c>
      <c r="Q84" s="139" t="s">
        <v>46</v>
      </c>
      <c r="R84" s="142"/>
      <c r="S84" s="138" t="str">
        <f t="shared" ref="S84:S85" si="47">D84</f>
        <v>043-901-000081922</v>
      </c>
      <c r="T84" s="145" t="s">
        <v>1475</v>
      </c>
      <c r="U84" s="86" t="s">
        <v>1476</v>
      </c>
    </row>
    <row r="85" spans="1:21" s="134" customFormat="1" ht="19">
      <c r="A85" s="134">
        <v>80</v>
      </c>
      <c r="B85" s="153">
        <v>45975</v>
      </c>
      <c r="C85" s="138" t="s">
        <v>1033</v>
      </c>
      <c r="D85" s="138" t="s">
        <v>1744</v>
      </c>
      <c r="E85" s="139">
        <v>113120010</v>
      </c>
      <c r="F85" s="137" t="str">
        <f t="shared" si="39"/>
        <v>GFI 97350 ECS IX 110/60 CAMPANA</v>
      </c>
      <c r="G85" s="138" t="s">
        <v>1745</v>
      </c>
      <c r="H85" s="139" t="s">
        <v>24</v>
      </c>
      <c r="I85" s="139" t="s">
        <v>46</v>
      </c>
      <c r="J85" s="139" t="s">
        <v>47</v>
      </c>
      <c r="K85" s="143">
        <v>45971</v>
      </c>
      <c r="L85" s="144" t="s">
        <v>1473</v>
      </c>
      <c r="M85" s="144" t="s">
        <v>1474</v>
      </c>
      <c r="N85" s="138">
        <v>995190646</v>
      </c>
      <c r="O85" s="141">
        <v>15</v>
      </c>
      <c r="P85" s="139" t="s">
        <v>48</v>
      </c>
      <c r="Q85" s="139" t="s">
        <v>46</v>
      </c>
      <c r="R85" s="142"/>
      <c r="S85" s="138" t="str">
        <f t="shared" si="47"/>
        <v>043-903-000105706</v>
      </c>
      <c r="T85" s="145" t="s">
        <v>1475</v>
      </c>
      <c r="U85" s="86" t="s">
        <v>1476</v>
      </c>
    </row>
    <row r="86" spans="1:21" s="134" customFormat="1" ht="19">
      <c r="A86" s="134">
        <v>81</v>
      </c>
      <c r="B86" s="153">
        <v>45943</v>
      </c>
      <c r="C86" s="138" t="s">
        <v>1033</v>
      </c>
      <c r="D86" s="138" t="s">
        <v>1499</v>
      </c>
      <c r="E86" s="139">
        <v>112580017</v>
      </c>
      <c r="F86" s="137" t="str">
        <f t="shared" si="39"/>
        <v>GBC 64000 KBB CRISTAL COCINA GAS</v>
      </c>
      <c r="G86" s="138" t="s">
        <v>1500</v>
      </c>
      <c r="H86" s="139" t="s">
        <v>24</v>
      </c>
      <c r="I86" s="139" t="s">
        <v>46</v>
      </c>
      <c r="J86" s="139" t="s">
        <v>47</v>
      </c>
      <c r="K86" s="143">
        <v>45972</v>
      </c>
      <c r="L86" s="144" t="s">
        <v>1503</v>
      </c>
      <c r="M86" s="144" t="s">
        <v>1504</v>
      </c>
      <c r="N86" s="138">
        <v>999685842</v>
      </c>
      <c r="O86" s="141">
        <v>15</v>
      </c>
      <c r="P86" s="139" t="s">
        <v>48</v>
      </c>
      <c r="Q86" s="139" t="s">
        <v>46</v>
      </c>
      <c r="R86" s="142"/>
      <c r="S86" s="138" t="str">
        <f t="shared" ref="S86" si="48">D86</f>
        <v>027-911-000948322</v>
      </c>
      <c r="T86" s="145" t="s">
        <v>1505</v>
      </c>
      <c r="U86" s="86" t="s">
        <v>1506</v>
      </c>
    </row>
    <row r="87" spans="1:21" s="134" customFormat="1" ht="19">
      <c r="A87" s="134">
        <v>82</v>
      </c>
      <c r="B87" s="153">
        <v>45943</v>
      </c>
      <c r="C87" s="138" t="s">
        <v>1033</v>
      </c>
      <c r="D87" s="138" t="s">
        <v>1499</v>
      </c>
      <c r="E87" s="139">
        <v>111040006</v>
      </c>
      <c r="F87" s="137" t="str">
        <f t="shared" si="39"/>
        <v>HSB 750 G SS HORNO A GAS</v>
      </c>
      <c r="G87" s="138" t="s">
        <v>1501</v>
      </c>
      <c r="H87" s="139" t="s">
        <v>24</v>
      </c>
      <c r="I87" s="139" t="s">
        <v>46</v>
      </c>
      <c r="J87" s="139" t="s">
        <v>47</v>
      </c>
      <c r="K87" s="143">
        <v>45972</v>
      </c>
      <c r="L87" s="144" t="s">
        <v>1503</v>
      </c>
      <c r="M87" s="144" t="s">
        <v>1504</v>
      </c>
      <c r="N87" s="138">
        <v>999685842</v>
      </c>
      <c r="O87" s="141">
        <v>15</v>
      </c>
      <c r="P87" s="139" t="s">
        <v>48</v>
      </c>
      <c r="Q87" s="139" t="s">
        <v>46</v>
      </c>
      <c r="R87" s="142"/>
      <c r="S87" s="138" t="str">
        <f t="shared" ref="S87:S92" si="49">D87</f>
        <v>027-911-000948322</v>
      </c>
      <c r="T87" s="145" t="s">
        <v>1505</v>
      </c>
      <c r="U87" s="86" t="s">
        <v>1506</v>
      </c>
    </row>
    <row r="88" spans="1:21" s="134" customFormat="1" ht="19">
      <c r="A88" s="134">
        <v>83</v>
      </c>
      <c r="B88" s="153">
        <v>45943</v>
      </c>
      <c r="C88" s="138" t="s">
        <v>1033</v>
      </c>
      <c r="D88" s="138" t="s">
        <v>1499</v>
      </c>
      <c r="E88" s="139">
        <v>111910000</v>
      </c>
      <c r="F88" s="137" t="str">
        <f t="shared" si="39"/>
        <v>MLH 845 SS - MICROONDAS</v>
      </c>
      <c r="G88" s="188" t="s">
        <v>1502</v>
      </c>
      <c r="H88" s="139" t="s">
        <v>24</v>
      </c>
      <c r="I88" s="139" t="s">
        <v>46</v>
      </c>
      <c r="J88" s="139" t="s">
        <v>47</v>
      </c>
      <c r="K88" s="143">
        <v>45972</v>
      </c>
      <c r="L88" s="144" t="s">
        <v>1503</v>
      </c>
      <c r="M88" s="144" t="s">
        <v>1504</v>
      </c>
      <c r="N88" s="138">
        <v>999685842</v>
      </c>
      <c r="O88" s="141">
        <v>15</v>
      </c>
      <c r="P88" s="139" t="s">
        <v>48</v>
      </c>
      <c r="Q88" s="139" t="s">
        <v>46</v>
      </c>
      <c r="R88" s="142"/>
      <c r="S88" s="138" t="str">
        <f t="shared" si="49"/>
        <v>027-911-000948322</v>
      </c>
      <c r="T88" s="145" t="s">
        <v>1505</v>
      </c>
      <c r="U88" s="86" t="s">
        <v>1506</v>
      </c>
    </row>
    <row r="89" spans="1:21" s="134" customFormat="1" ht="19">
      <c r="A89" s="134">
        <v>84</v>
      </c>
      <c r="B89" s="153">
        <v>45815</v>
      </c>
      <c r="C89" s="138" t="s">
        <v>1032</v>
      </c>
      <c r="D89" s="138" t="s">
        <v>1507</v>
      </c>
      <c r="E89" s="139">
        <v>112570211</v>
      </c>
      <c r="F89" s="137" t="str">
        <f t="shared" si="39"/>
        <v>GBC 75-G1 GBA BM COCINA GAS</v>
      </c>
      <c r="G89" s="138" t="s">
        <v>1509</v>
      </c>
      <c r="H89" s="139" t="s">
        <v>24</v>
      </c>
      <c r="I89" s="139" t="s">
        <v>46</v>
      </c>
      <c r="J89" s="139" t="s">
        <v>47</v>
      </c>
      <c r="K89" s="143">
        <v>45972</v>
      </c>
      <c r="L89" s="144" t="s">
        <v>1512</v>
      </c>
      <c r="M89" s="144" t="s">
        <v>1513</v>
      </c>
      <c r="N89" s="138">
        <v>984412139</v>
      </c>
      <c r="O89" s="141">
        <v>15</v>
      </c>
      <c r="P89" s="139" t="s">
        <v>48</v>
      </c>
      <c r="Q89" s="139" t="s">
        <v>46</v>
      </c>
      <c r="R89" s="142"/>
      <c r="S89" s="138" t="str">
        <f t="shared" si="49"/>
        <v>001-500-000074082</v>
      </c>
      <c r="T89" s="145" t="s">
        <v>1514</v>
      </c>
      <c r="U89" s="86" t="s">
        <v>1515</v>
      </c>
    </row>
    <row r="90" spans="1:21" s="134" customFormat="1" ht="19">
      <c r="A90" s="134">
        <v>85</v>
      </c>
      <c r="B90" s="153">
        <v>45941</v>
      </c>
      <c r="C90" s="138" t="s">
        <v>1032</v>
      </c>
      <c r="D90" s="138" t="s">
        <v>1508</v>
      </c>
      <c r="E90" s="139">
        <v>40466241</v>
      </c>
      <c r="F90" s="137" t="str">
        <f t="shared" ref="F90:F94" si="50">VLOOKUP(E90,PROD,2,FALSE)</f>
        <v>C 9310 INOX CAMPANA (110V-60HZ) C/KIT</v>
      </c>
      <c r="G90" s="138" t="s">
        <v>1510</v>
      </c>
      <c r="H90" s="139" t="s">
        <v>24</v>
      </c>
      <c r="I90" s="139" t="s">
        <v>46</v>
      </c>
      <c r="J90" s="139" t="s">
        <v>47</v>
      </c>
      <c r="K90" s="143">
        <v>45972</v>
      </c>
      <c r="L90" s="144" t="s">
        <v>1512</v>
      </c>
      <c r="M90" s="144" t="s">
        <v>1513</v>
      </c>
      <c r="N90" s="138">
        <v>984412139</v>
      </c>
      <c r="O90" s="141">
        <v>15</v>
      </c>
      <c r="P90" s="139" t="s">
        <v>48</v>
      </c>
      <c r="Q90" s="139" t="s">
        <v>46</v>
      </c>
      <c r="R90" s="142"/>
      <c r="S90" s="138" t="str">
        <f t="shared" si="49"/>
        <v>001-500-000077768</v>
      </c>
      <c r="T90" s="145" t="s">
        <v>1514</v>
      </c>
      <c r="U90" s="86" t="s">
        <v>1515</v>
      </c>
    </row>
    <row r="91" spans="1:21" s="134" customFormat="1" ht="19">
      <c r="A91" s="134">
        <v>86</v>
      </c>
      <c r="B91" s="153">
        <v>45815</v>
      </c>
      <c r="C91" s="138" t="s">
        <v>1032</v>
      </c>
      <c r="D91" s="138" t="s">
        <v>1507</v>
      </c>
      <c r="E91" s="139">
        <v>111030002</v>
      </c>
      <c r="F91" s="137" t="str">
        <f t="shared" si="50"/>
        <v>HLB 760 G SS HORNO A GAS</v>
      </c>
      <c r="G91" s="138" t="s">
        <v>1511</v>
      </c>
      <c r="H91" s="139" t="s">
        <v>24</v>
      </c>
      <c r="I91" s="139" t="s">
        <v>46</v>
      </c>
      <c r="J91" s="139" t="s">
        <v>47</v>
      </c>
      <c r="K91" s="143">
        <v>45972</v>
      </c>
      <c r="L91" s="144" t="s">
        <v>1512</v>
      </c>
      <c r="M91" s="144" t="s">
        <v>1513</v>
      </c>
      <c r="N91" s="138">
        <v>984412139</v>
      </c>
      <c r="O91" s="141">
        <v>15</v>
      </c>
      <c r="P91" s="139" t="s">
        <v>48</v>
      </c>
      <c r="Q91" s="139" t="s">
        <v>46</v>
      </c>
      <c r="R91" s="142"/>
      <c r="S91" s="138" t="str">
        <f t="shared" si="49"/>
        <v>001-500-000074082</v>
      </c>
      <c r="T91" s="145" t="s">
        <v>1514</v>
      </c>
      <c r="U91" s="86" t="s">
        <v>1515</v>
      </c>
    </row>
    <row r="92" spans="1:21" s="162" customFormat="1" ht="19">
      <c r="A92" s="134">
        <v>87</v>
      </c>
      <c r="B92" s="153">
        <v>45964</v>
      </c>
      <c r="C92" s="138" t="s">
        <v>1032</v>
      </c>
      <c r="D92" s="138" t="s">
        <v>1516</v>
      </c>
      <c r="E92" s="139">
        <v>111000051</v>
      </c>
      <c r="F92" s="163" t="str">
        <f t="shared" si="50"/>
        <v>HLB 8416 "AIR FRY" - HORNO ELEC</v>
      </c>
      <c r="G92" s="138" t="s">
        <v>1517</v>
      </c>
      <c r="H92" s="139" t="s">
        <v>24</v>
      </c>
      <c r="I92" s="139" t="s">
        <v>46</v>
      </c>
      <c r="J92" s="139" t="s">
        <v>47</v>
      </c>
      <c r="K92" s="143">
        <v>45972</v>
      </c>
      <c r="L92" s="144" t="s">
        <v>1518</v>
      </c>
      <c r="M92" s="144" t="s">
        <v>1519</v>
      </c>
      <c r="N92" s="138">
        <v>987408848</v>
      </c>
      <c r="O92" s="141">
        <v>20</v>
      </c>
      <c r="P92" s="139" t="s">
        <v>48</v>
      </c>
      <c r="Q92" s="139" t="s">
        <v>46</v>
      </c>
      <c r="R92" s="142"/>
      <c r="S92" s="138" t="str">
        <f t="shared" si="49"/>
        <v>001-500-000078440</v>
      </c>
      <c r="T92" s="145" t="s">
        <v>1520</v>
      </c>
      <c r="U92" s="86" t="s">
        <v>1521</v>
      </c>
    </row>
    <row r="93" spans="1:21" s="134" customFormat="1" ht="19">
      <c r="A93" s="134">
        <v>88</v>
      </c>
      <c r="B93" s="153">
        <v>45864</v>
      </c>
      <c r="C93" s="138" t="s">
        <v>1033</v>
      </c>
      <c r="D93" s="138" t="s">
        <v>1522</v>
      </c>
      <c r="E93" s="139">
        <v>112580027</v>
      </c>
      <c r="F93" s="137" t="str">
        <f t="shared" si="50"/>
        <v>GBC 75030 KBB CRISTAL COCINA GAS</v>
      </c>
      <c r="G93" s="138" t="s">
        <v>1523</v>
      </c>
      <c r="H93" s="139" t="s">
        <v>24</v>
      </c>
      <c r="I93" s="139" t="s">
        <v>46</v>
      </c>
      <c r="J93" s="139" t="s">
        <v>47</v>
      </c>
      <c r="K93" s="143">
        <v>45972</v>
      </c>
      <c r="L93" s="144" t="s">
        <v>1518</v>
      </c>
      <c r="M93" s="144" t="s">
        <v>1519</v>
      </c>
      <c r="N93" s="138">
        <v>987408848</v>
      </c>
      <c r="O93" s="141">
        <v>20</v>
      </c>
      <c r="P93" s="139" t="s">
        <v>48</v>
      </c>
      <c r="Q93" s="139" t="s">
        <v>46</v>
      </c>
      <c r="R93" s="142"/>
      <c r="S93" s="138" t="str">
        <f t="shared" ref="S93:S94" si="51">D93</f>
        <v>016-902-000520042</v>
      </c>
      <c r="T93" s="145" t="s">
        <v>1520</v>
      </c>
      <c r="U93" s="86" t="s">
        <v>1521</v>
      </c>
    </row>
    <row r="94" spans="1:21" s="134" customFormat="1" ht="19">
      <c r="A94" s="134">
        <v>89</v>
      </c>
      <c r="B94" s="153">
        <v>45964</v>
      </c>
      <c r="C94" s="138" t="s">
        <v>1067</v>
      </c>
      <c r="D94" s="138" t="s">
        <v>1552</v>
      </c>
      <c r="E94" s="139">
        <v>112500046</v>
      </c>
      <c r="F94" s="137" t="str">
        <f t="shared" si="50"/>
        <v>IZF 88700 MST COCINA INDUCCION</v>
      </c>
      <c r="G94" s="138" t="s">
        <v>1553</v>
      </c>
      <c r="H94" s="139" t="s">
        <v>24</v>
      </c>
      <c r="I94" s="139" t="s">
        <v>46</v>
      </c>
      <c r="J94" s="139" t="s">
        <v>47</v>
      </c>
      <c r="K94" s="143">
        <v>45973</v>
      </c>
      <c r="L94" s="144" t="s">
        <v>1556</v>
      </c>
      <c r="M94" s="144" t="s">
        <v>1557</v>
      </c>
      <c r="N94" s="138">
        <v>987668294</v>
      </c>
      <c r="O94" s="141">
        <v>15</v>
      </c>
      <c r="P94" s="139" t="s">
        <v>48</v>
      </c>
      <c r="Q94" s="139" t="s">
        <v>46</v>
      </c>
      <c r="R94" s="142"/>
      <c r="S94" s="138" t="str">
        <f t="shared" si="51"/>
        <v>040-104-000014429</v>
      </c>
      <c r="T94" s="145" t="s">
        <v>1558</v>
      </c>
      <c r="U94" s="86" t="s">
        <v>1559</v>
      </c>
    </row>
    <row r="95" spans="1:21" s="134" customFormat="1" ht="19">
      <c r="A95" s="134">
        <v>90</v>
      </c>
      <c r="B95" s="153">
        <v>45964</v>
      </c>
      <c r="C95" s="138" t="s">
        <v>1067</v>
      </c>
      <c r="D95" s="138" t="s">
        <v>1552</v>
      </c>
      <c r="E95" s="139">
        <v>112930047</v>
      </c>
      <c r="F95" s="137" t="str">
        <f t="shared" ref="F95:F104" si="52">VLOOKUP(E95,PROD,2,FALSE)</f>
        <v>DVT 98660 TRL BK</v>
      </c>
      <c r="G95" s="138" t="s">
        <v>1554</v>
      </c>
      <c r="H95" s="139" t="s">
        <v>24</v>
      </c>
      <c r="I95" s="139" t="s">
        <v>46</v>
      </c>
      <c r="J95" s="139" t="s">
        <v>47</v>
      </c>
      <c r="K95" s="143">
        <v>45973</v>
      </c>
      <c r="L95" s="144" t="s">
        <v>1556</v>
      </c>
      <c r="M95" s="144" t="s">
        <v>1557</v>
      </c>
      <c r="N95" s="138">
        <v>987668294</v>
      </c>
      <c r="O95" s="141">
        <v>15</v>
      </c>
      <c r="P95" s="139" t="s">
        <v>48</v>
      </c>
      <c r="Q95" s="139" t="s">
        <v>46</v>
      </c>
      <c r="R95" s="142"/>
      <c r="S95" s="138" t="str">
        <f t="shared" ref="S95:S97" si="53">D95</f>
        <v>040-104-000014429</v>
      </c>
      <c r="T95" s="145" t="s">
        <v>1558</v>
      </c>
      <c r="U95" s="86" t="s">
        <v>1559</v>
      </c>
    </row>
    <row r="96" spans="1:21" s="134" customFormat="1" ht="19">
      <c r="A96" s="134">
        <v>91</v>
      </c>
      <c r="B96" s="153">
        <v>45964</v>
      </c>
      <c r="C96" s="138" t="s">
        <v>1067</v>
      </c>
      <c r="D96" s="138" t="s">
        <v>1552</v>
      </c>
      <c r="E96" s="139">
        <v>111000050</v>
      </c>
      <c r="F96" s="137" t="str">
        <f t="shared" si="52"/>
        <v>HLB 8510 P "MAESTRO PIZZA"</v>
      </c>
      <c r="G96" s="138" t="s">
        <v>1555</v>
      </c>
      <c r="H96" s="139" t="s">
        <v>24</v>
      </c>
      <c r="I96" s="139" t="s">
        <v>46</v>
      </c>
      <c r="J96" s="139" t="s">
        <v>47</v>
      </c>
      <c r="K96" s="143">
        <v>45973</v>
      </c>
      <c r="L96" s="144" t="s">
        <v>1556</v>
      </c>
      <c r="M96" s="144" t="s">
        <v>1557</v>
      </c>
      <c r="N96" s="138">
        <v>987668294</v>
      </c>
      <c r="O96" s="141">
        <v>15</v>
      </c>
      <c r="P96" s="139" t="s">
        <v>48</v>
      </c>
      <c r="Q96" s="139" t="s">
        <v>46</v>
      </c>
      <c r="R96" s="142"/>
      <c r="S96" s="138" t="str">
        <f t="shared" si="53"/>
        <v>040-104-000014429</v>
      </c>
      <c r="T96" s="145" t="s">
        <v>1558</v>
      </c>
      <c r="U96" s="86" t="s">
        <v>1559</v>
      </c>
    </row>
    <row r="97" spans="1:21" s="134" customFormat="1" ht="19">
      <c r="A97" s="134">
        <v>92</v>
      </c>
      <c r="B97" s="153">
        <v>45964</v>
      </c>
      <c r="C97" s="138" t="s">
        <v>1033</v>
      </c>
      <c r="D97" s="138" t="s">
        <v>1567</v>
      </c>
      <c r="E97" s="139">
        <v>113120010</v>
      </c>
      <c r="F97" s="137" t="str">
        <f t="shared" si="52"/>
        <v>GFI 97350 ECS IX 110/60 CAMPANA</v>
      </c>
      <c r="G97" s="138" t="s">
        <v>1560</v>
      </c>
      <c r="H97" s="139" t="s">
        <v>24</v>
      </c>
      <c r="I97" s="139" t="s">
        <v>46</v>
      </c>
      <c r="J97" s="139" t="s">
        <v>47</v>
      </c>
      <c r="K97" s="143">
        <v>45973</v>
      </c>
      <c r="L97" s="144" t="s">
        <v>1563</v>
      </c>
      <c r="M97" s="144" t="s">
        <v>1564</v>
      </c>
      <c r="N97" s="138">
        <v>92174485</v>
      </c>
      <c r="O97" s="141">
        <v>15</v>
      </c>
      <c r="P97" s="139" t="s">
        <v>48</v>
      </c>
      <c r="Q97" s="139" t="s">
        <v>46</v>
      </c>
      <c r="R97" s="142"/>
      <c r="S97" s="138" t="str">
        <f t="shared" si="53"/>
        <v>043-901-00001974</v>
      </c>
      <c r="T97" s="145" t="s">
        <v>1565</v>
      </c>
      <c r="U97" s="86" t="s">
        <v>1566</v>
      </c>
    </row>
    <row r="98" spans="1:21" s="134" customFormat="1" ht="19">
      <c r="A98" s="134">
        <v>93</v>
      </c>
      <c r="B98" s="153">
        <v>45964</v>
      </c>
      <c r="C98" s="138" t="s">
        <v>1033</v>
      </c>
      <c r="D98" s="138" t="s">
        <v>1567</v>
      </c>
      <c r="E98" s="139">
        <v>111000051</v>
      </c>
      <c r="F98" s="137" t="str">
        <f t="shared" si="52"/>
        <v>HLB 8416 "AIR FRY" - HORNO ELEC</v>
      </c>
      <c r="G98" s="138" t="s">
        <v>1561</v>
      </c>
      <c r="H98" s="139" t="s">
        <v>24</v>
      </c>
      <c r="I98" s="139" t="s">
        <v>46</v>
      </c>
      <c r="J98" s="139" t="s">
        <v>47</v>
      </c>
      <c r="K98" s="143">
        <v>45973</v>
      </c>
      <c r="L98" s="144" t="s">
        <v>1563</v>
      </c>
      <c r="M98" s="144" t="s">
        <v>1564</v>
      </c>
      <c r="N98" s="138">
        <v>92174485</v>
      </c>
      <c r="O98" s="141">
        <v>15</v>
      </c>
      <c r="P98" s="139" t="s">
        <v>48</v>
      </c>
      <c r="Q98" s="139" t="s">
        <v>46</v>
      </c>
      <c r="R98" s="142"/>
      <c r="S98" s="138" t="str">
        <f t="shared" ref="S98:S100" si="54">D98</f>
        <v>043-901-00001974</v>
      </c>
      <c r="T98" s="145" t="s">
        <v>1565</v>
      </c>
      <c r="U98" s="86" t="s">
        <v>1566</v>
      </c>
    </row>
    <row r="99" spans="1:21" s="134" customFormat="1" ht="19">
      <c r="A99" s="134">
        <v>94</v>
      </c>
      <c r="B99" s="153">
        <v>45964</v>
      </c>
      <c r="C99" s="138" t="s">
        <v>1033</v>
      </c>
      <c r="D99" s="138" t="s">
        <v>1567</v>
      </c>
      <c r="E99" s="139">
        <v>112030019</v>
      </c>
      <c r="F99" s="137" t="str">
        <f t="shared" si="52"/>
        <v>ML 8220 BIS FBK- MICROONDAS</v>
      </c>
      <c r="G99" s="138" t="s">
        <v>1562</v>
      </c>
      <c r="H99" s="139" t="s">
        <v>24</v>
      </c>
      <c r="I99" s="139" t="s">
        <v>46</v>
      </c>
      <c r="J99" s="139" t="s">
        <v>47</v>
      </c>
      <c r="K99" s="143">
        <v>45973</v>
      </c>
      <c r="L99" s="144" t="s">
        <v>1563</v>
      </c>
      <c r="M99" s="144" t="s">
        <v>1564</v>
      </c>
      <c r="N99" s="138">
        <v>92174485</v>
      </c>
      <c r="O99" s="141">
        <v>15</v>
      </c>
      <c r="P99" s="139" t="s">
        <v>48</v>
      </c>
      <c r="Q99" s="139" t="s">
        <v>46</v>
      </c>
      <c r="R99" s="142"/>
      <c r="S99" s="138" t="str">
        <f t="shared" si="54"/>
        <v>043-901-00001974</v>
      </c>
      <c r="T99" s="145" t="s">
        <v>1565</v>
      </c>
      <c r="U99" s="86" t="s">
        <v>1566</v>
      </c>
    </row>
    <row r="100" spans="1:21" s="134" customFormat="1" ht="19">
      <c r="A100" s="134">
        <v>95</v>
      </c>
      <c r="B100" s="153">
        <v>45962</v>
      </c>
      <c r="C100" s="138" t="s">
        <v>1252</v>
      </c>
      <c r="D100" s="138" t="s">
        <v>1568</v>
      </c>
      <c r="E100" s="139">
        <v>40484203</v>
      </c>
      <c r="F100" s="137" t="str">
        <f t="shared" si="52"/>
        <v>DSH 785 INOX CAMPANA (110V-60HZ) C/KIT</v>
      </c>
      <c r="G100" s="138" t="s">
        <v>1569</v>
      </c>
      <c r="H100" s="139" t="s">
        <v>24</v>
      </c>
      <c r="I100" s="139" t="s">
        <v>46</v>
      </c>
      <c r="J100" s="139" t="s">
        <v>47</v>
      </c>
      <c r="K100" s="143">
        <v>45973</v>
      </c>
      <c r="L100" s="144" t="s">
        <v>1571</v>
      </c>
      <c r="M100" s="144" t="s">
        <v>1457</v>
      </c>
      <c r="N100" s="138">
        <v>93998609</v>
      </c>
      <c r="O100" s="141">
        <v>20</v>
      </c>
      <c r="P100" s="139" t="s">
        <v>48</v>
      </c>
      <c r="Q100" s="139" t="s">
        <v>46</v>
      </c>
      <c r="R100" s="142"/>
      <c r="S100" s="138" t="str">
        <f t="shared" si="54"/>
        <v>040-103-000017024</v>
      </c>
      <c r="T100" s="145" t="s">
        <v>1572</v>
      </c>
      <c r="U100" s="86" t="s">
        <v>1573</v>
      </c>
    </row>
    <row r="101" spans="1:21" s="134" customFormat="1" ht="19">
      <c r="A101" s="134">
        <v>96</v>
      </c>
      <c r="B101" s="153">
        <v>45962</v>
      </c>
      <c r="C101" s="138" t="s">
        <v>1252</v>
      </c>
      <c r="D101" s="138" t="s">
        <v>1568</v>
      </c>
      <c r="E101" s="139">
        <v>112510035</v>
      </c>
      <c r="F101" s="137" t="str">
        <f t="shared" si="52"/>
        <v>IZF 64440 MSP BK COCINA INDUCCION</v>
      </c>
      <c r="G101" s="138" t="s">
        <v>1570</v>
      </c>
      <c r="H101" s="139" t="s">
        <v>24</v>
      </c>
      <c r="I101" s="139" t="s">
        <v>46</v>
      </c>
      <c r="J101" s="139" t="s">
        <v>47</v>
      </c>
      <c r="K101" s="143">
        <v>45973</v>
      </c>
      <c r="L101" s="144" t="s">
        <v>1571</v>
      </c>
      <c r="M101" s="144" t="s">
        <v>1457</v>
      </c>
      <c r="N101" s="138">
        <v>93998609</v>
      </c>
      <c r="O101" s="141">
        <v>20</v>
      </c>
      <c r="P101" s="139" t="s">
        <v>48</v>
      </c>
      <c r="Q101" s="139" t="s">
        <v>46</v>
      </c>
      <c r="R101" s="142"/>
      <c r="S101" s="138" t="str">
        <f t="shared" ref="S101:S102" si="55">D101</f>
        <v>040-103-000017024</v>
      </c>
      <c r="T101" s="145" t="s">
        <v>1572</v>
      </c>
      <c r="U101" s="86" t="s">
        <v>1573</v>
      </c>
    </row>
    <row r="102" spans="1:21" s="134" customFormat="1" ht="19">
      <c r="A102" s="134">
        <v>97</v>
      </c>
      <c r="B102" s="153">
        <v>45752</v>
      </c>
      <c r="C102" s="138" t="s">
        <v>1032</v>
      </c>
      <c r="D102" s="138" t="s">
        <v>1591</v>
      </c>
      <c r="E102" s="139">
        <v>112570238</v>
      </c>
      <c r="F102" s="137" t="str">
        <f t="shared" si="52"/>
        <v>GBC 95-G1 GBA BM COCINA GAS</v>
      </c>
      <c r="G102" s="138" t="s">
        <v>1595</v>
      </c>
      <c r="H102" s="139" t="s">
        <v>24</v>
      </c>
      <c r="I102" s="139" t="s">
        <v>46</v>
      </c>
      <c r="J102" s="139" t="s">
        <v>47</v>
      </c>
      <c r="K102" s="143">
        <v>45974</v>
      </c>
      <c r="L102" s="144" t="s">
        <v>1596</v>
      </c>
      <c r="M102" s="144" t="s">
        <v>1597</v>
      </c>
      <c r="N102" s="138">
        <v>984995210</v>
      </c>
      <c r="O102" s="141">
        <v>15</v>
      </c>
      <c r="P102" s="139" t="s">
        <v>48</v>
      </c>
      <c r="Q102" s="139" t="s">
        <v>46</v>
      </c>
      <c r="R102" s="142"/>
      <c r="S102" s="138" t="str">
        <f t="shared" si="55"/>
        <v>001-500-000076630</v>
      </c>
      <c r="T102" s="145" t="s">
        <v>1598</v>
      </c>
      <c r="U102" s="86" t="s">
        <v>1599</v>
      </c>
    </row>
    <row r="103" spans="1:21" s="134" customFormat="1" ht="19">
      <c r="A103" s="134">
        <v>98</v>
      </c>
      <c r="B103" s="153">
        <v>45752</v>
      </c>
      <c r="C103" s="138" t="s">
        <v>1032</v>
      </c>
      <c r="D103" s="138" t="s">
        <v>1591</v>
      </c>
      <c r="E103" s="139">
        <v>40483182</v>
      </c>
      <c r="F103" s="137" t="str">
        <f t="shared" si="52"/>
        <v>CUERPO DPL ISLA 1180</v>
      </c>
      <c r="G103" s="138" t="s">
        <v>1594</v>
      </c>
      <c r="H103" s="139" t="s">
        <v>24</v>
      </c>
      <c r="I103" s="139" t="s">
        <v>46</v>
      </c>
      <c r="J103" s="139" t="s">
        <v>47</v>
      </c>
      <c r="K103" s="143">
        <v>45974</v>
      </c>
      <c r="L103" s="144" t="s">
        <v>1596</v>
      </c>
      <c r="M103" s="144" t="s">
        <v>1597</v>
      </c>
      <c r="N103" s="138">
        <v>984995210</v>
      </c>
      <c r="O103" s="141">
        <v>30</v>
      </c>
      <c r="P103" s="139" t="s">
        <v>48</v>
      </c>
      <c r="Q103" s="139" t="s">
        <v>46</v>
      </c>
      <c r="R103" s="142"/>
      <c r="S103" s="138" t="str">
        <f t="shared" ref="S103:S106" si="56">D103</f>
        <v>001-500-000076630</v>
      </c>
      <c r="T103" s="145" t="s">
        <v>1598</v>
      </c>
      <c r="U103" s="86" t="s">
        <v>1599</v>
      </c>
    </row>
    <row r="104" spans="1:21" s="134" customFormat="1" ht="19">
      <c r="A104" s="134">
        <v>99</v>
      </c>
      <c r="B104" s="153">
        <v>45752</v>
      </c>
      <c r="C104" s="138" t="s">
        <v>1032</v>
      </c>
      <c r="D104" s="138" t="s">
        <v>1591</v>
      </c>
      <c r="E104" s="139">
        <v>111030002</v>
      </c>
      <c r="F104" s="137" t="str">
        <f t="shared" si="52"/>
        <v>HLB 760 G SS HORNO A GAS</v>
      </c>
      <c r="G104" s="138" t="s">
        <v>1593</v>
      </c>
      <c r="H104" s="139" t="s">
        <v>24</v>
      </c>
      <c r="I104" s="139" t="s">
        <v>46</v>
      </c>
      <c r="J104" s="139" t="s">
        <v>47</v>
      </c>
      <c r="K104" s="143">
        <v>45974</v>
      </c>
      <c r="L104" s="144" t="s">
        <v>1596</v>
      </c>
      <c r="M104" s="144" t="s">
        <v>1597</v>
      </c>
      <c r="N104" s="138">
        <v>984995210</v>
      </c>
      <c r="O104" s="141">
        <v>15</v>
      </c>
      <c r="P104" s="139" t="s">
        <v>48</v>
      </c>
      <c r="Q104" s="139" t="s">
        <v>46</v>
      </c>
      <c r="R104" s="142"/>
      <c r="S104" s="138" t="str">
        <f t="shared" si="56"/>
        <v>001-500-000076630</v>
      </c>
      <c r="T104" s="145" t="s">
        <v>1598</v>
      </c>
      <c r="U104" s="86" t="s">
        <v>1599</v>
      </c>
    </row>
    <row r="105" spans="1:21" s="134" customFormat="1" ht="19">
      <c r="A105" s="134">
        <v>100</v>
      </c>
      <c r="B105" s="153">
        <v>45752</v>
      </c>
      <c r="C105" s="138" t="s">
        <v>1032</v>
      </c>
      <c r="D105" s="138" t="s">
        <v>1591</v>
      </c>
      <c r="E105" s="139">
        <v>113430051</v>
      </c>
      <c r="F105" s="137" t="str">
        <f t="shared" ref="F105:F111" si="57">VLOOKUP(E105,PROD,2,FALSE)</f>
        <v>RMF 77960 GBK MX REFRIGERADORA</v>
      </c>
      <c r="G105" s="138" t="s">
        <v>1592</v>
      </c>
      <c r="H105" s="139" t="s">
        <v>24</v>
      </c>
      <c r="I105" s="139" t="s">
        <v>46</v>
      </c>
      <c r="J105" s="139" t="s">
        <v>47</v>
      </c>
      <c r="K105" s="143">
        <v>45974</v>
      </c>
      <c r="L105" s="144" t="s">
        <v>1596</v>
      </c>
      <c r="M105" s="144" t="s">
        <v>1597</v>
      </c>
      <c r="N105" s="138">
        <v>984995210</v>
      </c>
      <c r="O105" s="141">
        <v>15</v>
      </c>
      <c r="P105" s="139" t="s">
        <v>48</v>
      </c>
      <c r="Q105" s="139" t="s">
        <v>46</v>
      </c>
      <c r="R105" s="142"/>
      <c r="S105" s="138" t="str">
        <f t="shared" si="56"/>
        <v>001-500-000076630</v>
      </c>
      <c r="T105" s="145" t="s">
        <v>1598</v>
      </c>
      <c r="U105" s="86" t="s">
        <v>1599</v>
      </c>
    </row>
    <row r="106" spans="1:21" s="134" customFormat="1" ht="19">
      <c r="A106" s="134">
        <v>101</v>
      </c>
      <c r="B106" s="153">
        <v>45786</v>
      </c>
      <c r="C106" s="138" t="s">
        <v>1032</v>
      </c>
      <c r="D106" s="138" t="s">
        <v>1600</v>
      </c>
      <c r="E106" s="139">
        <v>111000051</v>
      </c>
      <c r="F106" s="137" t="str">
        <f t="shared" si="57"/>
        <v>HLB 8416 "AIR FRY" - HORNO ELEC</v>
      </c>
      <c r="G106" s="138" t="s">
        <v>1601</v>
      </c>
      <c r="H106" s="139" t="s">
        <v>24</v>
      </c>
      <c r="I106" s="139" t="s">
        <v>46</v>
      </c>
      <c r="J106" s="139" t="s">
        <v>47</v>
      </c>
      <c r="K106" s="143">
        <v>45974</v>
      </c>
      <c r="L106" s="144" t="s">
        <v>1604</v>
      </c>
      <c r="M106" s="144" t="s">
        <v>1605</v>
      </c>
      <c r="N106" s="138">
        <v>984881377</v>
      </c>
      <c r="O106" s="141">
        <v>15</v>
      </c>
      <c r="P106" s="139" t="s">
        <v>48</v>
      </c>
      <c r="Q106" s="139" t="s">
        <v>46</v>
      </c>
      <c r="R106" s="142"/>
      <c r="S106" s="138" t="str">
        <f t="shared" si="56"/>
        <v>001-502-000000267</v>
      </c>
      <c r="T106" s="145" t="s">
        <v>1606</v>
      </c>
      <c r="U106" s="86" t="s">
        <v>1607</v>
      </c>
    </row>
    <row r="107" spans="1:21" s="134" customFormat="1" ht="19">
      <c r="A107" s="134">
        <v>102</v>
      </c>
      <c r="B107" s="153">
        <v>45786</v>
      </c>
      <c r="C107" s="138" t="s">
        <v>1032</v>
      </c>
      <c r="D107" s="138" t="s">
        <v>1600</v>
      </c>
      <c r="E107" s="139">
        <v>112580058</v>
      </c>
      <c r="F107" s="137" t="str">
        <f t="shared" si="57"/>
        <v>GBC 95030 KBB BK COCINA GAS</v>
      </c>
      <c r="G107" s="138" t="s">
        <v>1602</v>
      </c>
      <c r="H107" s="139" t="s">
        <v>24</v>
      </c>
      <c r="I107" s="139" t="s">
        <v>46</v>
      </c>
      <c r="J107" s="139" t="s">
        <v>47</v>
      </c>
      <c r="K107" s="143">
        <v>45974</v>
      </c>
      <c r="L107" s="144" t="s">
        <v>1604</v>
      </c>
      <c r="M107" s="144" t="s">
        <v>1605</v>
      </c>
      <c r="N107" s="138">
        <v>984881377</v>
      </c>
      <c r="O107" s="141">
        <v>15</v>
      </c>
      <c r="P107" s="139" t="s">
        <v>48</v>
      </c>
      <c r="Q107" s="139" t="s">
        <v>46</v>
      </c>
      <c r="R107" s="142"/>
      <c r="S107" s="138" t="str">
        <f t="shared" ref="S107:S109" si="58">D107</f>
        <v>001-502-000000267</v>
      </c>
      <c r="T107" s="145" t="s">
        <v>1606</v>
      </c>
      <c r="U107" s="86" t="s">
        <v>1607</v>
      </c>
    </row>
    <row r="108" spans="1:21" s="134" customFormat="1" ht="19">
      <c r="A108" s="134">
        <v>103</v>
      </c>
      <c r="B108" s="153">
        <v>45786</v>
      </c>
      <c r="C108" s="138" t="s">
        <v>1032</v>
      </c>
      <c r="D108" s="138" t="s">
        <v>1600</v>
      </c>
      <c r="E108" s="139">
        <v>112950021</v>
      </c>
      <c r="F108" s="137" t="str">
        <f t="shared" si="57"/>
        <v>DVN 94030 TCL BK CAMPANA (110V-60HZ) C/KIT</v>
      </c>
      <c r="G108" s="138" t="s">
        <v>1603</v>
      </c>
      <c r="H108" s="139" t="s">
        <v>24</v>
      </c>
      <c r="I108" s="139" t="s">
        <v>46</v>
      </c>
      <c r="J108" s="139" t="s">
        <v>47</v>
      </c>
      <c r="K108" s="143">
        <v>45974</v>
      </c>
      <c r="L108" s="144" t="s">
        <v>1604</v>
      </c>
      <c r="M108" s="144" t="s">
        <v>1605</v>
      </c>
      <c r="N108" s="138">
        <v>984881377</v>
      </c>
      <c r="O108" s="141">
        <v>15</v>
      </c>
      <c r="P108" s="139" t="s">
        <v>48</v>
      </c>
      <c r="Q108" s="139" t="s">
        <v>46</v>
      </c>
      <c r="R108" s="142"/>
      <c r="S108" s="138" t="str">
        <f t="shared" si="58"/>
        <v>001-502-000000267</v>
      </c>
      <c r="T108" s="145" t="s">
        <v>1606</v>
      </c>
      <c r="U108" s="86" t="s">
        <v>1607</v>
      </c>
    </row>
    <row r="109" spans="1:21" s="134" customFormat="1" ht="19">
      <c r="A109" s="134">
        <v>104</v>
      </c>
      <c r="B109" s="153">
        <v>45827</v>
      </c>
      <c r="C109" s="138" t="s">
        <v>1241</v>
      </c>
      <c r="D109" s="138" t="s">
        <v>1630</v>
      </c>
      <c r="E109" s="139">
        <v>111010028</v>
      </c>
      <c r="F109" s="137" t="str">
        <f t="shared" si="57"/>
        <v>HSB 646 "AIRFRY" - HORNO ELEC</v>
      </c>
      <c r="G109" s="138" t="s">
        <v>1631</v>
      </c>
      <c r="H109" s="139" t="s">
        <v>24</v>
      </c>
      <c r="I109" s="139" t="s">
        <v>46</v>
      </c>
      <c r="J109" s="139" t="s">
        <v>47</v>
      </c>
      <c r="K109" s="143">
        <v>45975</v>
      </c>
      <c r="L109" s="144" t="s">
        <v>1634</v>
      </c>
      <c r="M109" s="144" t="s">
        <v>1142</v>
      </c>
      <c r="N109" s="138">
        <v>980835902</v>
      </c>
      <c r="O109" s="141">
        <v>15</v>
      </c>
      <c r="P109" s="139" t="s">
        <v>48</v>
      </c>
      <c r="Q109" s="139" t="s">
        <v>46</v>
      </c>
      <c r="R109" s="142"/>
      <c r="S109" s="138" t="str">
        <f t="shared" si="58"/>
        <v>006-002-000158175</v>
      </c>
      <c r="T109" s="145" t="s">
        <v>1635</v>
      </c>
      <c r="U109" s="86" t="s">
        <v>1636</v>
      </c>
    </row>
    <row r="110" spans="1:21" s="134" customFormat="1" ht="19">
      <c r="A110" s="134">
        <v>105</v>
      </c>
      <c r="B110" s="153">
        <v>45827</v>
      </c>
      <c r="C110" s="138" t="s">
        <v>1241</v>
      </c>
      <c r="D110" s="138" t="s">
        <v>1630</v>
      </c>
      <c r="E110" s="139">
        <v>40584012</v>
      </c>
      <c r="F110" s="137" t="str">
        <f t="shared" si="57"/>
        <v>MS 620 BIS - MICROONDAS</v>
      </c>
      <c r="G110" s="138" t="s">
        <v>1632</v>
      </c>
      <c r="H110" s="139" t="s">
        <v>24</v>
      </c>
      <c r="I110" s="139" t="s">
        <v>46</v>
      </c>
      <c r="J110" s="139" t="s">
        <v>47</v>
      </c>
      <c r="K110" s="143">
        <v>45975</v>
      </c>
      <c r="L110" s="144" t="s">
        <v>1634</v>
      </c>
      <c r="M110" s="144" t="s">
        <v>1142</v>
      </c>
      <c r="N110" s="138">
        <v>980835902</v>
      </c>
      <c r="O110" s="141">
        <v>15</v>
      </c>
      <c r="P110" s="139" t="s">
        <v>48</v>
      </c>
      <c r="Q110" s="139" t="s">
        <v>46</v>
      </c>
      <c r="R110" s="142"/>
      <c r="S110" s="138" t="str">
        <f t="shared" ref="S110:S112" si="59">D110</f>
        <v>006-002-000158175</v>
      </c>
      <c r="T110" s="145" t="s">
        <v>1635</v>
      </c>
      <c r="U110" s="86" t="s">
        <v>1636</v>
      </c>
    </row>
    <row r="111" spans="1:21" s="134" customFormat="1" ht="19">
      <c r="A111" s="134">
        <v>106</v>
      </c>
      <c r="B111" s="153">
        <v>45827</v>
      </c>
      <c r="C111" s="138" t="s">
        <v>1241</v>
      </c>
      <c r="D111" s="138" t="s">
        <v>1630</v>
      </c>
      <c r="E111" s="139">
        <v>112570126</v>
      </c>
      <c r="F111" s="137" t="str">
        <f t="shared" si="57"/>
        <v>JZC 96324 ABB BK (LAT) COCINA MIXTA GAS - INDUCCION (40213042)</v>
      </c>
      <c r="G111" s="138" t="s">
        <v>1633</v>
      </c>
      <c r="H111" s="139" t="s">
        <v>24</v>
      </c>
      <c r="I111" s="139" t="s">
        <v>46</v>
      </c>
      <c r="J111" s="139" t="s">
        <v>47</v>
      </c>
      <c r="K111" s="143">
        <v>45975</v>
      </c>
      <c r="L111" s="144" t="s">
        <v>1634</v>
      </c>
      <c r="M111" s="144" t="s">
        <v>1142</v>
      </c>
      <c r="N111" s="138">
        <v>980835902</v>
      </c>
      <c r="O111" s="141">
        <v>15</v>
      </c>
      <c r="P111" s="139" t="s">
        <v>48</v>
      </c>
      <c r="Q111" s="139" t="s">
        <v>46</v>
      </c>
      <c r="R111" s="142"/>
      <c r="S111" s="138" t="str">
        <f t="shared" si="59"/>
        <v>006-002-000158175</v>
      </c>
      <c r="T111" s="145" t="s">
        <v>1635</v>
      </c>
      <c r="U111" s="86" t="s">
        <v>1636</v>
      </c>
    </row>
    <row r="112" spans="1:21" s="134" customFormat="1" ht="19">
      <c r="A112" s="134">
        <v>107</v>
      </c>
      <c r="B112" s="153">
        <v>45874</v>
      </c>
      <c r="C112" s="138" t="s">
        <v>1067</v>
      </c>
      <c r="D112" s="138" t="s">
        <v>1637</v>
      </c>
      <c r="E112" s="139">
        <v>112520025</v>
      </c>
      <c r="F112" s="137" t="str">
        <f t="shared" ref="F112:F117" si="60">VLOOKUP(E112,PROD,2,FALSE)</f>
        <v>IZC 64010 MSS COCINA INDUCCION</v>
      </c>
      <c r="G112" s="138" t="s">
        <v>1638</v>
      </c>
      <c r="H112" s="139" t="s">
        <v>24</v>
      </c>
      <c r="I112" s="139" t="s">
        <v>46</v>
      </c>
      <c r="J112" s="139" t="s">
        <v>47</v>
      </c>
      <c r="K112" s="143">
        <v>45975</v>
      </c>
      <c r="L112" s="144" t="s">
        <v>1640</v>
      </c>
      <c r="M112" s="144" t="s">
        <v>1641</v>
      </c>
      <c r="N112" s="138">
        <v>997618127</v>
      </c>
      <c r="O112" s="141">
        <v>20</v>
      </c>
      <c r="P112" s="139" t="s">
        <v>48</v>
      </c>
      <c r="Q112" s="139" t="s">
        <v>46</v>
      </c>
      <c r="R112" s="142"/>
      <c r="S112" s="138" t="str">
        <f t="shared" si="59"/>
        <v>040-104-000012756</v>
      </c>
      <c r="T112" s="145" t="s">
        <v>1642</v>
      </c>
      <c r="U112" s="86" t="s">
        <v>1643</v>
      </c>
    </row>
    <row r="113" spans="1:21" s="134" customFormat="1" ht="19">
      <c r="A113" s="134">
        <v>108</v>
      </c>
      <c r="B113" s="153">
        <v>45874</v>
      </c>
      <c r="C113" s="138" t="s">
        <v>1067</v>
      </c>
      <c r="D113" s="138" t="s">
        <v>1637</v>
      </c>
      <c r="E113" s="139">
        <v>40467305</v>
      </c>
      <c r="F113" s="137" t="str">
        <f t="shared" si="60"/>
        <v>C 710 NEGRA CAMPANA (110V-60HZ) C/KIT</v>
      </c>
      <c r="G113" s="138" t="s">
        <v>1639</v>
      </c>
      <c r="H113" s="139" t="s">
        <v>24</v>
      </c>
      <c r="I113" s="139" t="s">
        <v>46</v>
      </c>
      <c r="J113" s="139" t="s">
        <v>47</v>
      </c>
      <c r="K113" s="143">
        <v>45975</v>
      </c>
      <c r="L113" s="144" t="s">
        <v>1640</v>
      </c>
      <c r="M113" s="144" t="s">
        <v>1641</v>
      </c>
      <c r="N113" s="138">
        <v>997618127</v>
      </c>
      <c r="O113" s="141">
        <v>20</v>
      </c>
      <c r="P113" s="139" t="s">
        <v>48</v>
      </c>
      <c r="Q113" s="139" t="s">
        <v>46</v>
      </c>
      <c r="R113" s="142"/>
      <c r="S113" s="138" t="str">
        <f t="shared" ref="S113:S114" si="61">D113</f>
        <v>040-104-000012756</v>
      </c>
      <c r="T113" s="145" t="s">
        <v>1642</v>
      </c>
      <c r="U113" s="86" t="s">
        <v>1643</v>
      </c>
    </row>
    <row r="114" spans="1:21" s="134" customFormat="1" ht="19">
      <c r="A114" s="134">
        <v>109</v>
      </c>
      <c r="B114" s="153">
        <v>45913</v>
      </c>
      <c r="C114" s="138" t="s">
        <v>1032</v>
      </c>
      <c r="D114" s="138" t="s">
        <v>1657</v>
      </c>
      <c r="E114" s="139">
        <v>112950019</v>
      </c>
      <c r="F114" s="137" t="str">
        <f t="shared" si="60"/>
        <v>DVN 64030 TCL BK CAMPANA (110V-60HZ) C/KIT</v>
      </c>
      <c r="G114" s="138" t="s">
        <v>1655</v>
      </c>
      <c r="H114" s="139" t="s">
        <v>24</v>
      </c>
      <c r="I114" s="139" t="s">
        <v>46</v>
      </c>
      <c r="J114" s="139" t="s">
        <v>47</v>
      </c>
      <c r="K114" s="143">
        <v>45978</v>
      </c>
      <c r="L114" s="144" t="s">
        <v>1659</v>
      </c>
      <c r="M114" s="144" t="s">
        <v>1660</v>
      </c>
      <c r="N114" s="138">
        <v>995838071</v>
      </c>
      <c r="O114" s="141">
        <v>20</v>
      </c>
      <c r="P114" s="139" t="s">
        <v>48</v>
      </c>
      <c r="Q114" s="139" t="s">
        <v>46</v>
      </c>
      <c r="R114" s="142"/>
      <c r="S114" s="138" t="str">
        <f t="shared" si="61"/>
        <v>001-500-000076906</v>
      </c>
      <c r="T114" s="145" t="s">
        <v>1661</v>
      </c>
      <c r="U114" s="86" t="s">
        <v>1662</v>
      </c>
    </row>
    <row r="115" spans="1:21" s="134" customFormat="1" ht="19">
      <c r="A115" s="134">
        <v>110</v>
      </c>
      <c r="B115" s="153">
        <v>45927</v>
      </c>
      <c r="C115" s="138" t="s">
        <v>1032</v>
      </c>
      <c r="D115" s="138" t="s">
        <v>1658</v>
      </c>
      <c r="E115" s="139">
        <v>112580017</v>
      </c>
      <c r="F115" s="137" t="str">
        <f t="shared" si="60"/>
        <v>GBC 64000 KBB CRISTAL COCINA GAS</v>
      </c>
      <c r="G115" s="138" t="s">
        <v>1656</v>
      </c>
      <c r="H115" s="139" t="s">
        <v>24</v>
      </c>
      <c r="I115" s="139" t="s">
        <v>46</v>
      </c>
      <c r="J115" s="139" t="s">
        <v>47</v>
      </c>
      <c r="K115" s="143">
        <v>45978</v>
      </c>
      <c r="L115" s="144" t="s">
        <v>1659</v>
      </c>
      <c r="M115" s="144" t="s">
        <v>1660</v>
      </c>
      <c r="N115" s="138">
        <v>995838071</v>
      </c>
      <c r="O115" s="141">
        <v>20</v>
      </c>
      <c r="P115" s="139" t="s">
        <v>48</v>
      </c>
      <c r="Q115" s="139" t="s">
        <v>46</v>
      </c>
      <c r="R115" s="142"/>
      <c r="S115" s="138" t="str">
        <f t="shared" ref="S115:S116" si="62">D115</f>
        <v>001-500-000077293</v>
      </c>
      <c r="T115" s="145" t="s">
        <v>1661</v>
      </c>
      <c r="U115" s="86" t="s">
        <v>1662</v>
      </c>
    </row>
    <row r="116" spans="1:21" s="134" customFormat="1" ht="19">
      <c r="A116" s="134">
        <v>111</v>
      </c>
      <c r="B116" s="153">
        <v>45924</v>
      </c>
      <c r="C116" s="138" t="s">
        <v>1032</v>
      </c>
      <c r="D116" s="138" t="s">
        <v>1663</v>
      </c>
      <c r="E116" s="139">
        <v>40461507</v>
      </c>
      <c r="F116" s="137" t="str">
        <f t="shared" si="60"/>
        <v>C 610 NEGRA CAMPANA (110V-60HZ) C/KIT</v>
      </c>
      <c r="G116" s="138" t="s">
        <v>1664</v>
      </c>
      <c r="H116" s="139" t="s">
        <v>24</v>
      </c>
      <c r="I116" s="139" t="s">
        <v>46</v>
      </c>
      <c r="J116" s="139" t="s">
        <v>47</v>
      </c>
      <c r="K116" s="143">
        <v>45978</v>
      </c>
      <c r="L116" s="144" t="s">
        <v>1666</v>
      </c>
      <c r="M116" s="144" t="s">
        <v>1667</v>
      </c>
      <c r="N116" s="138">
        <v>915034192</v>
      </c>
      <c r="O116" s="141">
        <v>20</v>
      </c>
      <c r="P116" s="139" t="s">
        <v>48</v>
      </c>
      <c r="Q116" s="139" t="s">
        <v>46</v>
      </c>
      <c r="R116" s="142"/>
      <c r="S116" s="138" t="str">
        <f t="shared" si="62"/>
        <v>001-500-000077208</v>
      </c>
      <c r="T116" s="145" t="s">
        <v>1668</v>
      </c>
      <c r="U116" s="86" t="s">
        <v>1669</v>
      </c>
    </row>
    <row r="117" spans="1:21" s="134" customFormat="1" ht="19">
      <c r="A117" s="134">
        <v>112</v>
      </c>
      <c r="B117" s="153">
        <v>45924</v>
      </c>
      <c r="C117" s="138" t="s">
        <v>1032</v>
      </c>
      <c r="D117" s="138" t="s">
        <v>1663</v>
      </c>
      <c r="E117" s="139">
        <v>112580017</v>
      </c>
      <c r="F117" s="137" t="str">
        <f t="shared" si="60"/>
        <v>GBC 64000 KBB CRISTAL COCINA GAS</v>
      </c>
      <c r="G117" s="138" t="s">
        <v>1665</v>
      </c>
      <c r="H117" s="139" t="s">
        <v>24</v>
      </c>
      <c r="I117" s="139" t="s">
        <v>46</v>
      </c>
      <c r="J117" s="139" t="s">
        <v>47</v>
      </c>
      <c r="K117" s="143">
        <v>45978</v>
      </c>
      <c r="L117" s="144" t="s">
        <v>1666</v>
      </c>
      <c r="M117" s="144" t="s">
        <v>1667</v>
      </c>
      <c r="N117" s="138">
        <v>915034192</v>
      </c>
      <c r="O117" s="141">
        <v>20</v>
      </c>
      <c r="P117" s="139" t="s">
        <v>48</v>
      </c>
      <c r="Q117" s="139" t="s">
        <v>46</v>
      </c>
      <c r="R117" s="142"/>
      <c r="S117" s="138" t="str">
        <f t="shared" ref="S117" si="63">D117</f>
        <v>001-500-000077208</v>
      </c>
      <c r="T117" s="145" t="s">
        <v>1668</v>
      </c>
      <c r="U117" s="86" t="s">
        <v>1669</v>
      </c>
    </row>
    <row r="118" spans="1:21">
      <c r="O118" s="374">
        <f>SUM(O6:O117)</f>
        <v>1890</v>
      </c>
    </row>
    <row r="121" spans="1:21" ht="20">
      <c r="E121" s="164">
        <v>5</v>
      </c>
      <c r="F121" s="3" t="s">
        <v>49</v>
      </c>
      <c r="G121" s="3">
        <v>30</v>
      </c>
      <c r="H121" s="3">
        <f>E121*G121</f>
        <v>150</v>
      </c>
    </row>
    <row r="122" spans="1:21" ht="20">
      <c r="E122" s="164">
        <v>27</v>
      </c>
      <c r="F122" s="3" t="s">
        <v>49</v>
      </c>
      <c r="G122" s="3">
        <v>20</v>
      </c>
      <c r="H122" s="3">
        <f t="shared" ref="H122:H123" si="64">E122*G122</f>
        <v>540</v>
      </c>
    </row>
    <row r="123" spans="1:21" ht="20">
      <c r="E123" s="164">
        <v>80</v>
      </c>
      <c r="F123" s="3" t="s">
        <v>49</v>
      </c>
      <c r="G123" s="3">
        <v>15</v>
      </c>
      <c r="H123" s="3">
        <f t="shared" si="64"/>
        <v>1200</v>
      </c>
    </row>
    <row r="124" spans="1:21" ht="22">
      <c r="E124">
        <f>SUM(E121:E123)</f>
        <v>112</v>
      </c>
      <c r="H124" s="150">
        <f>SUM(H121:H123)</f>
        <v>1890</v>
      </c>
    </row>
  </sheetData>
  <hyperlinks>
    <hyperlink ref="U6" r:id="rId1" xr:uid="{8D5FE28F-C51B-C445-ACCC-0AA59D6C81B9}"/>
    <hyperlink ref="U7" r:id="rId2" xr:uid="{F967251E-A34B-9846-B951-2121C59A50B5}"/>
    <hyperlink ref="U8" r:id="rId3" xr:uid="{2793492C-7ADC-F04E-ACFB-2264ED6F8352}"/>
    <hyperlink ref="U9" r:id="rId4" xr:uid="{1B98BA61-EA31-7A47-84C3-3D3879622AAB}"/>
    <hyperlink ref="U10" r:id="rId5" xr:uid="{671952AE-C6F9-F543-8649-B4C422E91F9B}"/>
    <hyperlink ref="U11" r:id="rId6" xr:uid="{32981EE8-1481-744D-8B0F-A18055DD327A}"/>
    <hyperlink ref="U12" r:id="rId7" xr:uid="{DA618E95-2AB7-784D-8018-047DDF5A78B8}"/>
    <hyperlink ref="U13" r:id="rId8" xr:uid="{B39F15DF-1B77-8142-948F-8CC6A46E1A88}"/>
    <hyperlink ref="U14" r:id="rId9" xr:uid="{598EE69C-479F-FB46-8AC8-F837F2FB047E}"/>
    <hyperlink ref="U15" r:id="rId10" xr:uid="{03FFFAD1-8735-4648-8B10-4DF0D63F1E07}"/>
    <hyperlink ref="U16" r:id="rId11" xr:uid="{FE073F37-67C1-8E46-BFD3-3E94C99C5C9D}"/>
    <hyperlink ref="U17" r:id="rId12" xr:uid="{7B393B9E-0795-5F40-BF04-1069BAA8AD7A}"/>
    <hyperlink ref="U18" r:id="rId13" xr:uid="{88EB9FBB-58A2-7B49-AD5C-CB448D4686DE}"/>
    <hyperlink ref="U19" r:id="rId14" xr:uid="{5948DE31-99ED-B240-B061-4610B72B100B}"/>
    <hyperlink ref="U20" r:id="rId15" xr:uid="{58E862E9-4D01-C34D-92FD-0311A0510C09}"/>
    <hyperlink ref="U21" r:id="rId16" xr:uid="{DC778A49-9D8B-E744-A40D-911FEC5F0EDB}"/>
    <hyperlink ref="U22" r:id="rId17" xr:uid="{A5F7AA12-068E-E74E-A7C0-70A0BAE7C420}"/>
    <hyperlink ref="U23" r:id="rId18" xr:uid="{23EFDAB0-299F-E84B-A9A6-E4CB3670CE5C}"/>
    <hyperlink ref="U24" r:id="rId19" xr:uid="{31531E04-E969-A24F-A1C8-60024B930FC9}"/>
    <hyperlink ref="U25" r:id="rId20" xr:uid="{FCB311E0-D898-C645-AFF0-78114D0EB373}"/>
    <hyperlink ref="U26" r:id="rId21" xr:uid="{64686DD5-95B9-CD41-B442-8900E27DC1E1}"/>
    <hyperlink ref="U27" r:id="rId22" xr:uid="{A529066D-F3D8-584F-B099-3C8AC2B7F206}"/>
    <hyperlink ref="U28" r:id="rId23" xr:uid="{0190D834-83E3-6C48-84D3-64FB5AA1A379}"/>
    <hyperlink ref="U29" r:id="rId24" xr:uid="{2A272984-6558-584B-8B53-6AF6AD6A3FC1}"/>
    <hyperlink ref="U30" r:id="rId25" xr:uid="{E6A18372-E148-4248-ADC6-5B62F7BC9C34}"/>
    <hyperlink ref="U31" r:id="rId26" xr:uid="{9C1A6E0A-0AA4-2443-9FDB-DB499E3107E7}"/>
    <hyperlink ref="U32" r:id="rId27" xr:uid="{4F14DC46-71EA-144B-9730-E3E72AE52734}"/>
    <hyperlink ref="U33" r:id="rId28" xr:uid="{49D9A115-CBF9-FB46-911A-8E5902457979}"/>
    <hyperlink ref="U34" r:id="rId29" xr:uid="{B9A63CB5-C060-9141-9608-468A0F990B47}"/>
    <hyperlink ref="U35" r:id="rId30" xr:uid="{1E546AB1-FB93-274D-9644-EFE5E0069EE3}"/>
    <hyperlink ref="U36" r:id="rId31" xr:uid="{5F116520-D5F3-AE45-9DAA-132C454D0F14}"/>
    <hyperlink ref="U37" r:id="rId32" xr:uid="{6B5F5315-358C-D947-9972-D8554EC3325F}"/>
    <hyperlink ref="U38" r:id="rId33" xr:uid="{D463D11C-F33E-2841-82BA-5067B41C563A}"/>
    <hyperlink ref="U39" r:id="rId34" xr:uid="{2F54CFB1-435D-614B-AFFA-DCB5E3B51E60}"/>
    <hyperlink ref="U40" r:id="rId35" xr:uid="{397D4FD3-213E-6A49-89F2-33FEA15FFC37}"/>
    <hyperlink ref="U41" r:id="rId36" xr:uid="{337F505D-06B3-7044-8C02-C5FA28EE5685}"/>
    <hyperlink ref="U42" r:id="rId37" xr:uid="{34840D59-1C8A-3C4C-A115-566A81D9EAA9}"/>
    <hyperlink ref="U43" r:id="rId38" xr:uid="{E30FB162-7443-FC4A-BEDB-FA2D393124DA}"/>
    <hyperlink ref="U44" r:id="rId39" xr:uid="{B7F56731-5202-3042-AB56-E31102EF19DC}"/>
    <hyperlink ref="U45" r:id="rId40" xr:uid="{ADD6FAEC-2343-2846-8B38-87562158F5D0}"/>
    <hyperlink ref="U46" r:id="rId41" xr:uid="{7FAD1995-D50A-994B-9185-CEB74999A5BA}"/>
    <hyperlink ref="U47" r:id="rId42" xr:uid="{B6CED775-482B-1149-A15D-3D0C8E618C7B}"/>
    <hyperlink ref="U48" r:id="rId43" xr:uid="{F4577CDB-78EB-6A40-AE02-EF309B492FA8}"/>
    <hyperlink ref="U49" r:id="rId44" xr:uid="{2AF396E6-DB61-B444-9A62-8D3587F89F38}"/>
    <hyperlink ref="U50" r:id="rId45" xr:uid="{B23A5D9E-984B-F84A-8715-1648B639239B}"/>
    <hyperlink ref="U51" r:id="rId46" xr:uid="{A10D5EF0-D077-904C-BA29-FEDE5D92A5D5}"/>
    <hyperlink ref="U52" r:id="rId47" xr:uid="{337A2486-1AB4-9142-8010-B3D8322DEB95}"/>
    <hyperlink ref="U53" r:id="rId48" xr:uid="{ACCA6354-47B4-6548-8050-C1293D0F541D}"/>
    <hyperlink ref="U59" r:id="rId49" xr:uid="{DA7716A0-6E92-9A4B-955F-5747E4C8E7FD}"/>
    <hyperlink ref="U60" r:id="rId50" xr:uid="{4D34A426-18C3-E540-87CE-0804C8ABCF79}"/>
    <hyperlink ref="U61" r:id="rId51" xr:uid="{FD0ED5A3-A921-F441-8CF5-44CB6EDB476B}"/>
    <hyperlink ref="U62" r:id="rId52" xr:uid="{72E70593-A9EC-A74B-9A47-720661B8BC8C}"/>
    <hyperlink ref="U63" r:id="rId53" xr:uid="{3126EB30-2A03-EA47-9B1F-1B3F31A7DAEF}"/>
    <hyperlink ref="U64" r:id="rId54" xr:uid="{B48A7D3B-5AF8-BD46-A82B-0A74E4E9C49E}"/>
    <hyperlink ref="U65" r:id="rId55" xr:uid="{2CAFE099-9D6C-8F45-9F63-A71A2CAEF7BC}"/>
    <hyperlink ref="U66" r:id="rId56" xr:uid="{53634B27-72DC-854D-8427-662354F6BC66}"/>
    <hyperlink ref="U67" r:id="rId57" xr:uid="{E927C00A-8C6D-664E-B030-40C8A42B7E3B}"/>
    <hyperlink ref="U68" r:id="rId58" xr:uid="{C374CFD6-E6D0-1D44-B345-299D0F2E02D4}"/>
    <hyperlink ref="U69" r:id="rId59" xr:uid="{1945A22F-916D-664A-AA26-1489D74EEEBD}"/>
    <hyperlink ref="U74" r:id="rId60" xr:uid="{9AFF1848-6514-1C46-B093-604E18F44760}"/>
    <hyperlink ref="U75" r:id="rId61" xr:uid="{A1F7F765-A10E-B24F-A02E-D6CD5400F17C}"/>
    <hyperlink ref="U76" r:id="rId62" xr:uid="{5E9251E5-7EDD-9341-988C-EE2EC4137257}"/>
    <hyperlink ref="U77" r:id="rId63" xr:uid="{E1B3061E-284E-954B-92FE-C17745FE2BEF}"/>
    <hyperlink ref="U78" r:id="rId64" xr:uid="{D2FAF9FA-F68C-7F4E-86C5-8EA428B09FF5}"/>
    <hyperlink ref="U79" r:id="rId65" xr:uid="{F9BA665C-63C4-2145-8AD9-CB7F762040AA}"/>
    <hyperlink ref="U80" r:id="rId66" xr:uid="{7BE409D5-A1E8-8045-B4EF-754E643ACAE6}"/>
    <hyperlink ref="U70" r:id="rId67" xr:uid="{5056358D-F4D5-7949-99B8-764CC9EAA25D}"/>
    <hyperlink ref="U71:U73" r:id="rId68" display="PRISCALDERONPA2@HOTMAIL.COM" xr:uid="{A005EB12-F85B-1A42-954E-BBD9BDDF3644}"/>
    <hyperlink ref="U81" r:id="rId69" xr:uid="{B0A55A26-12AD-4648-8DA5-880BDA342CD8}"/>
    <hyperlink ref="U82" r:id="rId70" xr:uid="{6F5A8CF8-BFBD-834A-B07A-EFA4DCD5FBB8}"/>
    <hyperlink ref="U83" r:id="rId71" xr:uid="{123F2C7F-4A07-F141-B4EF-68A56E0C9F8A}"/>
    <hyperlink ref="U84" r:id="rId72" xr:uid="{1BA7FF50-CA9F-E448-B06B-4BF29342B4A2}"/>
    <hyperlink ref="U85" r:id="rId73" xr:uid="{83216CB6-CCA1-A548-B185-FD2529B3F36D}"/>
    <hyperlink ref="U86" r:id="rId74" xr:uid="{9C11E408-E907-BB46-BF48-2261B6C0B5F7}"/>
    <hyperlink ref="U87" r:id="rId75" xr:uid="{9A9833A7-7350-134D-9BEA-415A67CAE6C8}"/>
    <hyperlink ref="U88" r:id="rId76" xr:uid="{D5D22CF5-3F32-EE4D-B17B-91D95A02941F}"/>
    <hyperlink ref="U89" r:id="rId77" xr:uid="{3B1D16C9-E4E5-FE4D-B19B-24550C693823}"/>
    <hyperlink ref="U90" r:id="rId78" xr:uid="{794832A1-49B8-B644-8ABF-D64C861272DC}"/>
    <hyperlink ref="U91" r:id="rId79" xr:uid="{32E915A4-AA28-2345-AD40-A4D1A0B5D629}"/>
    <hyperlink ref="U92" r:id="rId80" xr:uid="{ADA16A42-F95D-B646-93A1-05850504E05D}"/>
    <hyperlink ref="U93" r:id="rId81" xr:uid="{E52545B9-6C24-3B4E-AD83-9293E2D53E44}"/>
    <hyperlink ref="U94" r:id="rId82" xr:uid="{FA0C9F3A-91DD-5E48-A76A-6A7CA39F8667}"/>
    <hyperlink ref="U95" r:id="rId83" xr:uid="{BB3781C8-F4A9-274C-A2DF-9811D78DFC3C}"/>
    <hyperlink ref="U96" r:id="rId84" xr:uid="{FE19033D-5F3D-FD49-AF98-0452AA06178F}"/>
    <hyperlink ref="U97" r:id="rId85" xr:uid="{ACDADC9F-ECFC-AF40-867E-A23B568E8961}"/>
    <hyperlink ref="U98" r:id="rId86" xr:uid="{56AA83F5-41E0-2A44-AE05-B83A5B398555}"/>
    <hyperlink ref="U99" r:id="rId87" xr:uid="{A9FC88EC-DA9F-014B-8C43-AC672E7EBBDD}"/>
    <hyperlink ref="U100" r:id="rId88" xr:uid="{273A879B-C35D-3D4A-BCA3-9BA0AD051321}"/>
    <hyperlink ref="U101" r:id="rId89" xr:uid="{CD4A5A85-4027-1743-AEB9-5A6895162C13}"/>
    <hyperlink ref="U102" r:id="rId90" xr:uid="{D1CE45A1-7BA8-2643-BAAB-DE7E927DA74A}"/>
    <hyperlink ref="U103" r:id="rId91" xr:uid="{06A422D9-50F8-CB4D-A880-2F9DE3596E4F}"/>
    <hyperlink ref="U104" r:id="rId92" xr:uid="{613CDB2F-9D31-0E43-A98A-EC1090D5D70E}"/>
    <hyperlink ref="U105" r:id="rId93" xr:uid="{5DC30D44-C037-D14B-A2C6-5A836D66AED1}"/>
    <hyperlink ref="U106" r:id="rId94" xr:uid="{1FB1F7DC-6E77-C041-8DD1-BE3B4144E8DD}"/>
    <hyperlink ref="U107" r:id="rId95" xr:uid="{8BDA0E18-4ACD-C04E-9686-C6C3A1BE78EF}"/>
    <hyperlink ref="U108" r:id="rId96" xr:uid="{A5D476F0-BA6B-1143-9EA9-A47C8A7CF42C}"/>
    <hyperlink ref="U109" r:id="rId97" xr:uid="{5E0D3D19-69C9-C049-9F1D-79539050A3F6}"/>
    <hyperlink ref="U110" r:id="rId98" xr:uid="{96275D99-E394-9549-AB65-4EBAA168014E}"/>
    <hyperlink ref="U111" r:id="rId99" xr:uid="{51902DF7-AF6D-7942-B3A3-E6B792F12990}"/>
    <hyperlink ref="U112" r:id="rId100" xr:uid="{B0F1FB16-CB83-B049-A19E-C35AC37B5856}"/>
    <hyperlink ref="U113" r:id="rId101" xr:uid="{4E907B07-86FF-424B-8CE0-3B86DD729DB0}"/>
    <hyperlink ref="U114" r:id="rId102" xr:uid="{415B5ABC-B7C8-D042-B74B-C36B99097823}"/>
    <hyperlink ref="U115" r:id="rId103" xr:uid="{3EE6D6B2-37D9-1F46-B1D6-AD2EBF23A4AD}"/>
    <hyperlink ref="U116" r:id="rId104" xr:uid="{4910ACFC-F7FD-ED44-B265-BE999260C789}"/>
    <hyperlink ref="U117" r:id="rId105" xr:uid="{5639227C-FE7D-FA4D-AB63-199D7BEB15B7}"/>
  </hyperlinks>
  <pageMargins left="0.7" right="0.7" top="0.75" bottom="0.75" header="0.3" footer="0.3"/>
  <drawing r:id="rId10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30"/>
  <sheetViews>
    <sheetView zoomScale="130" zoomScaleNormal="130" workbookViewId="0">
      <selection activeCell="F35" sqref="F35"/>
    </sheetView>
  </sheetViews>
  <sheetFormatPr baseColWidth="10" defaultRowHeight="15"/>
  <cols>
    <col min="1" max="1" width="4.5" customWidth="1"/>
    <col min="2" max="2" width="13.6640625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33203125" customWidth="1"/>
    <col min="9" max="10" width="8.6640625" customWidth="1"/>
    <col min="11" max="11" width="9.33203125" customWidth="1"/>
    <col min="12" max="12" width="20.6640625" customWidth="1"/>
    <col min="13" max="13" width="18.33203125" customWidth="1"/>
    <col min="14" max="14" width="12.1640625" bestFit="1" customWidth="1"/>
    <col min="15" max="15" width="7.5" customWidth="1"/>
    <col min="16" max="16" width="25.6640625" customWidth="1"/>
    <col min="17" max="17" width="12.33203125" customWidth="1"/>
    <col min="18" max="18" width="6.1640625" customWidth="1"/>
    <col min="19" max="19" width="20.33203125" customWidth="1"/>
    <col min="20" max="20" width="18.5" customWidth="1"/>
    <col min="21" max="21" width="31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1" ht="18">
      <c r="A3" s="88"/>
      <c r="B3" s="89"/>
      <c r="C3" s="90" t="s">
        <v>50</v>
      </c>
      <c r="D3" s="91"/>
      <c r="E3" s="92"/>
      <c r="F3" s="91"/>
      <c r="G3" s="93"/>
      <c r="H3" s="91"/>
      <c r="I3" s="91"/>
      <c r="J3" s="91"/>
      <c r="K3" s="94"/>
      <c r="L3" s="94"/>
      <c r="M3" s="91"/>
      <c r="N3" s="91"/>
      <c r="O3" s="95"/>
      <c r="P3" s="91"/>
      <c r="Q3" s="91"/>
      <c r="R3" s="91"/>
      <c r="S3" s="91"/>
      <c r="T3" s="91"/>
      <c r="U3" s="96"/>
    </row>
    <row r="4" spans="1:21" ht="16" customHeight="1">
      <c r="A4" s="88"/>
      <c r="B4" s="89"/>
      <c r="C4" s="97" t="s">
        <v>51</v>
      </c>
      <c r="D4" s="91"/>
      <c r="E4" s="91"/>
      <c r="F4" s="91"/>
      <c r="G4" s="93"/>
      <c r="H4" s="91"/>
      <c r="I4" s="91" t="s">
        <v>52</v>
      </c>
      <c r="J4" s="91"/>
      <c r="K4" s="94"/>
      <c r="L4" s="94"/>
      <c r="M4" s="91" t="s">
        <v>1726</v>
      </c>
      <c r="N4" s="91"/>
      <c r="O4" s="95"/>
      <c r="P4" s="91"/>
      <c r="Q4" s="98"/>
      <c r="R4" s="91"/>
      <c r="S4" s="91"/>
      <c r="T4" s="99"/>
      <c r="U4" s="100">
        <v>43678</v>
      </c>
    </row>
    <row r="5" spans="1:21" s="1" customFormat="1" ht="53" customHeight="1">
      <c r="A5" s="101"/>
      <c r="B5" s="102" t="s">
        <v>28</v>
      </c>
      <c r="C5" s="102" t="s">
        <v>29</v>
      </c>
      <c r="D5" s="102" t="s">
        <v>30</v>
      </c>
      <c r="E5" s="102" t="s">
        <v>31</v>
      </c>
      <c r="F5" s="102" t="s">
        <v>32</v>
      </c>
      <c r="G5" s="102" t="s">
        <v>33</v>
      </c>
      <c r="H5" s="102" t="s">
        <v>34</v>
      </c>
      <c r="I5" s="102" t="s">
        <v>35</v>
      </c>
      <c r="J5" s="102" t="s">
        <v>36</v>
      </c>
      <c r="K5" s="103" t="s">
        <v>53</v>
      </c>
      <c r="L5" s="103" t="s">
        <v>38</v>
      </c>
      <c r="M5" s="103" t="s">
        <v>39</v>
      </c>
      <c r="N5" s="103" t="s">
        <v>40</v>
      </c>
      <c r="O5" s="104" t="s">
        <v>41</v>
      </c>
      <c r="P5" s="103" t="s">
        <v>54</v>
      </c>
      <c r="Q5" s="103" t="s">
        <v>55</v>
      </c>
      <c r="R5" s="105" t="s">
        <v>56</v>
      </c>
      <c r="S5" s="105" t="s">
        <v>23</v>
      </c>
      <c r="T5" s="106" t="s">
        <v>44</v>
      </c>
      <c r="U5" s="103" t="s">
        <v>57</v>
      </c>
    </row>
    <row r="6" spans="1:21" ht="20">
      <c r="A6" s="107">
        <v>1</v>
      </c>
      <c r="B6" s="108">
        <v>45950</v>
      </c>
      <c r="C6" s="109" t="s">
        <v>1027</v>
      </c>
      <c r="D6" s="110" t="s">
        <v>24</v>
      </c>
      <c r="E6" s="111">
        <v>111570002</v>
      </c>
      <c r="F6" s="137" t="str">
        <f t="shared" ref="F6:F8" si="0">VLOOKUP(E6,PROD,2,FALSE)</f>
        <v>COCINA GOURMET BBQ 3100 G BK-SS</v>
      </c>
      <c r="G6" s="110" t="s">
        <v>1082</v>
      </c>
      <c r="H6" s="112" t="s">
        <v>58</v>
      </c>
      <c r="I6" s="113" t="s">
        <v>46</v>
      </c>
      <c r="J6" s="113" t="s">
        <v>47</v>
      </c>
      <c r="K6" s="108">
        <v>45950</v>
      </c>
      <c r="L6" s="109" t="s">
        <v>1086</v>
      </c>
      <c r="M6" s="109" t="s">
        <v>1087</v>
      </c>
      <c r="N6" s="114">
        <v>963517484</v>
      </c>
      <c r="O6" s="115">
        <v>29</v>
      </c>
      <c r="P6" s="109" t="s">
        <v>1088</v>
      </c>
      <c r="Q6" s="109" t="s">
        <v>25</v>
      </c>
      <c r="R6" s="116"/>
      <c r="S6" s="116" t="s">
        <v>24</v>
      </c>
      <c r="T6" s="117" t="s">
        <v>1089</v>
      </c>
      <c r="U6" s="118" t="s">
        <v>1090</v>
      </c>
    </row>
    <row r="7" spans="1:21" ht="20">
      <c r="A7" s="107">
        <v>2</v>
      </c>
      <c r="B7" s="108">
        <v>45950</v>
      </c>
      <c r="C7" s="109" t="s">
        <v>1027</v>
      </c>
      <c r="D7" s="110" t="s">
        <v>24</v>
      </c>
      <c r="E7" s="111">
        <v>111570002</v>
      </c>
      <c r="F7" s="137" t="str">
        <f t="shared" si="0"/>
        <v>COCINA GOURMET BBQ 3100 G BK-SS</v>
      </c>
      <c r="G7" s="110" t="s">
        <v>1083</v>
      </c>
      <c r="H7" s="112" t="s">
        <v>58</v>
      </c>
      <c r="I7" s="113" t="s">
        <v>46</v>
      </c>
      <c r="J7" s="113" t="s">
        <v>47</v>
      </c>
      <c r="K7" s="108">
        <v>45950</v>
      </c>
      <c r="L7" s="109" t="s">
        <v>1086</v>
      </c>
      <c r="M7" s="109" t="s">
        <v>1087</v>
      </c>
      <c r="N7" s="114">
        <v>963517484</v>
      </c>
      <c r="O7" s="115">
        <v>29</v>
      </c>
      <c r="P7" s="109" t="s">
        <v>1088</v>
      </c>
      <c r="Q7" s="109" t="s">
        <v>25</v>
      </c>
      <c r="R7" s="116"/>
      <c r="S7" s="116" t="s">
        <v>24</v>
      </c>
      <c r="T7" s="117" t="s">
        <v>1089</v>
      </c>
      <c r="U7" s="118" t="s">
        <v>1090</v>
      </c>
    </row>
    <row r="8" spans="1:21" ht="20">
      <c r="A8" s="107">
        <v>3</v>
      </c>
      <c r="B8" s="108">
        <v>45950</v>
      </c>
      <c r="C8" s="109" t="s">
        <v>1027</v>
      </c>
      <c r="D8" s="110" t="s">
        <v>24</v>
      </c>
      <c r="E8" s="111">
        <v>111570003</v>
      </c>
      <c r="F8" s="137" t="str">
        <f t="shared" si="0"/>
        <v>COCINA GOURMET BBQ 4100 G SS</v>
      </c>
      <c r="G8" s="110" t="s">
        <v>1084</v>
      </c>
      <c r="H8" s="112" t="s">
        <v>58</v>
      </c>
      <c r="I8" s="113" t="s">
        <v>46</v>
      </c>
      <c r="J8" s="113" t="s">
        <v>47</v>
      </c>
      <c r="K8" s="108">
        <v>45950</v>
      </c>
      <c r="L8" s="109" t="s">
        <v>1086</v>
      </c>
      <c r="M8" s="109" t="s">
        <v>1087</v>
      </c>
      <c r="N8" s="114">
        <v>963517484</v>
      </c>
      <c r="O8" s="115">
        <v>29</v>
      </c>
      <c r="P8" s="109" t="s">
        <v>1088</v>
      </c>
      <c r="Q8" s="109" t="s">
        <v>25</v>
      </c>
      <c r="R8" s="116"/>
      <c r="S8" s="116" t="s">
        <v>24</v>
      </c>
      <c r="T8" s="117" t="s">
        <v>1089</v>
      </c>
      <c r="U8" s="118" t="s">
        <v>1090</v>
      </c>
    </row>
    <row r="9" spans="1:21" ht="20">
      <c r="A9" s="107">
        <v>4</v>
      </c>
      <c r="B9" s="108">
        <v>45950</v>
      </c>
      <c r="C9" s="109" t="s">
        <v>1027</v>
      </c>
      <c r="D9" s="110" t="s">
        <v>24</v>
      </c>
      <c r="E9" s="111">
        <v>111570003</v>
      </c>
      <c r="F9" s="137" t="str">
        <f>VLOOKUP(E9,PROD,2,FALSE)</f>
        <v>COCINA GOURMET BBQ 4100 G SS</v>
      </c>
      <c r="G9" s="110" t="s">
        <v>1085</v>
      </c>
      <c r="H9" s="112" t="s">
        <v>58</v>
      </c>
      <c r="I9" s="113" t="s">
        <v>46</v>
      </c>
      <c r="J9" s="113" t="s">
        <v>47</v>
      </c>
      <c r="K9" s="108">
        <v>45950</v>
      </c>
      <c r="L9" s="109" t="s">
        <v>1086</v>
      </c>
      <c r="M9" s="109" t="s">
        <v>1087</v>
      </c>
      <c r="N9" s="114">
        <v>963517484</v>
      </c>
      <c r="O9" s="115">
        <v>29</v>
      </c>
      <c r="P9" s="109" t="s">
        <v>1088</v>
      </c>
      <c r="Q9" s="109" t="s">
        <v>25</v>
      </c>
      <c r="R9" s="116"/>
      <c r="S9" s="116" t="s">
        <v>24</v>
      </c>
      <c r="T9" s="117" t="s">
        <v>1089</v>
      </c>
      <c r="U9" s="118" t="s">
        <v>1090</v>
      </c>
    </row>
    <row r="10" spans="1:21" ht="20">
      <c r="A10" s="107">
        <v>5</v>
      </c>
      <c r="B10" s="108">
        <v>45938</v>
      </c>
      <c r="C10" s="109" t="s">
        <v>1032</v>
      </c>
      <c r="D10" s="110" t="s">
        <v>1091</v>
      </c>
      <c r="E10" s="111">
        <v>111570003</v>
      </c>
      <c r="F10" s="137" t="str">
        <f>VLOOKUP(E10,PROD,2,FALSE)</f>
        <v>COCINA GOURMET BBQ 4100 G SS</v>
      </c>
      <c r="G10" s="110" t="s">
        <v>1092</v>
      </c>
      <c r="H10" s="112" t="s">
        <v>58</v>
      </c>
      <c r="I10" s="113" t="s">
        <v>46</v>
      </c>
      <c r="J10" s="113" t="s">
        <v>47</v>
      </c>
      <c r="K10" s="108">
        <v>45951</v>
      </c>
      <c r="L10" s="109" t="s">
        <v>1032</v>
      </c>
      <c r="M10" s="109" t="s">
        <v>1093</v>
      </c>
      <c r="N10" s="114">
        <v>986118566</v>
      </c>
      <c r="O10" s="115">
        <v>29</v>
      </c>
      <c r="P10" s="109" t="s">
        <v>59</v>
      </c>
      <c r="Q10" s="109" t="s">
        <v>25</v>
      </c>
      <c r="R10" s="116"/>
      <c r="S10" s="116" t="str">
        <f>D10</f>
        <v>001-500-000077610</v>
      </c>
      <c r="T10" s="119" t="s">
        <v>1094</v>
      </c>
      <c r="U10" s="118" t="s">
        <v>1095</v>
      </c>
    </row>
    <row r="11" spans="1:21" ht="20">
      <c r="A11" s="107">
        <v>6</v>
      </c>
      <c r="B11" s="108">
        <v>45941</v>
      </c>
      <c r="C11" s="109" t="s">
        <v>1033</v>
      </c>
      <c r="D11" s="110" t="s">
        <v>1096</v>
      </c>
      <c r="E11" s="111">
        <v>111570002</v>
      </c>
      <c r="F11" s="137" t="str">
        <f t="shared" ref="F11" si="1">VLOOKUP(E11,PROD,2,FALSE)</f>
        <v>COCINA GOURMET BBQ 3100 G BK-SS</v>
      </c>
      <c r="G11" s="110" t="s">
        <v>1097</v>
      </c>
      <c r="H11" s="112" t="s">
        <v>58</v>
      </c>
      <c r="I11" s="113" t="s">
        <v>46</v>
      </c>
      <c r="J11" s="113" t="s">
        <v>47</v>
      </c>
      <c r="K11" s="108" t="s">
        <v>1098</v>
      </c>
      <c r="L11" s="109" t="s">
        <v>1099</v>
      </c>
      <c r="M11" s="109" t="s">
        <v>1100</v>
      </c>
      <c r="N11" s="114">
        <v>999753668</v>
      </c>
      <c r="O11" s="115">
        <v>29</v>
      </c>
      <c r="P11" s="109" t="s">
        <v>59</v>
      </c>
      <c r="Q11" s="109" t="s">
        <v>25</v>
      </c>
      <c r="R11" s="116"/>
      <c r="S11" s="116" t="str">
        <f t="shared" ref="S11" si="2">D11</f>
        <v>043-401-000033631</v>
      </c>
      <c r="T11" s="119" t="s">
        <v>1101</v>
      </c>
      <c r="U11" s="118" t="s">
        <v>1102</v>
      </c>
    </row>
    <row r="12" spans="1:21" ht="20">
      <c r="A12" s="107">
        <v>7</v>
      </c>
      <c r="B12" s="108">
        <v>45952</v>
      </c>
      <c r="C12" s="109" t="s">
        <v>1027</v>
      </c>
      <c r="D12" s="110" t="s">
        <v>24</v>
      </c>
      <c r="E12" s="111">
        <v>111570002</v>
      </c>
      <c r="F12" s="137" t="str">
        <f t="shared" ref="F12" si="3">VLOOKUP(E12,PROD,2,FALSE)</f>
        <v>COCINA GOURMET BBQ 3100 G BK-SS</v>
      </c>
      <c r="G12" s="110" t="s">
        <v>1103</v>
      </c>
      <c r="H12" s="112" t="s">
        <v>58</v>
      </c>
      <c r="I12" s="113" t="s">
        <v>46</v>
      </c>
      <c r="J12" s="113" t="s">
        <v>47</v>
      </c>
      <c r="K12" s="108">
        <v>45952</v>
      </c>
      <c r="L12" s="109" t="s">
        <v>1104</v>
      </c>
      <c r="M12" s="109" t="s">
        <v>1105</v>
      </c>
      <c r="N12" s="114">
        <v>74114427</v>
      </c>
      <c r="O12" s="115">
        <v>29</v>
      </c>
      <c r="P12" s="109" t="s">
        <v>1088</v>
      </c>
      <c r="Q12" s="109" t="s">
        <v>25</v>
      </c>
      <c r="R12" s="116"/>
      <c r="S12" s="116" t="str">
        <f t="shared" ref="S12" si="4">D12</f>
        <v>SAP</v>
      </c>
      <c r="T12" s="119" t="s">
        <v>1106</v>
      </c>
      <c r="U12" s="118" t="s">
        <v>1107</v>
      </c>
    </row>
    <row r="13" spans="1:21" ht="20">
      <c r="A13" s="107">
        <v>8</v>
      </c>
      <c r="B13" s="108">
        <v>45951</v>
      </c>
      <c r="C13" s="109" t="s">
        <v>1032</v>
      </c>
      <c r="D13" s="110" t="s">
        <v>1108</v>
      </c>
      <c r="E13" s="111">
        <v>111570002</v>
      </c>
      <c r="F13" s="137" t="str">
        <f t="shared" ref="F13:F16" si="5">VLOOKUP(E13,PROD,2,FALSE)</f>
        <v>COCINA GOURMET BBQ 3100 G BK-SS</v>
      </c>
      <c r="G13" s="110" t="s">
        <v>1109</v>
      </c>
      <c r="H13" s="112" t="s">
        <v>58</v>
      </c>
      <c r="I13" s="113" t="s">
        <v>46</v>
      </c>
      <c r="J13" s="113" t="s">
        <v>47</v>
      </c>
      <c r="K13" s="108">
        <v>45953</v>
      </c>
      <c r="L13" s="109" t="s">
        <v>1110</v>
      </c>
      <c r="M13" s="109" t="s">
        <v>1111</v>
      </c>
      <c r="N13" s="114">
        <v>984614027</v>
      </c>
      <c r="O13" s="115">
        <v>29</v>
      </c>
      <c r="P13" s="109" t="s">
        <v>59</v>
      </c>
      <c r="Q13" s="109" t="s">
        <v>25</v>
      </c>
      <c r="R13" s="116"/>
      <c r="S13" s="116" t="str">
        <f t="shared" ref="S13:S16" si="6">D13</f>
        <v>001-500-000078022</v>
      </c>
      <c r="T13" s="119" t="s">
        <v>1112</v>
      </c>
      <c r="U13" s="118" t="s">
        <v>1113</v>
      </c>
    </row>
    <row r="14" spans="1:21" ht="20">
      <c r="A14" s="107">
        <v>9</v>
      </c>
      <c r="B14" s="108">
        <v>45951</v>
      </c>
      <c r="C14" s="109" t="s">
        <v>1027</v>
      </c>
      <c r="D14" s="110" t="s">
        <v>24</v>
      </c>
      <c r="E14" s="111">
        <v>111570002</v>
      </c>
      <c r="F14" s="137" t="str">
        <f t="shared" si="5"/>
        <v>COCINA GOURMET BBQ 3100 G BK-SS</v>
      </c>
      <c r="G14" s="110" t="s">
        <v>1292</v>
      </c>
      <c r="H14" s="112" t="s">
        <v>58</v>
      </c>
      <c r="I14" s="113" t="s">
        <v>46</v>
      </c>
      <c r="J14" s="113" t="s">
        <v>47</v>
      </c>
      <c r="K14" s="108">
        <v>45960</v>
      </c>
      <c r="L14" s="109" t="s">
        <v>1294</v>
      </c>
      <c r="M14" s="109" t="s">
        <v>1295</v>
      </c>
      <c r="N14" s="238">
        <v>963517484</v>
      </c>
      <c r="O14" s="115">
        <v>29</v>
      </c>
      <c r="P14" s="109" t="s">
        <v>1088</v>
      </c>
      <c r="Q14" s="109" t="s">
        <v>25</v>
      </c>
      <c r="R14" s="116"/>
      <c r="S14" s="116" t="str">
        <f t="shared" si="6"/>
        <v>SAP</v>
      </c>
      <c r="T14" s="119" t="s">
        <v>1296</v>
      </c>
      <c r="U14" s="118" t="s">
        <v>1297</v>
      </c>
    </row>
    <row r="15" spans="1:21" ht="20">
      <c r="A15" s="107">
        <v>10</v>
      </c>
      <c r="B15" s="239">
        <v>45951</v>
      </c>
      <c r="C15" s="240" t="s">
        <v>1027</v>
      </c>
      <c r="D15" s="241" t="s">
        <v>24</v>
      </c>
      <c r="E15" s="111">
        <v>111570003</v>
      </c>
      <c r="F15" s="137" t="str">
        <f t="shared" si="5"/>
        <v>COCINA GOURMET BBQ 4100 G SS</v>
      </c>
      <c r="G15" s="110" t="s">
        <v>1293</v>
      </c>
      <c r="H15" s="112" t="s">
        <v>58</v>
      </c>
      <c r="I15" s="113" t="s">
        <v>46</v>
      </c>
      <c r="J15" s="113" t="s">
        <v>47</v>
      </c>
      <c r="K15" s="108">
        <v>45960</v>
      </c>
      <c r="L15" s="109" t="s">
        <v>1294</v>
      </c>
      <c r="M15" s="109" t="s">
        <v>1295</v>
      </c>
      <c r="N15" s="238">
        <v>963517484</v>
      </c>
      <c r="O15" s="115">
        <v>29</v>
      </c>
      <c r="P15" s="109" t="s">
        <v>1088</v>
      </c>
      <c r="Q15" s="109" t="s">
        <v>25</v>
      </c>
      <c r="R15" s="116"/>
      <c r="S15" s="116" t="str">
        <f t="shared" ref="S15" si="7">D15</f>
        <v>SAP</v>
      </c>
      <c r="T15" s="119" t="s">
        <v>1296</v>
      </c>
      <c r="U15" s="118" t="s">
        <v>1297</v>
      </c>
    </row>
    <row r="16" spans="1:21" ht="20">
      <c r="A16" s="107">
        <v>11</v>
      </c>
      <c r="B16" s="108">
        <v>45874</v>
      </c>
      <c r="C16" s="109" t="s">
        <v>1033</v>
      </c>
      <c r="D16" s="110" t="s">
        <v>1308</v>
      </c>
      <c r="E16" s="111">
        <v>111570003</v>
      </c>
      <c r="F16" s="137" t="str">
        <f t="shared" si="5"/>
        <v>COCINA GOURMET BBQ 4100 G SS</v>
      </c>
      <c r="G16" s="110" t="s">
        <v>1309</v>
      </c>
      <c r="H16" s="112" t="s">
        <v>58</v>
      </c>
      <c r="I16" s="113" t="s">
        <v>46</v>
      </c>
      <c r="J16" s="113" t="s">
        <v>47</v>
      </c>
      <c r="K16" s="108">
        <v>45966</v>
      </c>
      <c r="L16" s="109" t="s">
        <v>1310</v>
      </c>
      <c r="M16" s="109" t="s">
        <v>1311</v>
      </c>
      <c r="N16" s="114">
        <v>989790921</v>
      </c>
      <c r="O16" s="115">
        <v>29</v>
      </c>
      <c r="P16" s="109" t="s">
        <v>59</v>
      </c>
      <c r="Q16" s="109" t="s">
        <v>25</v>
      </c>
      <c r="R16" s="116"/>
      <c r="S16" s="116" t="str">
        <f t="shared" si="6"/>
        <v>043-901-000025856</v>
      </c>
      <c r="T16" s="119" t="s">
        <v>1312</v>
      </c>
      <c r="U16" s="118" t="s">
        <v>1313</v>
      </c>
    </row>
    <row r="17" spans="1:21" ht="20">
      <c r="A17" s="107">
        <v>12</v>
      </c>
      <c r="B17" s="108">
        <v>45926</v>
      </c>
      <c r="C17" s="109" t="s">
        <v>1033</v>
      </c>
      <c r="D17" s="110" t="s">
        <v>1314</v>
      </c>
      <c r="E17" s="111">
        <v>111570003</v>
      </c>
      <c r="F17" s="137" t="str">
        <f t="shared" ref="F17:F21" si="8">VLOOKUP(E17,PROD,2,FALSE)</f>
        <v>COCINA GOURMET BBQ 4100 G SS</v>
      </c>
      <c r="G17" s="110" t="s">
        <v>1315</v>
      </c>
      <c r="H17" s="112" t="s">
        <v>58</v>
      </c>
      <c r="I17" s="113" t="s">
        <v>46</v>
      </c>
      <c r="J17" s="113" t="s">
        <v>47</v>
      </c>
      <c r="K17" s="108">
        <v>45966</v>
      </c>
      <c r="L17" s="109" t="s">
        <v>1316</v>
      </c>
      <c r="M17" s="109" t="s">
        <v>1317</v>
      </c>
      <c r="N17" s="114">
        <v>998869255</v>
      </c>
      <c r="O17" s="115">
        <v>29</v>
      </c>
      <c r="P17" s="109" t="s">
        <v>59</v>
      </c>
      <c r="Q17" s="109" t="s">
        <v>25</v>
      </c>
      <c r="R17" s="116"/>
      <c r="S17" s="116" t="str">
        <f t="shared" ref="S17:S21" si="9">D17</f>
        <v>043-901-000035947</v>
      </c>
      <c r="T17" s="119" t="s">
        <v>1318</v>
      </c>
      <c r="U17" s="118" t="s">
        <v>1319</v>
      </c>
    </row>
    <row r="18" spans="1:21" ht="20">
      <c r="A18" s="107">
        <v>13</v>
      </c>
      <c r="B18" s="108">
        <v>45965</v>
      </c>
      <c r="C18" s="109" t="s">
        <v>1032</v>
      </c>
      <c r="D18" s="110" t="s">
        <v>1383</v>
      </c>
      <c r="E18" s="111">
        <v>111570003</v>
      </c>
      <c r="F18" s="137" t="str">
        <f t="shared" si="8"/>
        <v>COCINA GOURMET BBQ 4100 G SS</v>
      </c>
      <c r="G18" s="110" t="s">
        <v>1384</v>
      </c>
      <c r="H18" s="112" t="s">
        <v>58</v>
      </c>
      <c r="I18" s="113" t="s">
        <v>46</v>
      </c>
      <c r="J18" s="113" t="s">
        <v>47</v>
      </c>
      <c r="K18" s="108">
        <v>45967</v>
      </c>
      <c r="L18" s="109" t="s">
        <v>1385</v>
      </c>
      <c r="M18" s="109" t="s">
        <v>1386</v>
      </c>
      <c r="N18" s="114">
        <v>4115526</v>
      </c>
      <c r="O18" s="115">
        <v>29</v>
      </c>
      <c r="P18" s="109" t="s">
        <v>59</v>
      </c>
      <c r="Q18" s="109" t="s">
        <v>25</v>
      </c>
      <c r="R18" s="116"/>
      <c r="S18" s="116" t="str">
        <f t="shared" si="9"/>
        <v>001-500-000078453</v>
      </c>
      <c r="T18" s="119" t="s">
        <v>1387</v>
      </c>
      <c r="U18" s="118" t="s">
        <v>1388</v>
      </c>
    </row>
    <row r="19" spans="1:21" ht="20">
      <c r="A19" s="107">
        <v>14</v>
      </c>
      <c r="B19" s="108">
        <v>45961</v>
      </c>
      <c r="C19" s="109" t="s">
        <v>1032</v>
      </c>
      <c r="D19" s="110" t="s">
        <v>1422</v>
      </c>
      <c r="E19" s="111">
        <v>111570002</v>
      </c>
      <c r="F19" s="137" t="str">
        <f t="shared" si="8"/>
        <v>COCINA GOURMET BBQ 3100 G BK-SS</v>
      </c>
      <c r="G19" s="110" t="s">
        <v>1423</v>
      </c>
      <c r="H19" s="112" t="s">
        <v>58</v>
      </c>
      <c r="I19" s="113" t="s">
        <v>46</v>
      </c>
      <c r="J19" s="113" t="s">
        <v>47</v>
      </c>
      <c r="K19" s="108">
        <v>45968</v>
      </c>
      <c r="L19" s="109" t="s">
        <v>1424</v>
      </c>
      <c r="M19" s="109" t="s">
        <v>1425</v>
      </c>
      <c r="N19" s="114">
        <v>980244514</v>
      </c>
      <c r="O19" s="115">
        <v>29</v>
      </c>
      <c r="P19" s="109" t="s">
        <v>59</v>
      </c>
      <c r="Q19" s="109" t="s">
        <v>25</v>
      </c>
      <c r="R19" s="116"/>
      <c r="S19" s="116" t="str">
        <f t="shared" si="9"/>
        <v>001-500-000078353</v>
      </c>
      <c r="T19" s="119" t="s">
        <v>1426</v>
      </c>
      <c r="U19" s="118" t="s">
        <v>1427</v>
      </c>
    </row>
    <row r="20" spans="1:21" ht="20">
      <c r="A20" s="107">
        <v>15</v>
      </c>
      <c r="B20" s="108">
        <v>45972</v>
      </c>
      <c r="C20" s="109" t="s">
        <v>1033</v>
      </c>
      <c r="D20" s="110" t="s">
        <v>1574</v>
      </c>
      <c r="E20" s="111">
        <v>111570003</v>
      </c>
      <c r="F20" s="137" t="str">
        <f t="shared" si="8"/>
        <v>COCINA GOURMET BBQ 4100 G SS</v>
      </c>
      <c r="G20" s="110" t="s">
        <v>1084</v>
      </c>
      <c r="H20" s="112" t="s">
        <v>58</v>
      </c>
      <c r="I20" s="113" t="s">
        <v>46</v>
      </c>
      <c r="J20" s="113" t="s">
        <v>47</v>
      </c>
      <c r="K20" s="108">
        <v>45973</v>
      </c>
      <c r="L20" s="109" t="s">
        <v>1575</v>
      </c>
      <c r="M20" s="109" t="s">
        <v>1576</v>
      </c>
      <c r="N20" s="114">
        <v>997437371</v>
      </c>
      <c r="O20" s="115">
        <v>29</v>
      </c>
      <c r="P20" s="109" t="s">
        <v>59</v>
      </c>
      <c r="Q20" s="109" t="s">
        <v>25</v>
      </c>
      <c r="R20" s="116"/>
      <c r="S20" s="116" t="str">
        <f t="shared" si="9"/>
        <v>043-905-000103002</v>
      </c>
      <c r="T20" s="119" t="s">
        <v>1577</v>
      </c>
      <c r="U20" s="118" t="s">
        <v>1578</v>
      </c>
    </row>
    <row r="21" spans="1:21" ht="20">
      <c r="A21" s="107">
        <v>16</v>
      </c>
      <c r="B21" s="108">
        <v>45905</v>
      </c>
      <c r="C21" s="109" t="s">
        <v>1032</v>
      </c>
      <c r="D21" s="110" t="s">
        <v>24</v>
      </c>
      <c r="E21" s="111">
        <v>111570002</v>
      </c>
      <c r="F21" s="137" t="str">
        <f t="shared" si="8"/>
        <v>COCINA GOURMET BBQ 3100 G BK-SS</v>
      </c>
      <c r="G21" s="110" t="s">
        <v>1608</v>
      </c>
      <c r="H21" s="112" t="s">
        <v>58</v>
      </c>
      <c r="I21" s="113" t="s">
        <v>46</v>
      </c>
      <c r="J21" s="113" t="s">
        <v>47</v>
      </c>
      <c r="K21" s="108">
        <v>45974</v>
      </c>
      <c r="L21" s="109" t="s">
        <v>1609</v>
      </c>
      <c r="M21" s="109" t="s">
        <v>1597</v>
      </c>
      <c r="N21" s="114">
        <v>984995210</v>
      </c>
      <c r="O21" s="115">
        <v>29</v>
      </c>
      <c r="P21" s="109" t="s">
        <v>59</v>
      </c>
      <c r="Q21" s="109" t="s">
        <v>25</v>
      </c>
      <c r="R21" s="116"/>
      <c r="S21" s="116" t="str">
        <f t="shared" si="9"/>
        <v>SAP</v>
      </c>
      <c r="T21" s="119" t="s">
        <v>1610</v>
      </c>
      <c r="U21" s="118" t="s">
        <v>1611</v>
      </c>
    </row>
    <row r="22" spans="1:21" ht="20">
      <c r="A22" s="107">
        <v>17</v>
      </c>
      <c r="B22" s="108">
        <v>45976</v>
      </c>
      <c r="C22" s="109" t="s">
        <v>1033</v>
      </c>
      <c r="D22" s="110" t="s">
        <v>1644</v>
      </c>
      <c r="E22" s="111">
        <v>111570002</v>
      </c>
      <c r="F22" s="137" t="str">
        <f t="shared" ref="F22:F23" si="10">VLOOKUP(E22,PROD,2,FALSE)</f>
        <v>COCINA GOURMET BBQ 3100 G BK-SS</v>
      </c>
      <c r="G22" s="110" t="s">
        <v>1645</v>
      </c>
      <c r="H22" s="112" t="s">
        <v>58</v>
      </c>
      <c r="I22" s="113" t="s">
        <v>46</v>
      </c>
      <c r="J22" s="113" t="s">
        <v>47</v>
      </c>
      <c r="K22" s="108">
        <v>45975</v>
      </c>
      <c r="L22" s="109" t="s">
        <v>1646</v>
      </c>
      <c r="M22" s="109" t="s">
        <v>1647</v>
      </c>
      <c r="N22" s="114">
        <v>962913522</v>
      </c>
      <c r="O22" s="115">
        <v>29</v>
      </c>
      <c r="P22" s="109" t="s">
        <v>59</v>
      </c>
      <c r="Q22" s="109" t="s">
        <v>25</v>
      </c>
      <c r="R22" s="116"/>
      <c r="S22" s="116" t="str">
        <f t="shared" ref="S22:S23" si="11">D22</f>
        <v>043-902-000066424</v>
      </c>
      <c r="T22" s="119" t="s">
        <v>1648</v>
      </c>
      <c r="U22" s="118" t="s">
        <v>1649</v>
      </c>
    </row>
    <row r="23" spans="1:21" ht="20">
      <c r="A23" s="107">
        <v>18</v>
      </c>
      <c r="B23" s="108">
        <v>45962</v>
      </c>
      <c r="C23" s="109" t="s">
        <v>1027</v>
      </c>
      <c r="D23" s="110" t="s">
        <v>24</v>
      </c>
      <c r="E23" s="111">
        <v>111570002</v>
      </c>
      <c r="F23" s="137" t="str">
        <f t="shared" si="10"/>
        <v>COCINA GOURMET BBQ 3100 G BK-SS</v>
      </c>
      <c r="G23" s="110" t="s">
        <v>1650</v>
      </c>
      <c r="H23" s="112" t="s">
        <v>58</v>
      </c>
      <c r="I23" s="113" t="s">
        <v>46</v>
      </c>
      <c r="J23" s="113" t="s">
        <v>47</v>
      </c>
      <c r="K23" s="108">
        <v>45975</v>
      </c>
      <c r="L23" s="109" t="s">
        <v>1651</v>
      </c>
      <c r="M23" s="109" t="s">
        <v>1652</v>
      </c>
      <c r="N23" s="114">
        <v>985539645</v>
      </c>
      <c r="O23" s="115">
        <v>29</v>
      </c>
      <c r="P23" s="109" t="s">
        <v>1088</v>
      </c>
      <c r="Q23" s="109" t="s">
        <v>25</v>
      </c>
      <c r="R23" s="116"/>
      <c r="S23" s="116" t="str">
        <f t="shared" si="11"/>
        <v>SAP</v>
      </c>
      <c r="T23" s="119" t="s">
        <v>1653</v>
      </c>
      <c r="U23" s="118" t="s">
        <v>1654</v>
      </c>
    </row>
    <row r="24" spans="1:21" ht="20">
      <c r="A24" s="107">
        <v>19</v>
      </c>
      <c r="B24" s="108">
        <v>45962</v>
      </c>
      <c r="C24" s="109" t="s">
        <v>1027</v>
      </c>
      <c r="D24" s="110" t="s">
        <v>24</v>
      </c>
      <c r="E24" s="111">
        <v>111570002</v>
      </c>
      <c r="F24" s="137" t="str">
        <f t="shared" ref="F24" si="12">VLOOKUP(E24,PROD,2,FALSE)</f>
        <v>COCINA GOURMET BBQ 3100 G BK-SS</v>
      </c>
      <c r="G24" s="110" t="s">
        <v>1650</v>
      </c>
      <c r="H24" s="112" t="s">
        <v>58</v>
      </c>
      <c r="I24" s="113" t="s">
        <v>46</v>
      </c>
      <c r="J24" s="113" t="s">
        <v>47</v>
      </c>
      <c r="K24" s="108">
        <v>45975</v>
      </c>
      <c r="L24" s="109" t="s">
        <v>1651</v>
      </c>
      <c r="M24" s="109" t="s">
        <v>1652</v>
      </c>
      <c r="N24" s="114">
        <v>985539645</v>
      </c>
      <c r="O24" s="115">
        <v>29</v>
      </c>
      <c r="P24" s="109" t="s">
        <v>1088</v>
      </c>
      <c r="Q24" s="109" t="s">
        <v>25</v>
      </c>
      <c r="R24" s="116"/>
      <c r="S24" s="116" t="str">
        <f t="shared" ref="S24" si="13">D24</f>
        <v>SAP</v>
      </c>
      <c r="T24" s="119" t="s">
        <v>1653</v>
      </c>
      <c r="U24" s="118" t="s">
        <v>1654</v>
      </c>
    </row>
    <row r="25" spans="1:21" ht="20">
      <c r="A25" s="107">
        <v>20</v>
      </c>
      <c r="B25" s="108">
        <v>42302</v>
      </c>
      <c r="C25" s="109" t="s">
        <v>1033</v>
      </c>
      <c r="D25" s="110" t="s">
        <v>1727</v>
      </c>
      <c r="E25" s="111">
        <v>111570003</v>
      </c>
      <c r="F25" s="137" t="str">
        <f t="shared" ref="F25" si="14">VLOOKUP(E25,PROD,2,FALSE)</f>
        <v>COCINA GOURMET BBQ 4100 G SS</v>
      </c>
      <c r="G25" s="110" t="s">
        <v>1728</v>
      </c>
      <c r="H25" s="112" t="s">
        <v>58</v>
      </c>
      <c r="I25" s="113" t="s">
        <v>46</v>
      </c>
      <c r="J25" s="113" t="s">
        <v>47</v>
      </c>
      <c r="K25" s="108">
        <v>45978</v>
      </c>
      <c r="L25" s="109" t="s">
        <v>1729</v>
      </c>
      <c r="M25" s="109" t="s">
        <v>1730</v>
      </c>
      <c r="N25" s="114">
        <v>998158752</v>
      </c>
      <c r="O25" s="115">
        <v>29</v>
      </c>
      <c r="P25" s="109" t="s">
        <v>59</v>
      </c>
      <c r="Q25" s="109" t="s">
        <v>25</v>
      </c>
      <c r="R25" s="116"/>
      <c r="S25" s="116" t="str">
        <f t="shared" ref="S25" si="15">D25</f>
        <v>043-901-000032786</v>
      </c>
      <c r="T25" s="119" t="s">
        <v>1731</v>
      </c>
      <c r="U25" s="118" t="s">
        <v>1732</v>
      </c>
    </row>
    <row r="26" spans="1:21" ht="20">
      <c r="H26" s="121"/>
      <c r="O26" s="62">
        <f>SUM(O6:O25)</f>
        <v>580</v>
      </c>
    </row>
    <row r="30" spans="1:21" ht="20">
      <c r="E30">
        <v>20</v>
      </c>
      <c r="F30" s="120" t="s">
        <v>60</v>
      </c>
      <c r="G30" s="121">
        <v>29</v>
      </c>
      <c r="H30">
        <v>580</v>
      </c>
    </row>
  </sheetData>
  <hyperlinks>
    <hyperlink ref="U10" r:id="rId1" xr:uid="{8DF1DF08-CC06-C047-9562-4AFBABF81BA5}"/>
    <hyperlink ref="U11" r:id="rId2" xr:uid="{474C7014-7833-8946-BB14-E1D7810A2EC5}"/>
    <hyperlink ref="U12" r:id="rId3" xr:uid="{13C9AC91-AB4A-9542-AAD9-6CE15151297B}"/>
    <hyperlink ref="U13" r:id="rId4" xr:uid="{38194D1C-01C7-8244-BEC8-67B899B91175}"/>
    <hyperlink ref="U14" r:id="rId5" xr:uid="{D45D7C42-B1B3-084F-82A9-9ED442FEBE94}"/>
    <hyperlink ref="U15" r:id="rId6" xr:uid="{AA4C2DA3-F4A2-7345-9C22-F90A3391CF50}"/>
    <hyperlink ref="U16" r:id="rId7" xr:uid="{FD3BBEB3-D925-654E-B03F-B4A51870F533}"/>
    <hyperlink ref="U17" r:id="rId8" xr:uid="{5BDE9671-966B-444C-98D3-B97EDFC8869C}"/>
    <hyperlink ref="U18" r:id="rId9" xr:uid="{ECCA9177-FF44-C545-8B52-C0FACED2EE2B}"/>
    <hyperlink ref="U19" r:id="rId10" xr:uid="{DBB3B05E-6599-784E-8EA7-A5147ABE9C05}"/>
    <hyperlink ref="U20" r:id="rId11" xr:uid="{FC555079-3AC1-B843-8F43-4FB325E10DDE}"/>
    <hyperlink ref="U21" r:id="rId12" xr:uid="{C747286E-9DA8-CE42-ACB8-8C68DC0AA22A}"/>
    <hyperlink ref="U22" r:id="rId13" xr:uid="{F7A3688B-9D73-AD47-8619-99238BD66DDC}"/>
    <hyperlink ref="U23" r:id="rId14" xr:uid="{DB1690B8-06E6-064C-A656-25B4BD568A91}"/>
    <hyperlink ref="U24" r:id="rId15" xr:uid="{A04C2ED4-C2EC-7D40-A188-77607140744C}"/>
    <hyperlink ref="U25" r:id="rId16" xr:uid="{8C0BEFB6-5AE4-C049-A29B-213B1D162B4C}"/>
  </hyperlinks>
  <pageMargins left="0.7" right="0.7" top="0.75" bottom="0.75" header="0.3" footer="0.3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643"/>
    </sheetView>
  </sheetViews>
  <sheetFormatPr baseColWidth="10" defaultRowHeight="15"/>
  <cols>
    <col min="2" max="2" width="81.5" bestFit="1" customWidth="1"/>
  </cols>
  <sheetData>
    <row r="1" spans="1:2">
      <c r="A1" t="s">
        <v>61</v>
      </c>
      <c r="B1" t="s">
        <v>62</v>
      </c>
    </row>
    <row r="2" spans="1:2" hidden="1">
      <c r="A2" t="s">
        <v>63</v>
      </c>
      <c r="B2" t="s">
        <v>64</v>
      </c>
    </row>
    <row r="3" spans="1:2" hidden="1">
      <c r="A3">
        <v>915061</v>
      </c>
      <c r="B3" t="s">
        <v>65</v>
      </c>
    </row>
    <row r="4" spans="1:2" hidden="1">
      <c r="A4">
        <v>981061</v>
      </c>
      <c r="B4" t="s">
        <v>66</v>
      </c>
    </row>
    <row r="5" spans="1:2" hidden="1">
      <c r="A5">
        <v>982061</v>
      </c>
      <c r="B5" t="s">
        <v>67</v>
      </c>
    </row>
    <row r="6" spans="1:2" hidden="1">
      <c r="A6">
        <v>1010061</v>
      </c>
      <c r="B6" t="s">
        <v>68</v>
      </c>
    </row>
    <row r="7" spans="1:2" hidden="1">
      <c r="A7">
        <v>1070061</v>
      </c>
      <c r="B7" t="s">
        <v>69</v>
      </c>
    </row>
    <row r="8" spans="1:2" hidden="1">
      <c r="A8">
        <v>1080061</v>
      </c>
      <c r="B8" t="s">
        <v>70</v>
      </c>
    </row>
    <row r="9" spans="1:2" hidden="1">
      <c r="A9">
        <v>8731112</v>
      </c>
      <c r="B9" t="s">
        <v>71</v>
      </c>
    </row>
    <row r="10" spans="1:2" hidden="1">
      <c r="A10">
        <v>10101003</v>
      </c>
      <c r="B10" t="s">
        <v>72</v>
      </c>
    </row>
    <row r="11" spans="1:2" hidden="1">
      <c r="A11">
        <v>10101102</v>
      </c>
      <c r="B11" t="s">
        <v>73</v>
      </c>
    </row>
    <row r="12" spans="1:2" hidden="1">
      <c r="A12">
        <v>10101103</v>
      </c>
      <c r="B12" t="s">
        <v>74</v>
      </c>
    </row>
    <row r="13" spans="1:2" hidden="1">
      <c r="A13">
        <v>10103001</v>
      </c>
      <c r="B13" t="s">
        <v>75</v>
      </c>
    </row>
    <row r="14" spans="1:2" hidden="1">
      <c r="A14">
        <v>10104078</v>
      </c>
      <c r="B14" t="s">
        <v>76</v>
      </c>
    </row>
    <row r="15" spans="1:2" hidden="1">
      <c r="A15">
        <v>10104309</v>
      </c>
      <c r="B15" t="s">
        <v>77</v>
      </c>
    </row>
    <row r="16" spans="1:2" hidden="1">
      <c r="A16">
        <v>10104310</v>
      </c>
      <c r="B16" t="s">
        <v>78</v>
      </c>
    </row>
    <row r="17" spans="1:2" hidden="1">
      <c r="A17">
        <v>10105252</v>
      </c>
      <c r="B17" t="s">
        <v>79</v>
      </c>
    </row>
    <row r="18" spans="1:2" hidden="1">
      <c r="A18">
        <v>10107004</v>
      </c>
      <c r="B18" t="s">
        <v>80</v>
      </c>
    </row>
    <row r="19" spans="1:2" hidden="1">
      <c r="A19">
        <v>10107015</v>
      </c>
      <c r="B19" t="s">
        <v>81</v>
      </c>
    </row>
    <row r="20" spans="1:2" hidden="1">
      <c r="A20">
        <v>10107017</v>
      </c>
      <c r="B20" t="s">
        <v>82</v>
      </c>
    </row>
    <row r="21" spans="1:2" hidden="1">
      <c r="A21">
        <v>10108009</v>
      </c>
      <c r="B21" t="s">
        <v>83</v>
      </c>
    </row>
    <row r="22" spans="1:2" hidden="1">
      <c r="A22">
        <v>10108035</v>
      </c>
      <c r="B22" t="s">
        <v>84</v>
      </c>
    </row>
    <row r="23" spans="1:2" hidden="1">
      <c r="A23">
        <v>10110004</v>
      </c>
      <c r="B23" t="s">
        <v>85</v>
      </c>
    </row>
    <row r="24" spans="1:2" hidden="1">
      <c r="A24">
        <v>10111005</v>
      </c>
      <c r="B24" t="s">
        <v>86</v>
      </c>
    </row>
    <row r="25" spans="1:2" hidden="1">
      <c r="A25">
        <v>10118002</v>
      </c>
      <c r="B25" t="s">
        <v>87</v>
      </c>
    </row>
    <row r="26" spans="1:2" hidden="1">
      <c r="A26">
        <v>10118004</v>
      </c>
      <c r="B26" t="s">
        <v>88</v>
      </c>
    </row>
    <row r="27" spans="1:2" hidden="1">
      <c r="A27">
        <v>10118005</v>
      </c>
      <c r="B27" t="s">
        <v>89</v>
      </c>
    </row>
    <row r="28" spans="1:2" hidden="1">
      <c r="A28">
        <v>10119007</v>
      </c>
      <c r="B28" t="s">
        <v>90</v>
      </c>
    </row>
    <row r="29" spans="1:2" hidden="1">
      <c r="A29">
        <v>10119011</v>
      </c>
      <c r="B29" t="s">
        <v>91</v>
      </c>
    </row>
    <row r="30" spans="1:2" hidden="1">
      <c r="A30">
        <v>10119013</v>
      </c>
      <c r="B30" t="s">
        <v>92</v>
      </c>
    </row>
    <row r="31" spans="1:2" hidden="1">
      <c r="A31">
        <v>10119021</v>
      </c>
      <c r="B31" t="s">
        <v>93</v>
      </c>
    </row>
    <row r="32" spans="1:2" hidden="1">
      <c r="A32">
        <v>10119038</v>
      </c>
      <c r="B32" t="s">
        <v>94</v>
      </c>
    </row>
    <row r="33" spans="1:2" hidden="1">
      <c r="A33">
        <v>10119080</v>
      </c>
      <c r="B33" t="s">
        <v>95</v>
      </c>
    </row>
    <row r="34" spans="1:2" hidden="1">
      <c r="A34">
        <v>10119081</v>
      </c>
      <c r="B34" t="s">
        <v>96</v>
      </c>
    </row>
    <row r="35" spans="1:2" hidden="1">
      <c r="A35">
        <v>10120025</v>
      </c>
      <c r="B35" t="s">
        <v>97</v>
      </c>
    </row>
    <row r="36" spans="1:2" hidden="1">
      <c r="A36">
        <v>10120028</v>
      </c>
      <c r="B36" t="s">
        <v>98</v>
      </c>
    </row>
    <row r="37" spans="1:2" hidden="1">
      <c r="A37">
        <v>10120098</v>
      </c>
      <c r="B37" t="s">
        <v>99</v>
      </c>
    </row>
    <row r="38" spans="1:2" hidden="1">
      <c r="A38">
        <v>10120117</v>
      </c>
      <c r="B38" t="s">
        <v>100</v>
      </c>
    </row>
    <row r="39" spans="1:2" hidden="1">
      <c r="A39">
        <v>10124066</v>
      </c>
      <c r="B39" t="s">
        <v>101</v>
      </c>
    </row>
    <row r="40" spans="1:2" hidden="1">
      <c r="A40">
        <v>10125003</v>
      </c>
      <c r="B40" t="s">
        <v>102</v>
      </c>
    </row>
    <row r="41" spans="1:2" hidden="1">
      <c r="A41">
        <v>10125004</v>
      </c>
      <c r="B41" t="s">
        <v>103</v>
      </c>
    </row>
    <row r="42" spans="1:2" hidden="1">
      <c r="A42">
        <v>10125006</v>
      </c>
      <c r="B42" t="s">
        <v>104</v>
      </c>
    </row>
    <row r="43" spans="1:2" hidden="1">
      <c r="A43">
        <v>10125019</v>
      </c>
      <c r="B43" t="s">
        <v>105</v>
      </c>
    </row>
    <row r="44" spans="1:2" hidden="1">
      <c r="A44">
        <v>10125041</v>
      </c>
      <c r="B44" t="s">
        <v>106</v>
      </c>
    </row>
    <row r="45" spans="1:2" hidden="1">
      <c r="A45">
        <v>10125042</v>
      </c>
      <c r="B45" t="s">
        <v>107</v>
      </c>
    </row>
    <row r="46" spans="1:2" hidden="1">
      <c r="A46">
        <v>10125047</v>
      </c>
      <c r="B46" t="s">
        <v>108</v>
      </c>
    </row>
    <row r="47" spans="1:2" hidden="1">
      <c r="A47">
        <v>10125048</v>
      </c>
      <c r="B47" t="s">
        <v>109</v>
      </c>
    </row>
    <row r="48" spans="1:2" hidden="1">
      <c r="A48">
        <v>10125073</v>
      </c>
      <c r="B48" t="s">
        <v>110</v>
      </c>
    </row>
    <row r="49" spans="1:2" hidden="1">
      <c r="A49">
        <v>10125077</v>
      </c>
      <c r="B49" t="s">
        <v>111</v>
      </c>
    </row>
    <row r="50" spans="1:2" hidden="1">
      <c r="A50">
        <v>10125085</v>
      </c>
      <c r="B50" t="s">
        <v>112</v>
      </c>
    </row>
    <row r="51" spans="1:2" hidden="1">
      <c r="A51">
        <v>10125114</v>
      </c>
      <c r="B51" t="s">
        <v>113</v>
      </c>
    </row>
    <row r="52" spans="1:2" hidden="1">
      <c r="A52">
        <v>10125121</v>
      </c>
      <c r="B52" t="s">
        <v>114</v>
      </c>
    </row>
    <row r="53" spans="1:2" hidden="1">
      <c r="A53">
        <v>10125122</v>
      </c>
      <c r="B53" t="s">
        <v>115</v>
      </c>
    </row>
    <row r="54" spans="1:2" hidden="1">
      <c r="A54">
        <v>10125124</v>
      </c>
      <c r="B54" t="s">
        <v>116</v>
      </c>
    </row>
    <row r="55" spans="1:2" hidden="1">
      <c r="A55">
        <v>10125134</v>
      </c>
      <c r="B55" t="s">
        <v>117</v>
      </c>
    </row>
    <row r="56" spans="1:2" hidden="1">
      <c r="A56">
        <v>10125148</v>
      </c>
      <c r="B56" t="s">
        <v>118</v>
      </c>
    </row>
    <row r="57" spans="1:2" hidden="1">
      <c r="A57">
        <v>10125155</v>
      </c>
      <c r="B57" t="s">
        <v>119</v>
      </c>
    </row>
    <row r="58" spans="1:2" hidden="1">
      <c r="A58">
        <v>10125166</v>
      </c>
      <c r="B58" t="s">
        <v>120</v>
      </c>
    </row>
    <row r="59" spans="1:2" hidden="1">
      <c r="A59">
        <v>10131004</v>
      </c>
      <c r="B59" t="s">
        <v>121</v>
      </c>
    </row>
    <row r="60" spans="1:2" hidden="1">
      <c r="A60">
        <v>10131009</v>
      </c>
      <c r="B60" t="s">
        <v>122</v>
      </c>
    </row>
    <row r="61" spans="1:2" hidden="1">
      <c r="A61">
        <v>10131033</v>
      </c>
      <c r="B61" t="s">
        <v>123</v>
      </c>
    </row>
    <row r="62" spans="1:2" hidden="1">
      <c r="A62">
        <v>10133010</v>
      </c>
      <c r="B62" t="s">
        <v>124</v>
      </c>
    </row>
    <row r="63" spans="1:2" hidden="1">
      <c r="A63">
        <v>10133011</v>
      </c>
      <c r="B63" t="s">
        <v>125</v>
      </c>
    </row>
    <row r="64" spans="1:2" hidden="1">
      <c r="A64">
        <v>10135012</v>
      </c>
      <c r="B64" t="s">
        <v>126</v>
      </c>
    </row>
    <row r="65" spans="1:2" hidden="1">
      <c r="A65">
        <v>10135013</v>
      </c>
      <c r="B65" t="s">
        <v>127</v>
      </c>
    </row>
    <row r="66" spans="1:2" hidden="1">
      <c r="A66">
        <v>10135014</v>
      </c>
      <c r="B66" t="s">
        <v>128</v>
      </c>
    </row>
    <row r="67" spans="1:2" hidden="1">
      <c r="A67">
        <v>10135015</v>
      </c>
      <c r="B67" t="s">
        <v>129</v>
      </c>
    </row>
    <row r="68" spans="1:2" hidden="1">
      <c r="A68">
        <v>10135016</v>
      </c>
      <c r="B68" t="s">
        <v>130</v>
      </c>
    </row>
    <row r="69" spans="1:2" hidden="1">
      <c r="A69">
        <v>10135017</v>
      </c>
      <c r="B69" t="s">
        <v>131</v>
      </c>
    </row>
    <row r="70" spans="1:2" hidden="1">
      <c r="A70">
        <v>10135018</v>
      </c>
      <c r="B70" t="s">
        <v>132</v>
      </c>
    </row>
    <row r="71" spans="1:2" hidden="1">
      <c r="A71">
        <v>10135019</v>
      </c>
      <c r="B71" t="s">
        <v>133</v>
      </c>
    </row>
    <row r="72" spans="1:2" hidden="1">
      <c r="A72">
        <v>10136001</v>
      </c>
      <c r="B72" t="s">
        <v>134</v>
      </c>
    </row>
    <row r="73" spans="1:2" hidden="1">
      <c r="A73">
        <v>10138002</v>
      </c>
      <c r="B73" t="s">
        <v>135</v>
      </c>
    </row>
    <row r="74" spans="1:2" hidden="1">
      <c r="A74">
        <v>10138003</v>
      </c>
      <c r="B74" t="s">
        <v>136</v>
      </c>
    </row>
    <row r="75" spans="1:2" hidden="1">
      <c r="A75">
        <v>10138005</v>
      </c>
      <c r="B75" t="s">
        <v>137</v>
      </c>
    </row>
    <row r="76" spans="1:2" hidden="1">
      <c r="A76">
        <v>10138006</v>
      </c>
      <c r="B76" t="s">
        <v>138</v>
      </c>
    </row>
    <row r="77" spans="1:2" hidden="1">
      <c r="A77">
        <v>10138011</v>
      </c>
      <c r="B77" t="s">
        <v>139</v>
      </c>
    </row>
    <row r="78" spans="1:2" hidden="1">
      <c r="A78">
        <v>10181650</v>
      </c>
      <c r="B78" t="s">
        <v>140</v>
      </c>
    </row>
    <row r="79" spans="1:2" hidden="1">
      <c r="A79">
        <v>10181651</v>
      </c>
      <c r="B79" t="s">
        <v>141</v>
      </c>
    </row>
    <row r="80" spans="1:2" hidden="1">
      <c r="A80">
        <v>10181711</v>
      </c>
      <c r="B80" t="s">
        <v>142</v>
      </c>
    </row>
    <row r="81" spans="1:2" hidden="1">
      <c r="A81">
        <v>10184550</v>
      </c>
      <c r="B81" t="s">
        <v>143</v>
      </c>
    </row>
    <row r="82" spans="1:2" hidden="1">
      <c r="A82">
        <v>10184551</v>
      </c>
      <c r="B82" t="s">
        <v>144</v>
      </c>
    </row>
    <row r="83" spans="1:2" hidden="1">
      <c r="A83">
        <v>10184812</v>
      </c>
      <c r="B83" t="s">
        <v>145</v>
      </c>
    </row>
    <row r="84" spans="1:2" hidden="1">
      <c r="A84">
        <v>1019700</v>
      </c>
      <c r="B84" t="s">
        <v>146</v>
      </c>
    </row>
    <row r="85" spans="1:2" hidden="1">
      <c r="A85">
        <v>10204016</v>
      </c>
      <c r="B85" t="s">
        <v>147</v>
      </c>
    </row>
    <row r="86" spans="1:2" hidden="1">
      <c r="A86">
        <v>10204086</v>
      </c>
      <c r="B86" t="s">
        <v>148</v>
      </c>
    </row>
    <row r="87" spans="1:2" hidden="1">
      <c r="A87">
        <v>10204103</v>
      </c>
      <c r="B87" t="s">
        <v>149</v>
      </c>
    </row>
    <row r="88" spans="1:2" hidden="1">
      <c r="A88">
        <v>10204686</v>
      </c>
      <c r="B88" t="s">
        <v>150</v>
      </c>
    </row>
    <row r="89" spans="1:2" hidden="1">
      <c r="A89">
        <v>10205013</v>
      </c>
      <c r="B89" t="s">
        <v>151</v>
      </c>
    </row>
    <row r="90" spans="1:2" hidden="1">
      <c r="A90">
        <v>10205014</v>
      </c>
      <c r="B90" t="s">
        <v>152</v>
      </c>
    </row>
    <row r="91" spans="1:2" hidden="1">
      <c r="A91">
        <v>10205018</v>
      </c>
      <c r="B91" t="s">
        <v>153</v>
      </c>
    </row>
    <row r="92" spans="1:2" hidden="1">
      <c r="A92">
        <v>10205047</v>
      </c>
      <c r="B92" t="s">
        <v>154</v>
      </c>
    </row>
    <row r="93" spans="1:2" hidden="1">
      <c r="A93">
        <v>10205048</v>
      </c>
      <c r="B93" t="s">
        <v>155</v>
      </c>
    </row>
    <row r="94" spans="1:2" hidden="1">
      <c r="A94">
        <v>10205049</v>
      </c>
      <c r="B94" t="s">
        <v>156</v>
      </c>
    </row>
    <row r="95" spans="1:2" hidden="1">
      <c r="A95">
        <v>10205050</v>
      </c>
      <c r="B95" t="s">
        <v>157</v>
      </c>
    </row>
    <row r="96" spans="1:2" hidden="1">
      <c r="A96">
        <v>10206007</v>
      </c>
      <c r="B96" t="s">
        <v>158</v>
      </c>
    </row>
    <row r="97" spans="1:2" hidden="1">
      <c r="A97">
        <v>10206062</v>
      </c>
      <c r="B97" t="s">
        <v>159</v>
      </c>
    </row>
    <row r="98" spans="1:2" hidden="1">
      <c r="A98">
        <v>10206064</v>
      </c>
      <c r="B98" t="s">
        <v>160</v>
      </c>
    </row>
    <row r="99" spans="1:2" hidden="1">
      <c r="A99">
        <v>10208009</v>
      </c>
      <c r="B99" t="s">
        <v>161</v>
      </c>
    </row>
    <row r="100" spans="1:2" hidden="1">
      <c r="A100">
        <v>10208036</v>
      </c>
      <c r="B100" t="s">
        <v>162</v>
      </c>
    </row>
    <row r="101" spans="1:2" hidden="1">
      <c r="A101">
        <v>10208093</v>
      </c>
      <c r="B101" t="s">
        <v>163</v>
      </c>
    </row>
    <row r="102" spans="1:2" hidden="1">
      <c r="A102">
        <v>10209025</v>
      </c>
      <c r="B102" t="s">
        <v>164</v>
      </c>
    </row>
    <row r="103" spans="1:2" hidden="1">
      <c r="A103">
        <v>10209029</v>
      </c>
      <c r="B103" t="s">
        <v>165</v>
      </c>
    </row>
    <row r="104" spans="1:2" hidden="1">
      <c r="A104">
        <v>10209055</v>
      </c>
      <c r="B104" t="s">
        <v>166</v>
      </c>
    </row>
    <row r="105" spans="1:2" hidden="1">
      <c r="A105">
        <v>10210002</v>
      </c>
      <c r="B105" t="s">
        <v>167</v>
      </c>
    </row>
    <row r="106" spans="1:2" hidden="1">
      <c r="A106">
        <v>10210005</v>
      </c>
      <c r="B106" t="s">
        <v>168</v>
      </c>
    </row>
    <row r="107" spans="1:2" hidden="1">
      <c r="A107">
        <v>10210009</v>
      </c>
      <c r="B107" t="s">
        <v>169</v>
      </c>
    </row>
    <row r="108" spans="1:2" hidden="1">
      <c r="A108">
        <v>10210011</v>
      </c>
      <c r="B108" t="s">
        <v>170</v>
      </c>
    </row>
    <row r="109" spans="1:2" hidden="1">
      <c r="A109">
        <v>10210020</v>
      </c>
      <c r="B109" t="s">
        <v>171</v>
      </c>
    </row>
    <row r="110" spans="1:2" hidden="1">
      <c r="A110">
        <v>10210022</v>
      </c>
      <c r="B110" t="s">
        <v>172</v>
      </c>
    </row>
    <row r="111" spans="1:2" hidden="1">
      <c r="A111">
        <v>10210028</v>
      </c>
      <c r="B111" t="s">
        <v>173</v>
      </c>
    </row>
    <row r="112" spans="1:2" hidden="1">
      <c r="A112">
        <v>10210029</v>
      </c>
      <c r="B112" t="s">
        <v>174</v>
      </c>
    </row>
    <row r="113" spans="1:2" hidden="1">
      <c r="A113">
        <v>10210042</v>
      </c>
      <c r="B113" t="s">
        <v>175</v>
      </c>
    </row>
    <row r="114" spans="1:2" hidden="1">
      <c r="A114">
        <v>10210065</v>
      </c>
      <c r="B114" t="s">
        <v>176</v>
      </c>
    </row>
    <row r="115" spans="1:2" hidden="1">
      <c r="A115">
        <v>10210068</v>
      </c>
      <c r="B115" t="s">
        <v>177</v>
      </c>
    </row>
    <row r="116" spans="1:2" hidden="1">
      <c r="A116">
        <v>10210071</v>
      </c>
      <c r="B116" t="s">
        <v>178</v>
      </c>
    </row>
    <row r="117" spans="1:2" hidden="1">
      <c r="A117">
        <v>10210072</v>
      </c>
      <c r="B117" t="s">
        <v>179</v>
      </c>
    </row>
    <row r="118" spans="1:2" hidden="1">
      <c r="A118">
        <v>10210084</v>
      </c>
      <c r="B118" t="s">
        <v>180</v>
      </c>
    </row>
    <row r="119" spans="1:2" hidden="1">
      <c r="A119">
        <v>10210085</v>
      </c>
      <c r="B119" t="s">
        <v>181</v>
      </c>
    </row>
    <row r="120" spans="1:2" hidden="1">
      <c r="A120">
        <v>10210088</v>
      </c>
      <c r="B120" t="s">
        <v>182</v>
      </c>
    </row>
    <row r="121" spans="1:2" hidden="1">
      <c r="A121">
        <v>10210109</v>
      </c>
      <c r="B121" t="s">
        <v>183</v>
      </c>
    </row>
    <row r="122" spans="1:2" hidden="1">
      <c r="A122">
        <v>10210145</v>
      </c>
      <c r="B122" t="s">
        <v>184</v>
      </c>
    </row>
    <row r="123" spans="1:2" hidden="1">
      <c r="A123">
        <v>10210146</v>
      </c>
      <c r="B123" t="s">
        <v>185</v>
      </c>
    </row>
    <row r="124" spans="1:2" hidden="1">
      <c r="A124">
        <v>10210147</v>
      </c>
      <c r="B124" t="s">
        <v>186</v>
      </c>
    </row>
    <row r="125" spans="1:2" hidden="1">
      <c r="A125">
        <v>10210148</v>
      </c>
      <c r="B125" t="s">
        <v>187</v>
      </c>
    </row>
    <row r="126" spans="1:2" hidden="1">
      <c r="A126">
        <v>10210149</v>
      </c>
      <c r="B126" t="s">
        <v>188</v>
      </c>
    </row>
    <row r="127" spans="1:2" hidden="1">
      <c r="A127">
        <v>10210150</v>
      </c>
      <c r="B127" t="s">
        <v>189</v>
      </c>
    </row>
    <row r="128" spans="1:2" hidden="1">
      <c r="A128">
        <v>10210151</v>
      </c>
      <c r="B128" t="s">
        <v>190</v>
      </c>
    </row>
    <row r="129" spans="1:2" hidden="1">
      <c r="A129">
        <v>10210152</v>
      </c>
      <c r="B129" t="s">
        <v>191</v>
      </c>
    </row>
    <row r="130" spans="1:2" hidden="1">
      <c r="A130">
        <v>10210160</v>
      </c>
      <c r="B130" t="s">
        <v>192</v>
      </c>
    </row>
    <row r="131" spans="1:2" hidden="1">
      <c r="A131">
        <v>10210163</v>
      </c>
      <c r="B131" t="s">
        <v>193</v>
      </c>
    </row>
    <row r="132" spans="1:2" hidden="1">
      <c r="A132">
        <v>10210171</v>
      </c>
      <c r="B132" t="s">
        <v>194</v>
      </c>
    </row>
    <row r="133" spans="1:2" hidden="1">
      <c r="A133">
        <v>10210174</v>
      </c>
      <c r="B133" t="s">
        <v>195</v>
      </c>
    </row>
    <row r="134" spans="1:2" hidden="1">
      <c r="A134">
        <v>10210176</v>
      </c>
      <c r="B134" t="s">
        <v>196</v>
      </c>
    </row>
    <row r="135" spans="1:2" hidden="1">
      <c r="A135">
        <v>10210205</v>
      </c>
      <c r="B135" t="s">
        <v>197</v>
      </c>
    </row>
    <row r="136" spans="1:2" hidden="1">
      <c r="A136">
        <v>10307001</v>
      </c>
      <c r="B136" t="s">
        <v>198</v>
      </c>
    </row>
    <row r="137" spans="1:2" hidden="1">
      <c r="A137">
        <v>10307002</v>
      </c>
      <c r="B137" t="s">
        <v>199</v>
      </c>
    </row>
    <row r="138" spans="1:2" hidden="1">
      <c r="A138">
        <v>111000001</v>
      </c>
      <c r="B138" t="s">
        <v>200</v>
      </c>
    </row>
    <row r="139" spans="1:2" hidden="1">
      <c r="A139">
        <v>111000030</v>
      </c>
      <c r="B139" t="s">
        <v>201</v>
      </c>
    </row>
    <row r="140" spans="1:2" hidden="1">
      <c r="A140">
        <v>111000050</v>
      </c>
      <c r="B140" t="s">
        <v>202</v>
      </c>
    </row>
    <row r="141" spans="1:2" hidden="1">
      <c r="A141">
        <v>111000051</v>
      </c>
      <c r="B141" t="s">
        <v>203</v>
      </c>
    </row>
    <row r="142" spans="1:2" hidden="1">
      <c r="A142">
        <v>111000059</v>
      </c>
      <c r="B142" t="s">
        <v>204</v>
      </c>
    </row>
    <row r="143" spans="1:2" hidden="1">
      <c r="A143">
        <v>111000078</v>
      </c>
      <c r="B143" t="s">
        <v>205</v>
      </c>
    </row>
    <row r="144" spans="1:2" hidden="1">
      <c r="A144">
        <v>111000099</v>
      </c>
      <c r="B144" t="s">
        <v>206</v>
      </c>
    </row>
    <row r="145" spans="1:2" hidden="1">
      <c r="A145">
        <v>111010028</v>
      </c>
      <c r="B145" t="s">
        <v>207</v>
      </c>
    </row>
    <row r="146" spans="1:2" hidden="1">
      <c r="A146">
        <v>111010040</v>
      </c>
      <c r="B146" t="s">
        <v>208</v>
      </c>
    </row>
    <row r="147" spans="1:2" hidden="1">
      <c r="A147">
        <v>111010041</v>
      </c>
      <c r="B147" t="s">
        <v>209</v>
      </c>
    </row>
    <row r="148" spans="1:2" hidden="1">
      <c r="A148">
        <v>111010093</v>
      </c>
      <c r="B148" t="s">
        <v>210</v>
      </c>
    </row>
    <row r="149" spans="1:2" hidden="1">
      <c r="A149">
        <v>111010095</v>
      </c>
      <c r="B149" t="s">
        <v>211</v>
      </c>
    </row>
    <row r="150" spans="1:2" hidden="1">
      <c r="A150">
        <v>111010100</v>
      </c>
      <c r="B150" t="s">
        <v>212</v>
      </c>
    </row>
    <row r="151" spans="1:2" hidden="1">
      <c r="A151">
        <v>111020071</v>
      </c>
      <c r="B151" t="s">
        <v>213</v>
      </c>
    </row>
    <row r="152" spans="1:2" hidden="1">
      <c r="A152">
        <v>111020081</v>
      </c>
      <c r="B152" t="s">
        <v>214</v>
      </c>
    </row>
    <row r="153" spans="1:2" hidden="1">
      <c r="A153">
        <v>111020086</v>
      </c>
      <c r="B153" t="s">
        <v>215</v>
      </c>
    </row>
    <row r="154" spans="1:2" hidden="1">
      <c r="A154">
        <v>111030002</v>
      </c>
      <c r="B154" t="s">
        <v>216</v>
      </c>
    </row>
    <row r="155" spans="1:2" hidden="1">
      <c r="A155">
        <v>111040003</v>
      </c>
      <c r="B155" t="s">
        <v>217</v>
      </c>
    </row>
    <row r="156" spans="1:2" hidden="1">
      <c r="A156">
        <v>111040006</v>
      </c>
      <c r="B156" t="s">
        <v>217</v>
      </c>
    </row>
    <row r="157" spans="1:2" hidden="1">
      <c r="A157">
        <v>111040015</v>
      </c>
      <c r="B157" t="s">
        <v>218</v>
      </c>
    </row>
    <row r="158" spans="1:2" hidden="1">
      <c r="A158">
        <v>11107010</v>
      </c>
      <c r="B158" t="s">
        <v>219</v>
      </c>
    </row>
    <row r="159" spans="1:2" hidden="1">
      <c r="A159">
        <v>11107011</v>
      </c>
      <c r="B159" t="s">
        <v>220</v>
      </c>
    </row>
    <row r="160" spans="1:2" hidden="1">
      <c r="A160">
        <v>11107029</v>
      </c>
      <c r="B160" t="s">
        <v>221</v>
      </c>
    </row>
    <row r="161" spans="1:2" hidden="1">
      <c r="A161">
        <v>11107076</v>
      </c>
      <c r="B161" t="s">
        <v>222</v>
      </c>
    </row>
    <row r="162" spans="1:2" hidden="1">
      <c r="A162">
        <v>11110004</v>
      </c>
      <c r="B162" t="s">
        <v>85</v>
      </c>
    </row>
    <row r="163" spans="1:2" hidden="1">
      <c r="A163">
        <v>111160032</v>
      </c>
      <c r="B163" t="s">
        <v>223</v>
      </c>
    </row>
    <row r="164" spans="1:2" hidden="1">
      <c r="A164">
        <v>11119007</v>
      </c>
      <c r="B164" t="s">
        <v>224</v>
      </c>
    </row>
    <row r="165" spans="1:2" hidden="1">
      <c r="A165">
        <v>11119010</v>
      </c>
      <c r="B165" t="s">
        <v>225</v>
      </c>
    </row>
    <row r="166" spans="1:2" hidden="1">
      <c r="A166">
        <v>11119086</v>
      </c>
      <c r="B166" t="s">
        <v>226</v>
      </c>
    </row>
    <row r="167" spans="1:2" hidden="1">
      <c r="A167">
        <v>111200005</v>
      </c>
      <c r="B167" t="s">
        <v>227</v>
      </c>
    </row>
    <row r="168" spans="1:2" hidden="1">
      <c r="A168">
        <v>11120027</v>
      </c>
      <c r="B168" t="s">
        <v>228</v>
      </c>
    </row>
    <row r="169" spans="1:2" hidden="1">
      <c r="A169">
        <v>11120029</v>
      </c>
      <c r="B169" t="s">
        <v>229</v>
      </c>
    </row>
    <row r="170" spans="1:2" hidden="1">
      <c r="A170">
        <v>11120037</v>
      </c>
      <c r="B170" t="s">
        <v>230</v>
      </c>
    </row>
    <row r="171" spans="1:2" hidden="1">
      <c r="A171">
        <v>11120086</v>
      </c>
      <c r="B171" t="s">
        <v>231</v>
      </c>
    </row>
    <row r="172" spans="1:2" hidden="1">
      <c r="A172">
        <v>11120102</v>
      </c>
      <c r="B172" t="s">
        <v>232</v>
      </c>
    </row>
    <row r="173" spans="1:2" hidden="1">
      <c r="A173">
        <v>11120110</v>
      </c>
      <c r="B173" t="s">
        <v>233</v>
      </c>
    </row>
    <row r="174" spans="1:2" hidden="1">
      <c r="A174">
        <v>11120111</v>
      </c>
      <c r="B174" t="s">
        <v>234</v>
      </c>
    </row>
    <row r="175" spans="1:2" hidden="1">
      <c r="A175">
        <v>11120112</v>
      </c>
      <c r="B175" t="s">
        <v>235</v>
      </c>
    </row>
    <row r="176" spans="1:2" hidden="1">
      <c r="A176" t="s">
        <v>236</v>
      </c>
      <c r="B176" t="s">
        <v>237</v>
      </c>
    </row>
    <row r="177" spans="1:2" hidden="1">
      <c r="A177">
        <v>11120113</v>
      </c>
      <c r="B177" t="s">
        <v>238</v>
      </c>
    </row>
    <row r="178" spans="1:2" hidden="1">
      <c r="A178">
        <v>11120114</v>
      </c>
      <c r="B178" t="s">
        <v>239</v>
      </c>
    </row>
    <row r="179" spans="1:2" hidden="1">
      <c r="A179">
        <v>11120115</v>
      </c>
      <c r="B179" t="s">
        <v>240</v>
      </c>
    </row>
    <row r="180" spans="1:2" hidden="1">
      <c r="A180">
        <v>11124030</v>
      </c>
      <c r="B180" t="s">
        <v>241</v>
      </c>
    </row>
    <row r="181" spans="1:2" hidden="1">
      <c r="A181" t="s">
        <v>242</v>
      </c>
      <c r="B181" t="s">
        <v>243</v>
      </c>
    </row>
    <row r="182" spans="1:2" hidden="1">
      <c r="A182">
        <v>11124031</v>
      </c>
      <c r="B182" t="s">
        <v>244</v>
      </c>
    </row>
    <row r="183" spans="1:2" hidden="1">
      <c r="A183" t="s">
        <v>245</v>
      </c>
      <c r="B183" t="s">
        <v>246</v>
      </c>
    </row>
    <row r="184" spans="1:2" hidden="1">
      <c r="A184">
        <v>11124032</v>
      </c>
      <c r="B184" t="s">
        <v>247</v>
      </c>
    </row>
    <row r="185" spans="1:2" hidden="1">
      <c r="A185">
        <v>11124033</v>
      </c>
      <c r="B185" t="s">
        <v>248</v>
      </c>
    </row>
    <row r="186" spans="1:2" hidden="1">
      <c r="A186">
        <v>11124042</v>
      </c>
      <c r="B186" t="s">
        <v>249</v>
      </c>
    </row>
    <row r="187" spans="1:2" hidden="1">
      <c r="A187">
        <v>11124043</v>
      </c>
      <c r="B187" t="s">
        <v>250</v>
      </c>
    </row>
    <row r="188" spans="1:2" hidden="1">
      <c r="A188">
        <v>11124044</v>
      </c>
      <c r="B188" t="s">
        <v>251</v>
      </c>
    </row>
    <row r="189" spans="1:2" hidden="1">
      <c r="A189">
        <v>11127003</v>
      </c>
      <c r="B189" t="s">
        <v>252</v>
      </c>
    </row>
    <row r="190" spans="1:2" hidden="1">
      <c r="A190">
        <v>11133013</v>
      </c>
      <c r="B190" t="s">
        <v>253</v>
      </c>
    </row>
    <row r="191" spans="1:2" hidden="1">
      <c r="A191">
        <v>11133014</v>
      </c>
      <c r="B191" t="s">
        <v>254</v>
      </c>
    </row>
    <row r="192" spans="1:2" hidden="1">
      <c r="A192">
        <v>11138013</v>
      </c>
      <c r="B192" t="s">
        <v>255</v>
      </c>
    </row>
    <row r="193" spans="1:2" hidden="1">
      <c r="A193">
        <v>11138014</v>
      </c>
      <c r="B193" t="s">
        <v>256</v>
      </c>
    </row>
    <row r="194" spans="1:2" hidden="1">
      <c r="A194">
        <v>11138015</v>
      </c>
      <c r="B194" t="s">
        <v>257</v>
      </c>
    </row>
    <row r="195" spans="1:2" hidden="1">
      <c r="A195">
        <v>111490006</v>
      </c>
      <c r="B195" t="s">
        <v>258</v>
      </c>
    </row>
    <row r="196" spans="1:2" hidden="1">
      <c r="A196">
        <v>111570002</v>
      </c>
      <c r="B196" t="s">
        <v>259</v>
      </c>
    </row>
    <row r="197" spans="1:2" hidden="1">
      <c r="A197">
        <v>111570003</v>
      </c>
      <c r="B197" t="s">
        <v>260</v>
      </c>
    </row>
    <row r="198" spans="1:2" hidden="1">
      <c r="A198">
        <v>111580000</v>
      </c>
      <c r="B198" t="s">
        <v>261</v>
      </c>
    </row>
    <row r="199" spans="1:2" hidden="1">
      <c r="A199">
        <v>111630008</v>
      </c>
      <c r="B199" t="s">
        <v>262</v>
      </c>
    </row>
    <row r="200" spans="1:2" hidden="1">
      <c r="A200">
        <v>111630014</v>
      </c>
      <c r="B200" t="s">
        <v>263</v>
      </c>
    </row>
    <row r="201" spans="1:2" hidden="1">
      <c r="A201">
        <v>111910000</v>
      </c>
      <c r="B201" t="s">
        <v>264</v>
      </c>
    </row>
    <row r="202" spans="1:2" hidden="1">
      <c r="A202">
        <v>112030008</v>
      </c>
      <c r="B202" t="s">
        <v>265</v>
      </c>
    </row>
    <row r="203" spans="1:2" hidden="1">
      <c r="A203">
        <v>112030009</v>
      </c>
      <c r="B203" t="s">
        <v>266</v>
      </c>
    </row>
    <row r="204" spans="1:2" hidden="1">
      <c r="A204">
        <v>112030010</v>
      </c>
      <c r="B204" t="s">
        <v>267</v>
      </c>
    </row>
    <row r="205" spans="1:2" hidden="1">
      <c r="A205">
        <v>112030019</v>
      </c>
      <c r="B205" t="s">
        <v>268</v>
      </c>
    </row>
    <row r="206" spans="1:2" hidden="1">
      <c r="A206">
        <v>112030023</v>
      </c>
      <c r="B206" t="s">
        <v>269</v>
      </c>
    </row>
    <row r="207" spans="1:2" hidden="1">
      <c r="A207">
        <v>112070010</v>
      </c>
      <c r="B207" t="s">
        <v>270</v>
      </c>
    </row>
    <row r="208" spans="1:2" hidden="1">
      <c r="A208">
        <v>112500011</v>
      </c>
      <c r="B208" t="s">
        <v>193</v>
      </c>
    </row>
    <row r="209" spans="1:2" hidden="1">
      <c r="A209">
        <v>112500046</v>
      </c>
      <c r="B209" t="s">
        <v>271</v>
      </c>
    </row>
    <row r="210" spans="1:2" hidden="1">
      <c r="A210">
        <v>112500047</v>
      </c>
      <c r="B210" t="s">
        <v>272</v>
      </c>
    </row>
    <row r="211" spans="1:2" hidden="1">
      <c r="A211">
        <v>112500048</v>
      </c>
      <c r="B211" t="s">
        <v>273</v>
      </c>
    </row>
    <row r="212" spans="1:2" hidden="1">
      <c r="A212">
        <v>112500049</v>
      </c>
      <c r="B212" t="s">
        <v>274</v>
      </c>
    </row>
    <row r="213" spans="1:2" hidden="1">
      <c r="A213">
        <v>112500052</v>
      </c>
      <c r="B213" t="s">
        <v>275</v>
      </c>
    </row>
    <row r="214" spans="1:2" hidden="1">
      <c r="A214">
        <v>112500053</v>
      </c>
      <c r="B214" t="s">
        <v>276</v>
      </c>
    </row>
    <row r="215" spans="1:2" hidden="1">
      <c r="A215">
        <v>112510001</v>
      </c>
      <c r="B215" t="s">
        <v>277</v>
      </c>
    </row>
    <row r="216" spans="1:2" hidden="1">
      <c r="A216">
        <v>112510035</v>
      </c>
      <c r="B216" t="s">
        <v>278</v>
      </c>
    </row>
    <row r="217" spans="1:2" hidden="1">
      <c r="A217">
        <v>112510036</v>
      </c>
      <c r="B217" t="s">
        <v>279</v>
      </c>
    </row>
    <row r="218" spans="1:2" hidden="1">
      <c r="A218">
        <v>112520010</v>
      </c>
      <c r="B218" t="s">
        <v>192</v>
      </c>
    </row>
    <row r="219" spans="1:2" hidden="1">
      <c r="A219">
        <v>112520024</v>
      </c>
      <c r="B219" t="s">
        <v>280</v>
      </c>
    </row>
    <row r="220" spans="1:2" hidden="1">
      <c r="A220">
        <v>112520025</v>
      </c>
      <c r="B220" t="s">
        <v>281</v>
      </c>
    </row>
    <row r="221" spans="1:2" hidden="1">
      <c r="A221">
        <v>112570005</v>
      </c>
      <c r="B221" t="s">
        <v>282</v>
      </c>
    </row>
    <row r="222" spans="1:2" hidden="1">
      <c r="A222">
        <v>112570016</v>
      </c>
      <c r="B222" t="s">
        <v>283</v>
      </c>
    </row>
    <row r="223" spans="1:2" hidden="1">
      <c r="A223">
        <v>112570041</v>
      </c>
      <c r="B223" t="s">
        <v>284</v>
      </c>
    </row>
    <row r="224" spans="1:2" hidden="1">
      <c r="A224">
        <v>112570068</v>
      </c>
      <c r="B224" t="s">
        <v>285</v>
      </c>
    </row>
    <row r="225" spans="1:2" hidden="1">
      <c r="A225">
        <v>112570073</v>
      </c>
      <c r="B225" t="s">
        <v>286</v>
      </c>
    </row>
    <row r="226" spans="1:2" hidden="1">
      <c r="A226">
        <v>112570093</v>
      </c>
      <c r="B226" t="s">
        <v>287</v>
      </c>
    </row>
    <row r="227" spans="1:2" hidden="1">
      <c r="A227">
        <v>112570123</v>
      </c>
      <c r="B227" t="s">
        <v>288</v>
      </c>
    </row>
    <row r="228" spans="1:2" hidden="1">
      <c r="A228">
        <v>112570124</v>
      </c>
      <c r="B228" t="s">
        <v>289</v>
      </c>
    </row>
    <row r="229" spans="1:2" hidden="1">
      <c r="A229">
        <v>112570125</v>
      </c>
      <c r="B229" t="s">
        <v>290</v>
      </c>
    </row>
    <row r="230" spans="1:2" hidden="1">
      <c r="A230">
        <v>112570126</v>
      </c>
      <c r="B230" t="s">
        <v>291</v>
      </c>
    </row>
    <row r="231" spans="1:2" hidden="1">
      <c r="A231">
        <v>112570127</v>
      </c>
      <c r="B231" t="s">
        <v>292</v>
      </c>
    </row>
    <row r="232" spans="1:2" hidden="1">
      <c r="A232">
        <v>112570128</v>
      </c>
      <c r="B232" t="s">
        <v>293</v>
      </c>
    </row>
    <row r="233" spans="1:2" hidden="1">
      <c r="A233">
        <v>112570209</v>
      </c>
      <c r="B233" t="s">
        <v>294</v>
      </c>
    </row>
    <row r="234" spans="1:2" hidden="1">
      <c r="A234">
        <v>112570211</v>
      </c>
      <c r="B234" t="s">
        <v>295</v>
      </c>
    </row>
    <row r="235" spans="1:2" hidden="1">
      <c r="A235">
        <v>112570238</v>
      </c>
      <c r="B235" t="s">
        <v>296</v>
      </c>
    </row>
    <row r="236" spans="1:2" hidden="1">
      <c r="A236">
        <v>112570242</v>
      </c>
      <c r="B236" t="s">
        <v>297</v>
      </c>
    </row>
    <row r="237" spans="1:2" hidden="1">
      <c r="A237">
        <v>112570244</v>
      </c>
      <c r="B237" t="s">
        <v>298</v>
      </c>
    </row>
    <row r="238" spans="1:2" hidden="1">
      <c r="A238">
        <v>112570246</v>
      </c>
      <c r="B238" t="s">
        <v>299</v>
      </c>
    </row>
    <row r="239" spans="1:2" hidden="1">
      <c r="A239">
        <v>112580017</v>
      </c>
      <c r="B239" t="s">
        <v>300</v>
      </c>
    </row>
    <row r="240" spans="1:2" hidden="1">
      <c r="A240">
        <v>112580027</v>
      </c>
      <c r="B240" t="s">
        <v>301</v>
      </c>
    </row>
    <row r="241" spans="1:2" hidden="1">
      <c r="A241">
        <v>112580058</v>
      </c>
      <c r="B241" t="s">
        <v>302</v>
      </c>
    </row>
    <row r="242" spans="1:2" hidden="1">
      <c r="A242">
        <v>112600000</v>
      </c>
      <c r="B242" t="s">
        <v>303</v>
      </c>
    </row>
    <row r="243" spans="1:2" hidden="1">
      <c r="A243">
        <v>112600001</v>
      </c>
      <c r="B243" t="s">
        <v>304</v>
      </c>
    </row>
    <row r="244" spans="1:2" hidden="1">
      <c r="A244">
        <v>112610067</v>
      </c>
      <c r="B244" t="s">
        <v>305</v>
      </c>
    </row>
    <row r="245" spans="1:2" hidden="1">
      <c r="A245">
        <v>112610068</v>
      </c>
      <c r="B245" t="s">
        <v>306</v>
      </c>
    </row>
    <row r="246" spans="1:2" hidden="1">
      <c r="A246">
        <v>112610069</v>
      </c>
      <c r="B246" t="s">
        <v>307</v>
      </c>
    </row>
    <row r="247" spans="1:2" hidden="1">
      <c r="A247">
        <v>112610070</v>
      </c>
      <c r="B247" t="s">
        <v>308</v>
      </c>
    </row>
    <row r="248" spans="1:2" hidden="1">
      <c r="A248">
        <v>112610071</v>
      </c>
      <c r="B248" t="s">
        <v>309</v>
      </c>
    </row>
    <row r="249" spans="1:2" hidden="1">
      <c r="A249">
        <v>112620016</v>
      </c>
      <c r="B249" t="s">
        <v>310</v>
      </c>
    </row>
    <row r="250" spans="1:2" hidden="1">
      <c r="A250">
        <v>112660000</v>
      </c>
      <c r="B250" t="s">
        <v>311</v>
      </c>
    </row>
    <row r="251" spans="1:2" hidden="1">
      <c r="A251">
        <v>112730000</v>
      </c>
      <c r="B251" t="s">
        <v>312</v>
      </c>
    </row>
    <row r="252" spans="1:2" hidden="1">
      <c r="A252">
        <v>112890000</v>
      </c>
      <c r="B252" t="s">
        <v>313</v>
      </c>
    </row>
    <row r="253" spans="1:2" hidden="1">
      <c r="A253">
        <v>112910007</v>
      </c>
      <c r="B253" t="s">
        <v>314</v>
      </c>
    </row>
    <row r="254" spans="1:2" hidden="1">
      <c r="A254">
        <v>112930022</v>
      </c>
      <c r="B254" t="s">
        <v>315</v>
      </c>
    </row>
    <row r="255" spans="1:2" hidden="1">
      <c r="A255">
        <v>112930023</v>
      </c>
      <c r="B255" t="s">
        <v>316</v>
      </c>
    </row>
    <row r="256" spans="1:2" hidden="1">
      <c r="A256">
        <v>112930045</v>
      </c>
      <c r="B256" t="s">
        <v>317</v>
      </c>
    </row>
    <row r="257" spans="1:2" hidden="1">
      <c r="A257">
        <v>112930047</v>
      </c>
      <c r="B257" t="s">
        <v>318</v>
      </c>
    </row>
    <row r="258" spans="1:2" hidden="1">
      <c r="A258">
        <v>112930048</v>
      </c>
      <c r="B258" t="s">
        <v>319</v>
      </c>
    </row>
    <row r="259" spans="1:2" hidden="1">
      <c r="A259">
        <v>112930049</v>
      </c>
      <c r="B259" t="s">
        <v>320</v>
      </c>
    </row>
    <row r="260" spans="1:2" hidden="1">
      <c r="A260">
        <v>112930063</v>
      </c>
      <c r="B260" t="s">
        <v>321</v>
      </c>
    </row>
    <row r="261" spans="1:2" hidden="1">
      <c r="A261">
        <v>112930068</v>
      </c>
      <c r="B261" t="s">
        <v>322</v>
      </c>
    </row>
    <row r="262" spans="1:2" hidden="1">
      <c r="A262">
        <v>112930076</v>
      </c>
      <c r="B262" t="s">
        <v>323</v>
      </c>
    </row>
    <row r="263" spans="1:2" hidden="1">
      <c r="A263">
        <v>112950019</v>
      </c>
      <c r="B263" t="s">
        <v>324</v>
      </c>
    </row>
    <row r="264" spans="1:2" hidden="1">
      <c r="A264">
        <v>112950020</v>
      </c>
      <c r="B264" t="s">
        <v>325</v>
      </c>
    </row>
    <row r="265" spans="1:2" hidden="1">
      <c r="A265">
        <v>112950021</v>
      </c>
      <c r="B265" t="s">
        <v>326</v>
      </c>
    </row>
    <row r="266" spans="1:2" hidden="1">
      <c r="A266">
        <v>112960004</v>
      </c>
      <c r="B266" t="s">
        <v>327</v>
      </c>
    </row>
    <row r="267" spans="1:2" hidden="1">
      <c r="A267">
        <v>112970010</v>
      </c>
      <c r="B267" t="s">
        <v>328</v>
      </c>
    </row>
    <row r="268" spans="1:2" hidden="1">
      <c r="A268">
        <v>113100004</v>
      </c>
      <c r="B268" t="s">
        <v>329</v>
      </c>
    </row>
    <row r="269" spans="1:2" hidden="1">
      <c r="A269">
        <v>113120009</v>
      </c>
      <c r="B269" t="s">
        <v>330</v>
      </c>
    </row>
    <row r="270" spans="1:2" hidden="1">
      <c r="A270">
        <v>113120010</v>
      </c>
      <c r="B270" t="s">
        <v>331</v>
      </c>
    </row>
    <row r="271" spans="1:2" hidden="1">
      <c r="A271">
        <v>113290025</v>
      </c>
      <c r="B271" t="s">
        <v>332</v>
      </c>
    </row>
    <row r="272" spans="1:2" hidden="1">
      <c r="A272">
        <v>113290044</v>
      </c>
      <c r="B272" t="s">
        <v>333</v>
      </c>
    </row>
    <row r="273" spans="1:2" hidden="1">
      <c r="A273">
        <v>113430016</v>
      </c>
      <c r="B273" t="s">
        <v>334</v>
      </c>
    </row>
    <row r="274" spans="1:2" hidden="1">
      <c r="A274">
        <v>113430018</v>
      </c>
      <c r="B274" t="s">
        <v>335</v>
      </c>
    </row>
    <row r="275" spans="1:2" hidden="1">
      <c r="A275">
        <v>113430051</v>
      </c>
      <c r="B275" t="s">
        <v>336</v>
      </c>
    </row>
    <row r="276" spans="1:2" hidden="1">
      <c r="A276">
        <v>113430073</v>
      </c>
      <c r="B276" t="s">
        <v>337</v>
      </c>
    </row>
    <row r="277" spans="1:2" hidden="1">
      <c r="A277">
        <v>113600014</v>
      </c>
      <c r="B277" t="s">
        <v>338</v>
      </c>
    </row>
    <row r="278" spans="1:2" hidden="1">
      <c r="A278">
        <v>113600015</v>
      </c>
      <c r="B278" t="s">
        <v>339</v>
      </c>
    </row>
    <row r="279" spans="1:2" hidden="1">
      <c r="A279">
        <v>113600016</v>
      </c>
      <c r="B279" t="s">
        <v>340</v>
      </c>
    </row>
    <row r="280" spans="1:2" hidden="1">
      <c r="A280">
        <v>113600017</v>
      </c>
      <c r="B280" t="s">
        <v>341</v>
      </c>
    </row>
    <row r="281" spans="1:2" hidden="1">
      <c r="A281">
        <v>113610005</v>
      </c>
      <c r="B281" t="s">
        <v>342</v>
      </c>
    </row>
    <row r="282" spans="1:2" hidden="1">
      <c r="A282">
        <v>113620002</v>
      </c>
      <c r="B282" t="s">
        <v>343</v>
      </c>
    </row>
    <row r="283" spans="1:2" hidden="1">
      <c r="A283">
        <v>114270004</v>
      </c>
      <c r="B283" t="s">
        <v>344</v>
      </c>
    </row>
    <row r="284" spans="1:2" hidden="1">
      <c r="A284">
        <v>114270008</v>
      </c>
      <c r="B284" t="s">
        <v>345</v>
      </c>
    </row>
    <row r="285" spans="1:2" hidden="1">
      <c r="A285">
        <v>114300004</v>
      </c>
      <c r="B285" t="s">
        <v>346</v>
      </c>
    </row>
    <row r="286" spans="1:2" hidden="1">
      <c r="A286">
        <v>115000004</v>
      </c>
      <c r="B286" t="s">
        <v>347</v>
      </c>
    </row>
    <row r="287" spans="1:2" hidden="1">
      <c r="A287">
        <v>115000005</v>
      </c>
      <c r="B287" t="s">
        <v>348</v>
      </c>
    </row>
    <row r="288" spans="1:2" hidden="1">
      <c r="A288">
        <v>115000007</v>
      </c>
      <c r="B288" t="s">
        <v>349</v>
      </c>
    </row>
    <row r="289" spans="1:2" hidden="1">
      <c r="A289">
        <v>115000008</v>
      </c>
      <c r="B289" t="s">
        <v>350</v>
      </c>
    </row>
    <row r="290" spans="1:2" hidden="1">
      <c r="A290">
        <v>115000018</v>
      </c>
      <c r="B290" t="s">
        <v>351</v>
      </c>
    </row>
    <row r="291" spans="1:2" hidden="1">
      <c r="A291">
        <v>115000020</v>
      </c>
      <c r="B291" t="s">
        <v>352</v>
      </c>
    </row>
    <row r="292" spans="1:2" hidden="1">
      <c r="A292">
        <v>115000022</v>
      </c>
      <c r="B292" t="s">
        <v>353</v>
      </c>
    </row>
    <row r="293" spans="1:2" hidden="1">
      <c r="A293">
        <v>115000025</v>
      </c>
      <c r="B293" t="s">
        <v>354</v>
      </c>
    </row>
    <row r="294" spans="1:2" hidden="1">
      <c r="A294">
        <v>115000046</v>
      </c>
      <c r="B294" t="s">
        <v>355</v>
      </c>
    </row>
    <row r="295" spans="1:2" hidden="1">
      <c r="A295">
        <v>115000047</v>
      </c>
      <c r="B295" t="s">
        <v>356</v>
      </c>
    </row>
    <row r="296" spans="1:2" hidden="1">
      <c r="A296">
        <v>115000048</v>
      </c>
      <c r="B296" t="s">
        <v>357</v>
      </c>
    </row>
    <row r="297" spans="1:2" hidden="1">
      <c r="A297">
        <v>115000052</v>
      </c>
      <c r="B297" t="s">
        <v>358</v>
      </c>
    </row>
    <row r="298" spans="1:2" hidden="1">
      <c r="A298">
        <v>115000054</v>
      </c>
      <c r="B298" t="s">
        <v>359</v>
      </c>
    </row>
    <row r="299" spans="1:2" hidden="1">
      <c r="A299">
        <v>115000055</v>
      </c>
      <c r="B299" t="s">
        <v>360</v>
      </c>
    </row>
    <row r="300" spans="1:2" hidden="1">
      <c r="A300">
        <v>115000056</v>
      </c>
      <c r="B300" t="s">
        <v>361</v>
      </c>
    </row>
    <row r="301" spans="1:2" hidden="1">
      <c r="A301">
        <v>115000057</v>
      </c>
      <c r="B301" t="s">
        <v>362</v>
      </c>
    </row>
    <row r="302" spans="1:2" hidden="1">
      <c r="A302">
        <v>115000075</v>
      </c>
      <c r="B302" t="s">
        <v>363</v>
      </c>
    </row>
    <row r="303" spans="1:2" hidden="1">
      <c r="A303">
        <v>115000081</v>
      </c>
      <c r="B303" t="s">
        <v>364</v>
      </c>
    </row>
    <row r="304" spans="1:2" hidden="1">
      <c r="A304">
        <v>115000082</v>
      </c>
      <c r="B304" t="s">
        <v>365</v>
      </c>
    </row>
    <row r="305" spans="1:2" hidden="1">
      <c r="A305">
        <v>115000083</v>
      </c>
      <c r="B305" t="s">
        <v>366</v>
      </c>
    </row>
    <row r="306" spans="1:2" hidden="1">
      <c r="A306">
        <v>115000088</v>
      </c>
      <c r="B306" t="s">
        <v>367</v>
      </c>
    </row>
    <row r="307" spans="1:2" hidden="1">
      <c r="A307">
        <v>115010029</v>
      </c>
      <c r="B307" t="s">
        <v>368</v>
      </c>
    </row>
    <row r="308" spans="1:2" hidden="1">
      <c r="A308">
        <v>115010031</v>
      </c>
      <c r="B308" t="s">
        <v>369</v>
      </c>
    </row>
    <row r="309" spans="1:2" hidden="1">
      <c r="A309">
        <v>115010046</v>
      </c>
      <c r="B309" t="s">
        <v>370</v>
      </c>
    </row>
    <row r="310" spans="1:2" hidden="1">
      <c r="A310">
        <v>115020012</v>
      </c>
      <c r="B310" t="s">
        <v>371</v>
      </c>
    </row>
    <row r="311" spans="1:2" hidden="1">
      <c r="A311">
        <v>115020025</v>
      </c>
      <c r="B311" t="s">
        <v>372</v>
      </c>
    </row>
    <row r="312" spans="1:2" hidden="1">
      <c r="A312">
        <v>115030007</v>
      </c>
      <c r="B312" t="s">
        <v>373</v>
      </c>
    </row>
    <row r="313" spans="1:2" hidden="1">
      <c r="A313">
        <v>115030012</v>
      </c>
      <c r="B313" t="s">
        <v>374</v>
      </c>
    </row>
    <row r="314" spans="1:2" hidden="1">
      <c r="A314">
        <v>115030016</v>
      </c>
      <c r="B314" t="s">
        <v>375</v>
      </c>
    </row>
    <row r="315" spans="1:2" hidden="1">
      <c r="A315">
        <v>115030017</v>
      </c>
      <c r="B315" t="s">
        <v>376</v>
      </c>
    </row>
    <row r="316" spans="1:2" hidden="1">
      <c r="A316">
        <v>115030024</v>
      </c>
      <c r="B316" t="s">
        <v>377</v>
      </c>
    </row>
    <row r="317" spans="1:2" hidden="1">
      <c r="A317">
        <v>115030026</v>
      </c>
      <c r="B317" t="s">
        <v>378</v>
      </c>
    </row>
    <row r="318" spans="1:2" hidden="1">
      <c r="A318">
        <v>115040008</v>
      </c>
      <c r="B318" t="s">
        <v>379</v>
      </c>
    </row>
    <row r="319" spans="1:2" hidden="1">
      <c r="A319">
        <v>115050000</v>
      </c>
      <c r="B319" t="s">
        <v>380</v>
      </c>
    </row>
    <row r="320" spans="1:2" hidden="1">
      <c r="A320">
        <v>115050005</v>
      </c>
      <c r="B320" t="s">
        <v>381</v>
      </c>
    </row>
    <row r="321" spans="1:2" hidden="1">
      <c r="A321">
        <v>115050014</v>
      </c>
      <c r="B321" t="s">
        <v>382</v>
      </c>
    </row>
    <row r="322" spans="1:2" hidden="1">
      <c r="A322">
        <v>115100011</v>
      </c>
      <c r="B322" t="s">
        <v>383</v>
      </c>
    </row>
    <row r="323" spans="1:2" hidden="1">
      <c r="A323">
        <v>115100013</v>
      </c>
      <c r="B323" t="s">
        <v>384</v>
      </c>
    </row>
    <row r="324" spans="1:2" hidden="1">
      <c r="A324">
        <v>115100014</v>
      </c>
      <c r="B324" t="s">
        <v>385</v>
      </c>
    </row>
    <row r="325" spans="1:2" hidden="1">
      <c r="A325">
        <v>115100015</v>
      </c>
      <c r="B325" t="s">
        <v>386</v>
      </c>
    </row>
    <row r="326" spans="1:2" hidden="1">
      <c r="A326">
        <v>115100016</v>
      </c>
      <c r="B326" t="s">
        <v>387</v>
      </c>
    </row>
    <row r="327" spans="1:2" hidden="1">
      <c r="A327">
        <v>115100023</v>
      </c>
      <c r="B327" t="s">
        <v>388</v>
      </c>
    </row>
    <row r="328" spans="1:2" hidden="1">
      <c r="A328">
        <v>115110011</v>
      </c>
      <c r="B328" t="s">
        <v>389</v>
      </c>
    </row>
    <row r="329" spans="1:2" hidden="1">
      <c r="A329">
        <v>115110017</v>
      </c>
      <c r="B329" t="s">
        <v>390</v>
      </c>
    </row>
    <row r="330" spans="1:2" hidden="1">
      <c r="A330">
        <v>115110031</v>
      </c>
      <c r="B330" t="s">
        <v>391</v>
      </c>
    </row>
    <row r="331" spans="1:2" hidden="1">
      <c r="A331">
        <v>115110040</v>
      </c>
      <c r="B331" t="s">
        <v>392</v>
      </c>
    </row>
    <row r="332" spans="1:2" hidden="1">
      <c r="A332">
        <v>115110041</v>
      </c>
      <c r="B332" t="s">
        <v>393</v>
      </c>
    </row>
    <row r="333" spans="1:2" hidden="1">
      <c r="A333">
        <v>115110050</v>
      </c>
      <c r="B333" t="s">
        <v>394</v>
      </c>
    </row>
    <row r="334" spans="1:2" hidden="1">
      <c r="A334">
        <v>115110051</v>
      </c>
      <c r="B334" t="s">
        <v>395</v>
      </c>
    </row>
    <row r="335" spans="1:2" hidden="1">
      <c r="A335">
        <v>115120002</v>
      </c>
      <c r="B335" t="s">
        <v>396</v>
      </c>
    </row>
    <row r="336" spans="1:2" hidden="1">
      <c r="A336">
        <v>115120021</v>
      </c>
      <c r="B336" t="s">
        <v>397</v>
      </c>
    </row>
    <row r="337" spans="1:2" hidden="1">
      <c r="A337">
        <v>115120040</v>
      </c>
      <c r="B337" t="s">
        <v>398</v>
      </c>
    </row>
    <row r="338" spans="1:2" hidden="1">
      <c r="A338">
        <v>115120050</v>
      </c>
      <c r="B338" t="s">
        <v>399</v>
      </c>
    </row>
    <row r="339" spans="1:2" hidden="1">
      <c r="A339">
        <v>115120051</v>
      </c>
      <c r="B339" t="s">
        <v>400</v>
      </c>
    </row>
    <row r="340" spans="1:2" hidden="1">
      <c r="A340">
        <v>115120052</v>
      </c>
      <c r="B340" t="s">
        <v>401</v>
      </c>
    </row>
    <row r="341" spans="1:2" hidden="1">
      <c r="A341">
        <v>115120053</v>
      </c>
      <c r="B341" t="s">
        <v>402</v>
      </c>
    </row>
    <row r="342" spans="1:2" hidden="1">
      <c r="A342">
        <v>115120073</v>
      </c>
      <c r="B342" t="s">
        <v>403</v>
      </c>
    </row>
    <row r="343" spans="1:2" hidden="1">
      <c r="A343">
        <v>115120074</v>
      </c>
      <c r="B343" t="s">
        <v>404</v>
      </c>
    </row>
    <row r="344" spans="1:2" hidden="1">
      <c r="A344">
        <v>115130004</v>
      </c>
      <c r="B344" t="s">
        <v>405</v>
      </c>
    </row>
    <row r="345" spans="1:2" hidden="1">
      <c r="A345">
        <v>115130007</v>
      </c>
      <c r="B345" t="s">
        <v>406</v>
      </c>
    </row>
    <row r="346" spans="1:2" hidden="1">
      <c r="A346">
        <v>115160004</v>
      </c>
      <c r="B346" t="s">
        <v>407</v>
      </c>
    </row>
    <row r="347" spans="1:2" hidden="1">
      <c r="A347">
        <v>115160006</v>
      </c>
      <c r="B347" t="s">
        <v>408</v>
      </c>
    </row>
    <row r="348" spans="1:2" hidden="1">
      <c r="A348">
        <v>115160007</v>
      </c>
      <c r="B348" t="s">
        <v>409</v>
      </c>
    </row>
    <row r="349" spans="1:2" hidden="1">
      <c r="A349">
        <v>115160010</v>
      </c>
      <c r="B349" t="s">
        <v>410</v>
      </c>
    </row>
    <row r="350" spans="1:2" hidden="1">
      <c r="A350">
        <v>115170001</v>
      </c>
      <c r="B350" t="s">
        <v>411</v>
      </c>
    </row>
    <row r="351" spans="1:2" hidden="1">
      <c r="A351">
        <v>115170007</v>
      </c>
      <c r="B351" t="s">
        <v>412</v>
      </c>
    </row>
    <row r="352" spans="1:2" hidden="1">
      <c r="A352">
        <v>115180006</v>
      </c>
      <c r="B352" t="s">
        <v>413</v>
      </c>
    </row>
    <row r="353" spans="1:2" hidden="1">
      <c r="A353">
        <v>115180012</v>
      </c>
      <c r="B353" t="s">
        <v>414</v>
      </c>
    </row>
    <row r="354" spans="1:2" hidden="1">
      <c r="A354">
        <v>115230015</v>
      </c>
      <c r="B354" t="s">
        <v>415</v>
      </c>
    </row>
    <row r="355" spans="1:2" hidden="1">
      <c r="A355">
        <v>115230020</v>
      </c>
      <c r="B355" t="s">
        <v>416</v>
      </c>
    </row>
    <row r="356" spans="1:2" hidden="1">
      <c r="A356">
        <v>115230051</v>
      </c>
      <c r="B356" t="s">
        <v>417</v>
      </c>
    </row>
    <row r="357" spans="1:2" hidden="1">
      <c r="A357">
        <v>115230054</v>
      </c>
      <c r="B357" t="s">
        <v>418</v>
      </c>
    </row>
    <row r="358" spans="1:2" hidden="1">
      <c r="A358">
        <v>115230057</v>
      </c>
      <c r="B358" t="s">
        <v>419</v>
      </c>
    </row>
    <row r="359" spans="1:2" hidden="1">
      <c r="A359">
        <v>115260001</v>
      </c>
      <c r="B359" t="s">
        <v>420</v>
      </c>
    </row>
    <row r="360" spans="1:2" hidden="1">
      <c r="A360">
        <v>115260024</v>
      </c>
      <c r="B360" t="s">
        <v>421</v>
      </c>
    </row>
    <row r="361" spans="1:2" hidden="1">
      <c r="A361">
        <v>115260038</v>
      </c>
      <c r="B361" t="s">
        <v>422</v>
      </c>
    </row>
    <row r="362" spans="1:2" hidden="1">
      <c r="A362">
        <v>115330015</v>
      </c>
      <c r="B362" t="s">
        <v>423</v>
      </c>
    </row>
    <row r="363" spans="1:2" hidden="1">
      <c r="A363">
        <v>115360001</v>
      </c>
      <c r="B363" t="s">
        <v>424</v>
      </c>
    </row>
    <row r="364" spans="1:2" hidden="1">
      <c r="A364">
        <v>115360008</v>
      </c>
      <c r="B364" t="s">
        <v>425</v>
      </c>
    </row>
    <row r="365" spans="1:2" hidden="1">
      <c r="A365">
        <v>115400002</v>
      </c>
      <c r="B365" t="s">
        <v>426</v>
      </c>
    </row>
    <row r="366" spans="1:2" hidden="1">
      <c r="A366">
        <v>115890038</v>
      </c>
      <c r="B366" t="s">
        <v>427</v>
      </c>
    </row>
    <row r="367" spans="1:2" hidden="1">
      <c r="A367">
        <v>115890039</v>
      </c>
      <c r="B367" t="s">
        <v>428</v>
      </c>
    </row>
    <row r="368" spans="1:2" hidden="1">
      <c r="A368">
        <v>115890040</v>
      </c>
      <c r="B368" t="s">
        <v>429</v>
      </c>
    </row>
    <row r="369" spans="1:2" hidden="1">
      <c r="A369">
        <v>115890043</v>
      </c>
      <c r="B369" t="s">
        <v>430</v>
      </c>
    </row>
    <row r="370" spans="1:2" hidden="1">
      <c r="A370">
        <v>116020020</v>
      </c>
      <c r="B370" t="s">
        <v>431</v>
      </c>
    </row>
    <row r="371" spans="1:2" hidden="1">
      <c r="A371">
        <v>116030003</v>
      </c>
      <c r="B371" t="s">
        <v>432</v>
      </c>
    </row>
    <row r="372" spans="1:2" hidden="1">
      <c r="A372">
        <v>12127001</v>
      </c>
      <c r="B372" t="s">
        <v>433</v>
      </c>
    </row>
    <row r="373" spans="1:2" hidden="1">
      <c r="A373">
        <v>12127002</v>
      </c>
      <c r="B373" t="s">
        <v>434</v>
      </c>
    </row>
    <row r="374" spans="1:2" hidden="1">
      <c r="A374">
        <v>12128009</v>
      </c>
      <c r="B374" t="s">
        <v>435</v>
      </c>
    </row>
    <row r="375" spans="1:2" hidden="1">
      <c r="A375">
        <v>12128010</v>
      </c>
      <c r="B375" t="s">
        <v>436</v>
      </c>
    </row>
    <row r="376" spans="1:2" hidden="1">
      <c r="A376">
        <v>12128011</v>
      </c>
      <c r="B376" t="s">
        <v>437</v>
      </c>
    </row>
    <row r="377" spans="1:2" hidden="1">
      <c r="A377">
        <v>12128016</v>
      </c>
      <c r="B377" t="s">
        <v>438</v>
      </c>
    </row>
    <row r="378" spans="1:2" hidden="1">
      <c r="A378">
        <v>12129008</v>
      </c>
      <c r="B378" t="s">
        <v>439</v>
      </c>
    </row>
    <row r="379" spans="1:2" hidden="1">
      <c r="A379">
        <v>12129016</v>
      </c>
      <c r="B379" t="s">
        <v>440</v>
      </c>
    </row>
    <row r="380" spans="1:2" hidden="1">
      <c r="A380">
        <v>12139013</v>
      </c>
      <c r="B380" t="s">
        <v>441</v>
      </c>
    </row>
    <row r="381" spans="1:2" hidden="1">
      <c r="A381">
        <v>13139001</v>
      </c>
      <c r="B381" t="s">
        <v>442</v>
      </c>
    </row>
    <row r="382" spans="1:2" hidden="1">
      <c r="A382">
        <v>13139002</v>
      </c>
      <c r="B382" t="s">
        <v>443</v>
      </c>
    </row>
    <row r="383" spans="1:2" hidden="1">
      <c r="A383">
        <v>13139003</v>
      </c>
      <c r="B383" t="s">
        <v>444</v>
      </c>
    </row>
    <row r="384" spans="1:2" hidden="1">
      <c r="A384">
        <v>13139004</v>
      </c>
      <c r="B384" t="s">
        <v>445</v>
      </c>
    </row>
    <row r="385" spans="1:2" hidden="1">
      <c r="A385">
        <v>13139005</v>
      </c>
      <c r="B385" t="s">
        <v>446</v>
      </c>
    </row>
    <row r="386" spans="1:2" hidden="1">
      <c r="A386">
        <v>13139006</v>
      </c>
      <c r="B386" t="s">
        <v>447</v>
      </c>
    </row>
    <row r="387" spans="1:2" hidden="1">
      <c r="A387">
        <v>13139007</v>
      </c>
      <c r="B387" t="s">
        <v>448</v>
      </c>
    </row>
    <row r="388" spans="1:2" hidden="1">
      <c r="A388">
        <v>13139008</v>
      </c>
      <c r="B388" t="s">
        <v>449</v>
      </c>
    </row>
    <row r="389" spans="1:2" hidden="1">
      <c r="A389">
        <v>13139009</v>
      </c>
      <c r="B389" t="s">
        <v>450</v>
      </c>
    </row>
    <row r="390" spans="1:2" hidden="1">
      <c r="A390">
        <v>13139010</v>
      </c>
      <c r="B390" t="s">
        <v>451</v>
      </c>
    </row>
    <row r="391" spans="1:2" hidden="1">
      <c r="A391">
        <v>1764</v>
      </c>
      <c r="B391" t="s">
        <v>313</v>
      </c>
    </row>
    <row r="392" spans="1:2" hidden="1">
      <c r="A392">
        <v>18151202</v>
      </c>
      <c r="B392" t="s">
        <v>452</v>
      </c>
    </row>
    <row r="393" spans="1:2" hidden="1">
      <c r="A393">
        <v>1815202</v>
      </c>
      <c r="B393" t="s">
        <v>453</v>
      </c>
    </row>
    <row r="394" spans="1:2" hidden="1">
      <c r="A394" t="s">
        <v>454</v>
      </c>
      <c r="B394" t="s">
        <v>455</v>
      </c>
    </row>
    <row r="395" spans="1:2" hidden="1">
      <c r="A395" t="s">
        <v>456</v>
      </c>
      <c r="B395" t="s">
        <v>455</v>
      </c>
    </row>
    <row r="396" spans="1:2" hidden="1">
      <c r="A396">
        <v>18161002</v>
      </c>
      <c r="B396" t="s">
        <v>457</v>
      </c>
    </row>
    <row r="397" spans="1:2" hidden="1">
      <c r="A397">
        <v>181740210</v>
      </c>
      <c r="B397" t="s">
        <v>458</v>
      </c>
    </row>
    <row r="398" spans="1:2" hidden="1">
      <c r="A398">
        <v>182010210</v>
      </c>
      <c r="B398" t="s">
        <v>459</v>
      </c>
    </row>
    <row r="399" spans="1:2" hidden="1">
      <c r="A399">
        <v>182020200</v>
      </c>
      <c r="B399" t="s">
        <v>460</v>
      </c>
    </row>
    <row r="400" spans="1:2" hidden="1">
      <c r="A400">
        <v>182020210</v>
      </c>
      <c r="B400" t="s">
        <v>461</v>
      </c>
    </row>
    <row r="401" spans="1:2" hidden="1">
      <c r="A401" t="s">
        <v>462</v>
      </c>
      <c r="B401" t="s">
        <v>461</v>
      </c>
    </row>
    <row r="402" spans="1:2" hidden="1">
      <c r="A402" t="s">
        <v>463</v>
      </c>
      <c r="B402" t="s">
        <v>464</v>
      </c>
    </row>
    <row r="403" spans="1:2" hidden="1">
      <c r="A403" t="s">
        <v>465</v>
      </c>
      <c r="B403" t="s">
        <v>464</v>
      </c>
    </row>
    <row r="404" spans="1:2" hidden="1">
      <c r="A404" t="s">
        <v>466</v>
      </c>
      <c r="B404" t="s">
        <v>467</v>
      </c>
    </row>
    <row r="405" spans="1:2" hidden="1">
      <c r="A405" t="s">
        <v>468</v>
      </c>
      <c r="B405" t="s">
        <v>467</v>
      </c>
    </row>
    <row r="406" spans="1:2" hidden="1">
      <c r="A406">
        <v>239991200</v>
      </c>
      <c r="B406" t="s">
        <v>469</v>
      </c>
    </row>
    <row r="407" spans="1:2" hidden="1">
      <c r="A407" t="s">
        <v>470</v>
      </c>
      <c r="B407" t="s">
        <v>469</v>
      </c>
    </row>
    <row r="408" spans="1:2" hidden="1">
      <c r="A408" t="s">
        <v>471</v>
      </c>
      <c r="B408" t="s">
        <v>469</v>
      </c>
    </row>
    <row r="409" spans="1:2" hidden="1">
      <c r="A409">
        <v>241020200</v>
      </c>
      <c r="B409" t="s">
        <v>472</v>
      </c>
    </row>
    <row r="410" spans="1:2" hidden="1">
      <c r="A410">
        <v>242320200</v>
      </c>
      <c r="B410" t="s">
        <v>473</v>
      </c>
    </row>
    <row r="411" spans="1:2" hidden="1">
      <c r="A411" t="s">
        <v>474</v>
      </c>
      <c r="B411" t="s">
        <v>475</v>
      </c>
    </row>
    <row r="412" spans="1:2" hidden="1">
      <c r="A412">
        <v>243860210</v>
      </c>
      <c r="B412" t="s">
        <v>476</v>
      </c>
    </row>
    <row r="413" spans="1:2" hidden="1">
      <c r="A413" t="s">
        <v>477</v>
      </c>
      <c r="B413" t="s">
        <v>478</v>
      </c>
    </row>
    <row r="414" spans="1:2" hidden="1">
      <c r="A414">
        <v>244610200</v>
      </c>
      <c r="B414" t="s">
        <v>479</v>
      </c>
    </row>
    <row r="415" spans="1:2" hidden="1">
      <c r="A415">
        <v>246260210</v>
      </c>
      <c r="B415" t="s">
        <v>480</v>
      </c>
    </row>
    <row r="416" spans="1:2" hidden="1">
      <c r="A416">
        <v>249150210</v>
      </c>
      <c r="B416" t="s">
        <v>481</v>
      </c>
    </row>
    <row r="417" spans="1:2" hidden="1">
      <c r="A417" t="s">
        <v>482</v>
      </c>
      <c r="B417" t="s">
        <v>481</v>
      </c>
    </row>
    <row r="418" spans="1:2" hidden="1">
      <c r="A418" t="s">
        <v>483</v>
      </c>
      <c r="B418" t="s">
        <v>481</v>
      </c>
    </row>
    <row r="419" spans="1:2" hidden="1">
      <c r="A419">
        <v>30207021</v>
      </c>
      <c r="B419" t="s">
        <v>484</v>
      </c>
    </row>
    <row r="420" spans="1:2" hidden="1">
      <c r="A420">
        <v>30207200</v>
      </c>
      <c r="B420" t="s">
        <v>485</v>
      </c>
    </row>
    <row r="421" spans="1:2" hidden="1">
      <c r="A421">
        <v>3065161</v>
      </c>
      <c r="B421" t="s">
        <v>486</v>
      </c>
    </row>
    <row r="422" spans="1:2" hidden="1">
      <c r="A422">
        <v>31501020</v>
      </c>
      <c r="B422" t="s">
        <v>487</v>
      </c>
    </row>
    <row r="423" spans="1:2" hidden="1">
      <c r="A423">
        <v>31901079</v>
      </c>
      <c r="B423" t="s">
        <v>488</v>
      </c>
    </row>
    <row r="424" spans="1:2" hidden="1">
      <c r="A424">
        <v>31901099</v>
      </c>
      <c r="B424" t="s">
        <v>489</v>
      </c>
    </row>
    <row r="425" spans="1:2" hidden="1">
      <c r="A425">
        <v>31901103</v>
      </c>
      <c r="B425" t="s">
        <v>490</v>
      </c>
    </row>
    <row r="426" spans="1:2" hidden="1">
      <c r="A426">
        <v>31901176</v>
      </c>
      <c r="B426" t="s">
        <v>491</v>
      </c>
    </row>
    <row r="427" spans="1:2" hidden="1">
      <c r="A427">
        <v>339150210</v>
      </c>
      <c r="B427" t="s">
        <v>492</v>
      </c>
    </row>
    <row r="428" spans="1:2" hidden="1">
      <c r="A428" t="s">
        <v>493</v>
      </c>
      <c r="B428" t="s">
        <v>492</v>
      </c>
    </row>
    <row r="429" spans="1:2" hidden="1">
      <c r="A429" t="s">
        <v>494</v>
      </c>
      <c r="B429" t="s">
        <v>492</v>
      </c>
    </row>
    <row r="430" spans="1:2" hidden="1">
      <c r="A430" t="s">
        <v>495</v>
      </c>
      <c r="B430" t="s">
        <v>496</v>
      </c>
    </row>
    <row r="431" spans="1:2" hidden="1">
      <c r="A431" t="s">
        <v>497</v>
      </c>
      <c r="B431" t="s">
        <v>496</v>
      </c>
    </row>
    <row r="432" spans="1:2" hidden="1">
      <c r="A432" t="s">
        <v>498</v>
      </c>
      <c r="B432" t="s">
        <v>499</v>
      </c>
    </row>
    <row r="433" spans="1:2" hidden="1">
      <c r="A433">
        <v>35911502</v>
      </c>
      <c r="B433" t="s">
        <v>500</v>
      </c>
    </row>
    <row r="434" spans="1:2" hidden="1">
      <c r="A434" t="s">
        <v>501</v>
      </c>
      <c r="B434" t="s">
        <v>500</v>
      </c>
    </row>
    <row r="435" spans="1:2" hidden="1">
      <c r="A435" t="s">
        <v>502</v>
      </c>
      <c r="B435" t="s">
        <v>500</v>
      </c>
    </row>
    <row r="436" spans="1:2" hidden="1">
      <c r="A436">
        <v>35931802</v>
      </c>
      <c r="B436" t="s">
        <v>503</v>
      </c>
    </row>
    <row r="437" spans="1:2" hidden="1">
      <c r="A437" t="s">
        <v>504</v>
      </c>
      <c r="B437" t="s">
        <v>505</v>
      </c>
    </row>
    <row r="438" spans="1:2" hidden="1">
      <c r="A438" t="s">
        <v>506</v>
      </c>
      <c r="B438" t="s">
        <v>507</v>
      </c>
    </row>
    <row r="439" spans="1:2" hidden="1">
      <c r="A439" t="s">
        <v>508</v>
      </c>
      <c r="B439" t="s">
        <v>507</v>
      </c>
    </row>
    <row r="440" spans="1:2" hidden="1">
      <c r="A440">
        <v>35971802</v>
      </c>
      <c r="B440" t="s">
        <v>509</v>
      </c>
    </row>
    <row r="441" spans="1:2" hidden="1">
      <c r="A441" t="s">
        <v>510</v>
      </c>
      <c r="B441" t="s">
        <v>511</v>
      </c>
    </row>
    <row r="442" spans="1:2" hidden="1">
      <c r="A442" t="s">
        <v>512</v>
      </c>
      <c r="B442" t="s">
        <v>513</v>
      </c>
    </row>
    <row r="443" spans="1:2" hidden="1">
      <c r="A443">
        <v>38911502</v>
      </c>
      <c r="B443" t="s">
        <v>514</v>
      </c>
    </row>
    <row r="444" spans="1:2" hidden="1">
      <c r="A444" t="s">
        <v>515</v>
      </c>
      <c r="B444" t="s">
        <v>516</v>
      </c>
    </row>
    <row r="445" spans="1:2" hidden="1">
      <c r="A445" t="s">
        <v>517</v>
      </c>
      <c r="B445" t="s">
        <v>518</v>
      </c>
    </row>
    <row r="446" spans="1:2" hidden="1">
      <c r="A446">
        <v>389140200</v>
      </c>
      <c r="B446" t="s">
        <v>519</v>
      </c>
    </row>
    <row r="447" spans="1:2" hidden="1">
      <c r="A447">
        <v>38931702</v>
      </c>
      <c r="B447" t="s">
        <v>520</v>
      </c>
    </row>
    <row r="448" spans="1:2" hidden="1">
      <c r="A448" t="s">
        <v>521</v>
      </c>
      <c r="B448" t="s">
        <v>522</v>
      </c>
    </row>
    <row r="449" spans="1:2" hidden="1">
      <c r="A449">
        <v>389982700</v>
      </c>
      <c r="B449" t="s">
        <v>523</v>
      </c>
    </row>
    <row r="450" spans="1:2" hidden="1">
      <c r="A450">
        <v>40101067</v>
      </c>
      <c r="B450" t="s">
        <v>524</v>
      </c>
    </row>
    <row r="451" spans="1:2" hidden="1">
      <c r="A451">
        <v>40101068</v>
      </c>
      <c r="B451" t="s">
        <v>525</v>
      </c>
    </row>
    <row r="452" spans="1:2" hidden="1">
      <c r="A452">
        <v>40101102</v>
      </c>
      <c r="B452" t="s">
        <v>526</v>
      </c>
    </row>
    <row r="453" spans="1:2" hidden="1">
      <c r="A453">
        <v>40101103</v>
      </c>
      <c r="B453" t="s">
        <v>527</v>
      </c>
    </row>
    <row r="454" spans="1:2" hidden="1">
      <c r="A454">
        <v>40104010</v>
      </c>
      <c r="B454" t="s">
        <v>528</v>
      </c>
    </row>
    <row r="455" spans="1:2" hidden="1">
      <c r="A455">
        <v>40104011</v>
      </c>
      <c r="B455" t="s">
        <v>529</v>
      </c>
    </row>
    <row r="456" spans="1:2" hidden="1">
      <c r="A456">
        <v>40125212</v>
      </c>
      <c r="B456" t="s">
        <v>530</v>
      </c>
    </row>
    <row r="457" spans="1:2" hidden="1">
      <c r="A457">
        <v>40125220</v>
      </c>
      <c r="B457" t="s">
        <v>531</v>
      </c>
    </row>
    <row r="458" spans="1:2" hidden="1">
      <c r="A458">
        <v>40125230</v>
      </c>
      <c r="B458" t="s">
        <v>532</v>
      </c>
    </row>
    <row r="459" spans="1:2" hidden="1">
      <c r="A459">
        <v>40125240</v>
      </c>
      <c r="B459" t="s">
        <v>533</v>
      </c>
    </row>
    <row r="460" spans="1:2" hidden="1">
      <c r="A460">
        <v>40125250</v>
      </c>
      <c r="B460" t="s">
        <v>534</v>
      </c>
    </row>
    <row r="461" spans="1:2" hidden="1">
      <c r="A461">
        <v>40125520</v>
      </c>
      <c r="B461" t="s">
        <v>535</v>
      </c>
    </row>
    <row r="462" spans="1:2" hidden="1">
      <c r="A462">
        <v>40134000</v>
      </c>
      <c r="B462" t="s">
        <v>536</v>
      </c>
    </row>
    <row r="463" spans="1:2" hidden="1">
      <c r="A463">
        <v>40134003</v>
      </c>
      <c r="B463" t="s">
        <v>537</v>
      </c>
    </row>
    <row r="464" spans="1:2" hidden="1">
      <c r="A464">
        <v>40134004</v>
      </c>
      <c r="B464" t="s">
        <v>538</v>
      </c>
    </row>
    <row r="465" spans="1:2" hidden="1">
      <c r="A465">
        <v>40136000</v>
      </c>
      <c r="B465" t="s">
        <v>539</v>
      </c>
    </row>
    <row r="466" spans="1:2" hidden="1">
      <c r="A466">
        <v>40136001</v>
      </c>
      <c r="B466" t="s">
        <v>540</v>
      </c>
    </row>
    <row r="467" spans="1:2" hidden="1">
      <c r="A467">
        <v>40136006</v>
      </c>
      <c r="B467" t="s">
        <v>541</v>
      </c>
    </row>
    <row r="468" spans="1:2" hidden="1">
      <c r="A468">
        <v>40136007</v>
      </c>
      <c r="B468" t="s">
        <v>542</v>
      </c>
    </row>
    <row r="469" spans="1:2" hidden="1">
      <c r="A469">
        <v>40136040</v>
      </c>
      <c r="B469" t="s">
        <v>543</v>
      </c>
    </row>
    <row r="470" spans="1:2" hidden="1">
      <c r="A470">
        <v>40136566</v>
      </c>
      <c r="B470" t="s">
        <v>544</v>
      </c>
    </row>
    <row r="471" spans="1:2" hidden="1">
      <c r="A471">
        <v>40136567</v>
      </c>
      <c r="B471" t="s">
        <v>545</v>
      </c>
    </row>
    <row r="472" spans="1:2" hidden="1">
      <c r="A472">
        <v>40136614</v>
      </c>
      <c r="B472" t="s">
        <v>546</v>
      </c>
    </row>
    <row r="473" spans="1:2" hidden="1">
      <c r="A473">
        <v>40136616</v>
      </c>
      <c r="B473" t="s">
        <v>547</v>
      </c>
    </row>
    <row r="474" spans="1:2" hidden="1">
      <c r="A474">
        <v>40136920</v>
      </c>
      <c r="B474" t="s">
        <v>548</v>
      </c>
    </row>
    <row r="475" spans="1:2" hidden="1">
      <c r="A475">
        <v>40136921</v>
      </c>
      <c r="B475" t="s">
        <v>549</v>
      </c>
    </row>
    <row r="476" spans="1:2" hidden="1">
      <c r="A476">
        <v>40138010</v>
      </c>
      <c r="B476" t="s">
        <v>550</v>
      </c>
    </row>
    <row r="477" spans="1:2" hidden="1">
      <c r="A477">
        <v>40140908</v>
      </c>
      <c r="B477" t="s">
        <v>551</v>
      </c>
    </row>
    <row r="478" spans="1:2" hidden="1">
      <c r="A478">
        <v>40140909</v>
      </c>
      <c r="B478" t="s">
        <v>552</v>
      </c>
    </row>
    <row r="479" spans="1:2" hidden="1">
      <c r="A479">
        <v>40140950</v>
      </c>
      <c r="B479" t="s">
        <v>553</v>
      </c>
    </row>
    <row r="480" spans="1:2" hidden="1">
      <c r="A480">
        <v>40140951</v>
      </c>
      <c r="B480" t="s">
        <v>554</v>
      </c>
    </row>
    <row r="481" spans="1:2" hidden="1">
      <c r="A481">
        <v>40140960</v>
      </c>
      <c r="B481" t="s">
        <v>555</v>
      </c>
    </row>
    <row r="482" spans="1:2" hidden="1">
      <c r="A482">
        <v>40140961</v>
      </c>
      <c r="B482" t="s">
        <v>556</v>
      </c>
    </row>
    <row r="483" spans="1:2" hidden="1">
      <c r="A483">
        <v>40141122</v>
      </c>
      <c r="B483" t="s">
        <v>557</v>
      </c>
    </row>
    <row r="484" spans="1:2" hidden="1">
      <c r="A484">
        <v>40141312</v>
      </c>
      <c r="B484" t="s">
        <v>558</v>
      </c>
    </row>
    <row r="485" spans="1:2" hidden="1">
      <c r="A485">
        <v>40141313</v>
      </c>
      <c r="B485" t="s">
        <v>559</v>
      </c>
    </row>
    <row r="486" spans="1:2" hidden="1">
      <c r="A486">
        <v>40143072</v>
      </c>
      <c r="B486" t="s">
        <v>560</v>
      </c>
    </row>
    <row r="487" spans="1:2" hidden="1">
      <c r="A487">
        <v>40143831</v>
      </c>
      <c r="B487" t="s">
        <v>561</v>
      </c>
    </row>
    <row r="488" spans="1:2" hidden="1">
      <c r="A488">
        <v>40143832</v>
      </c>
      <c r="B488" t="s">
        <v>562</v>
      </c>
    </row>
    <row r="489" spans="1:2" hidden="1">
      <c r="A489">
        <v>40143833</v>
      </c>
      <c r="B489" t="s">
        <v>563</v>
      </c>
    </row>
    <row r="490" spans="1:2" hidden="1">
      <c r="A490">
        <v>40150000</v>
      </c>
      <c r="B490" t="s">
        <v>564</v>
      </c>
    </row>
    <row r="491" spans="1:2" hidden="1">
      <c r="A491">
        <v>40180510</v>
      </c>
      <c r="B491" t="s">
        <v>565</v>
      </c>
    </row>
    <row r="492" spans="1:2" hidden="1">
      <c r="A492">
        <v>40180511</v>
      </c>
      <c r="B492" t="s">
        <v>566</v>
      </c>
    </row>
    <row r="493" spans="1:2" hidden="1">
      <c r="A493">
        <v>40180530</v>
      </c>
      <c r="B493" t="s">
        <v>567</v>
      </c>
    </row>
    <row r="494" spans="1:2" hidden="1">
      <c r="A494">
        <v>40180531</v>
      </c>
      <c r="B494" t="s">
        <v>568</v>
      </c>
    </row>
    <row r="495" spans="1:2" hidden="1">
      <c r="A495">
        <v>40180610</v>
      </c>
      <c r="B495" t="s">
        <v>565</v>
      </c>
    </row>
    <row r="496" spans="1:2" hidden="1">
      <c r="A496">
        <v>40180631</v>
      </c>
      <c r="B496" t="s">
        <v>568</v>
      </c>
    </row>
    <row r="497" spans="1:2" hidden="1">
      <c r="A497">
        <v>40197155</v>
      </c>
      <c r="B497" t="s">
        <v>569</v>
      </c>
    </row>
    <row r="498" spans="1:2" hidden="1">
      <c r="A498">
        <v>40197255</v>
      </c>
      <c r="B498" t="s">
        <v>570</v>
      </c>
    </row>
    <row r="499" spans="1:2" hidden="1">
      <c r="A499">
        <v>40199037</v>
      </c>
      <c r="B499" t="s">
        <v>571</v>
      </c>
    </row>
    <row r="500" spans="1:2" hidden="1">
      <c r="A500">
        <v>40199039</v>
      </c>
      <c r="B500" t="s">
        <v>572</v>
      </c>
    </row>
    <row r="501" spans="1:2" hidden="1">
      <c r="A501">
        <v>40199061</v>
      </c>
      <c r="B501" t="s">
        <v>573</v>
      </c>
    </row>
    <row r="502" spans="1:2" hidden="1">
      <c r="A502">
        <v>40199230</v>
      </c>
      <c r="B502" t="s">
        <v>574</v>
      </c>
    </row>
    <row r="503" spans="1:2" hidden="1">
      <c r="A503">
        <v>40199242</v>
      </c>
      <c r="B503" t="s">
        <v>575</v>
      </c>
    </row>
    <row r="504" spans="1:2" hidden="1">
      <c r="A504">
        <v>40199270</v>
      </c>
      <c r="B504" t="s">
        <v>576</v>
      </c>
    </row>
    <row r="505" spans="1:2" hidden="1">
      <c r="A505">
        <v>40199321</v>
      </c>
      <c r="B505" t="s">
        <v>577</v>
      </c>
    </row>
    <row r="506" spans="1:2" hidden="1">
      <c r="A506">
        <v>40199330</v>
      </c>
      <c r="B506" t="s">
        <v>578</v>
      </c>
    </row>
    <row r="507" spans="1:2" hidden="1">
      <c r="A507">
        <v>40204301</v>
      </c>
      <c r="B507" t="s">
        <v>579</v>
      </c>
    </row>
    <row r="508" spans="1:2" hidden="1">
      <c r="A508">
        <v>40204311</v>
      </c>
      <c r="B508" t="s">
        <v>580</v>
      </c>
    </row>
    <row r="509" spans="1:2" hidden="1">
      <c r="A509">
        <v>40204391</v>
      </c>
      <c r="B509" t="s">
        <v>581</v>
      </c>
    </row>
    <row r="510" spans="1:2" hidden="1">
      <c r="A510">
        <v>40205450</v>
      </c>
      <c r="B510" t="s">
        <v>582</v>
      </c>
    </row>
    <row r="511" spans="1:2" hidden="1">
      <c r="A511" t="s">
        <v>583</v>
      </c>
      <c r="B511" t="s">
        <v>584</v>
      </c>
    </row>
    <row r="512" spans="1:2" hidden="1">
      <c r="A512">
        <v>40205610</v>
      </c>
      <c r="B512" t="s">
        <v>585</v>
      </c>
    </row>
    <row r="513" spans="1:2" hidden="1">
      <c r="A513">
        <v>40206004</v>
      </c>
      <c r="B513" t="s">
        <v>586</v>
      </c>
    </row>
    <row r="514" spans="1:2" hidden="1">
      <c r="A514">
        <v>40206040</v>
      </c>
      <c r="B514" t="s">
        <v>587</v>
      </c>
    </row>
    <row r="515" spans="1:2" hidden="1">
      <c r="A515">
        <v>40206060</v>
      </c>
      <c r="B515" t="s">
        <v>588</v>
      </c>
    </row>
    <row r="516" spans="1:2" hidden="1">
      <c r="A516">
        <v>40206220</v>
      </c>
      <c r="B516" t="s">
        <v>589</v>
      </c>
    </row>
    <row r="517" spans="1:2" hidden="1">
      <c r="A517">
        <v>40207110</v>
      </c>
      <c r="B517" t="s">
        <v>590</v>
      </c>
    </row>
    <row r="518" spans="1:2" hidden="1">
      <c r="A518">
        <v>40211352</v>
      </c>
      <c r="B518" t="s">
        <v>591</v>
      </c>
    </row>
    <row r="519" spans="1:2" hidden="1">
      <c r="A519">
        <v>40211501</v>
      </c>
      <c r="B519" t="s">
        <v>592</v>
      </c>
    </row>
    <row r="520" spans="1:2" hidden="1">
      <c r="A520">
        <v>40211632</v>
      </c>
      <c r="B520" t="s">
        <v>593</v>
      </c>
    </row>
    <row r="521" spans="1:2" hidden="1">
      <c r="A521">
        <v>40211660</v>
      </c>
      <c r="B521" t="s">
        <v>594</v>
      </c>
    </row>
    <row r="522" spans="1:2" hidden="1">
      <c r="A522">
        <v>40212002</v>
      </c>
      <c r="B522" t="s">
        <v>595</v>
      </c>
    </row>
    <row r="523" spans="1:2" hidden="1">
      <c r="A523">
        <v>40212014</v>
      </c>
      <c r="B523" t="s">
        <v>596</v>
      </c>
    </row>
    <row r="524" spans="1:2" hidden="1">
      <c r="A524">
        <v>40212044</v>
      </c>
      <c r="B524" t="s">
        <v>597</v>
      </c>
    </row>
    <row r="525" spans="1:2" hidden="1">
      <c r="A525">
        <v>40212062</v>
      </c>
      <c r="B525" t="s">
        <v>598</v>
      </c>
    </row>
    <row r="526" spans="1:2" hidden="1">
      <c r="A526">
        <v>40212070</v>
      </c>
      <c r="B526" t="s">
        <v>599</v>
      </c>
    </row>
    <row r="527" spans="1:2" hidden="1">
      <c r="A527">
        <v>40212602</v>
      </c>
      <c r="B527" t="s">
        <v>600</v>
      </c>
    </row>
    <row r="528" spans="1:2" hidden="1">
      <c r="A528">
        <v>40213012</v>
      </c>
      <c r="B528" t="s">
        <v>601</v>
      </c>
    </row>
    <row r="529" spans="1:2" hidden="1">
      <c r="A529">
        <v>40213022</v>
      </c>
      <c r="B529" t="s">
        <v>602</v>
      </c>
    </row>
    <row r="530" spans="1:2" hidden="1">
      <c r="A530">
        <v>40213032</v>
      </c>
      <c r="B530" t="s">
        <v>603</v>
      </c>
    </row>
    <row r="531" spans="1:2" hidden="1">
      <c r="A531">
        <v>40213042</v>
      </c>
      <c r="B531" t="s">
        <v>604</v>
      </c>
    </row>
    <row r="532" spans="1:2" hidden="1">
      <c r="A532">
        <v>40214311</v>
      </c>
      <c r="B532" t="s">
        <v>605</v>
      </c>
    </row>
    <row r="533" spans="1:2" hidden="1">
      <c r="A533">
        <v>40214608</v>
      </c>
      <c r="B533" t="s">
        <v>606</v>
      </c>
    </row>
    <row r="534" spans="1:2" hidden="1">
      <c r="A534">
        <v>40214805</v>
      </c>
      <c r="B534" t="s">
        <v>607</v>
      </c>
    </row>
    <row r="535" spans="1:2" hidden="1">
      <c r="A535">
        <v>40214914</v>
      </c>
      <c r="B535" t="s">
        <v>608</v>
      </c>
    </row>
    <row r="536" spans="1:2" hidden="1">
      <c r="A536">
        <v>40214980</v>
      </c>
      <c r="B536" t="s">
        <v>609</v>
      </c>
    </row>
    <row r="537" spans="1:2" hidden="1">
      <c r="A537">
        <v>40215123</v>
      </c>
      <c r="B537" t="s">
        <v>610</v>
      </c>
    </row>
    <row r="538" spans="1:2" hidden="1">
      <c r="A538">
        <v>40215302</v>
      </c>
      <c r="B538" t="s">
        <v>611</v>
      </c>
    </row>
    <row r="539" spans="1:2" hidden="1">
      <c r="A539">
        <v>40215503</v>
      </c>
      <c r="B539" t="s">
        <v>612</v>
      </c>
    </row>
    <row r="540" spans="1:2" hidden="1">
      <c r="A540">
        <v>40215704</v>
      </c>
      <c r="B540" t="s">
        <v>613</v>
      </c>
    </row>
    <row r="541" spans="1:2" hidden="1">
      <c r="A541">
        <v>40215961</v>
      </c>
      <c r="B541" t="s">
        <v>614</v>
      </c>
    </row>
    <row r="542" spans="1:2" hidden="1">
      <c r="A542">
        <v>40215981</v>
      </c>
      <c r="B542" t="s">
        <v>615</v>
      </c>
    </row>
    <row r="543" spans="1:2" hidden="1">
      <c r="A543">
        <v>40216110</v>
      </c>
      <c r="B543" t="s">
        <v>616</v>
      </c>
    </row>
    <row r="544" spans="1:2" hidden="1">
      <c r="A544">
        <v>40217321</v>
      </c>
      <c r="B544" t="s">
        <v>617</v>
      </c>
    </row>
    <row r="545" spans="1:2" hidden="1">
      <c r="A545">
        <v>40218050</v>
      </c>
      <c r="B545" t="s">
        <v>618</v>
      </c>
    </row>
    <row r="546" spans="1:2" hidden="1">
      <c r="A546">
        <v>40218080</v>
      </c>
      <c r="B546" t="s">
        <v>619</v>
      </c>
    </row>
    <row r="547" spans="1:2" hidden="1">
      <c r="A547">
        <v>40219050</v>
      </c>
      <c r="B547" t="s">
        <v>620</v>
      </c>
    </row>
    <row r="548" spans="1:2" hidden="1">
      <c r="A548">
        <v>40220030</v>
      </c>
      <c r="B548" t="s">
        <v>621</v>
      </c>
    </row>
    <row r="549" spans="1:2" hidden="1">
      <c r="A549">
        <v>40220036</v>
      </c>
      <c r="B549" t="s">
        <v>622</v>
      </c>
    </row>
    <row r="550" spans="1:2" hidden="1">
      <c r="A550">
        <v>40220523</v>
      </c>
      <c r="B550" t="s">
        <v>623</v>
      </c>
    </row>
    <row r="551" spans="1:2" hidden="1">
      <c r="A551">
        <v>40221027</v>
      </c>
      <c r="B551" t="s">
        <v>624</v>
      </c>
    </row>
    <row r="552" spans="1:2" hidden="1">
      <c r="A552">
        <v>40221029</v>
      </c>
      <c r="B552" t="s">
        <v>625</v>
      </c>
    </row>
    <row r="553" spans="1:2" hidden="1">
      <c r="A553">
        <v>40222500</v>
      </c>
      <c r="B553" t="s">
        <v>626</v>
      </c>
    </row>
    <row r="554" spans="1:2" hidden="1">
      <c r="A554">
        <v>40223500</v>
      </c>
      <c r="B554" t="s">
        <v>627</v>
      </c>
    </row>
    <row r="555" spans="1:2" hidden="1">
      <c r="A555">
        <v>40223520</v>
      </c>
      <c r="B555" t="s">
        <v>628</v>
      </c>
    </row>
    <row r="556" spans="1:2" hidden="1">
      <c r="A556">
        <v>40224500</v>
      </c>
      <c r="B556" t="s">
        <v>629</v>
      </c>
    </row>
    <row r="557" spans="1:2" hidden="1">
      <c r="A557">
        <v>40224502</v>
      </c>
      <c r="B557" t="s">
        <v>630</v>
      </c>
    </row>
    <row r="558" spans="1:2" hidden="1">
      <c r="A558">
        <v>40226545</v>
      </c>
      <c r="B558" t="s">
        <v>631</v>
      </c>
    </row>
    <row r="559" spans="1:2" hidden="1">
      <c r="A559">
        <v>40228115</v>
      </c>
      <c r="B559" t="s">
        <v>632</v>
      </c>
    </row>
    <row r="560" spans="1:2" hidden="1">
      <c r="A560">
        <v>40239042</v>
      </c>
      <c r="B560" t="s">
        <v>633</v>
      </c>
    </row>
    <row r="561" spans="1:2" hidden="1">
      <c r="A561">
        <v>40249000</v>
      </c>
      <c r="B561" t="s">
        <v>634</v>
      </c>
    </row>
    <row r="562" spans="1:2" hidden="1">
      <c r="A562">
        <v>40260600</v>
      </c>
      <c r="B562" t="s">
        <v>635</v>
      </c>
    </row>
    <row r="563" spans="1:2" hidden="1">
      <c r="A563">
        <v>40297051</v>
      </c>
      <c r="B563" t="s">
        <v>636</v>
      </c>
    </row>
    <row r="564" spans="1:2" hidden="1">
      <c r="A564">
        <v>40297052</v>
      </c>
      <c r="B564" t="s">
        <v>637</v>
      </c>
    </row>
    <row r="565" spans="1:2" hidden="1">
      <c r="A565">
        <v>40297252</v>
      </c>
      <c r="B565" t="s">
        <v>637</v>
      </c>
    </row>
    <row r="566" spans="1:2" hidden="1">
      <c r="A566">
        <v>40297294</v>
      </c>
      <c r="B566" t="s">
        <v>638</v>
      </c>
    </row>
    <row r="567" spans="1:2" hidden="1">
      <c r="A567">
        <v>40297295</v>
      </c>
      <c r="B567" t="s">
        <v>639</v>
      </c>
    </row>
    <row r="568" spans="1:2" hidden="1">
      <c r="A568">
        <v>40297298</v>
      </c>
      <c r="B568" t="s">
        <v>640</v>
      </c>
    </row>
    <row r="569" spans="1:2" hidden="1">
      <c r="A569">
        <v>40402025</v>
      </c>
      <c r="B569" t="s">
        <v>641</v>
      </c>
    </row>
    <row r="570" spans="1:2" hidden="1">
      <c r="A570">
        <v>40402027</v>
      </c>
      <c r="B570" t="s">
        <v>642</v>
      </c>
    </row>
    <row r="571" spans="1:2" hidden="1">
      <c r="A571">
        <v>40402028</v>
      </c>
      <c r="B571" t="s">
        <v>643</v>
      </c>
    </row>
    <row r="572" spans="1:2" hidden="1">
      <c r="A572">
        <v>40437021</v>
      </c>
      <c r="B572" t="s">
        <v>644</v>
      </c>
    </row>
    <row r="573" spans="1:2" hidden="1">
      <c r="A573">
        <v>40437220</v>
      </c>
      <c r="B573" t="s">
        <v>645</v>
      </c>
    </row>
    <row r="574" spans="1:2" hidden="1">
      <c r="A574">
        <v>40446702</v>
      </c>
      <c r="B574" t="s">
        <v>646</v>
      </c>
    </row>
    <row r="575" spans="1:2" hidden="1">
      <c r="A575">
        <v>40446712</v>
      </c>
      <c r="B575" t="s">
        <v>647</v>
      </c>
    </row>
    <row r="576" spans="1:2" hidden="1">
      <c r="A576" t="s">
        <v>648</v>
      </c>
      <c r="B576" t="s">
        <v>647</v>
      </c>
    </row>
    <row r="577" spans="1:2" hidden="1">
      <c r="A577">
        <v>40455007</v>
      </c>
      <c r="B577" t="s">
        <v>649</v>
      </c>
    </row>
    <row r="578" spans="1:2" hidden="1">
      <c r="A578">
        <v>40455212</v>
      </c>
      <c r="B578" t="s">
        <v>650</v>
      </c>
    </row>
    <row r="579" spans="1:2" hidden="1">
      <c r="A579">
        <v>40455334</v>
      </c>
      <c r="B579" t="s">
        <v>651</v>
      </c>
    </row>
    <row r="580" spans="1:2" hidden="1">
      <c r="A580">
        <v>40455335</v>
      </c>
      <c r="B580" t="s">
        <v>652</v>
      </c>
    </row>
    <row r="581" spans="1:2" hidden="1">
      <c r="A581">
        <v>40460174</v>
      </c>
      <c r="B581" t="s">
        <v>653</v>
      </c>
    </row>
    <row r="582" spans="1:2" hidden="1">
      <c r="A582">
        <v>40460410</v>
      </c>
      <c r="B582" t="s">
        <v>654</v>
      </c>
    </row>
    <row r="583" spans="1:2" hidden="1">
      <c r="A583">
        <v>40460430</v>
      </c>
      <c r="B583" t="s">
        <v>655</v>
      </c>
    </row>
    <row r="584" spans="1:2" hidden="1">
      <c r="A584">
        <v>40460450</v>
      </c>
      <c r="B584" t="s">
        <v>656</v>
      </c>
    </row>
    <row r="585" spans="1:2" hidden="1">
      <c r="A585">
        <v>40461505</v>
      </c>
      <c r="B585" t="s">
        <v>657</v>
      </c>
    </row>
    <row r="586" spans="1:2" hidden="1">
      <c r="A586">
        <v>40461506</v>
      </c>
      <c r="B586" t="s">
        <v>658</v>
      </c>
    </row>
    <row r="587" spans="1:2" hidden="1">
      <c r="A587">
        <v>40461507</v>
      </c>
      <c r="B587" t="s">
        <v>659</v>
      </c>
    </row>
    <row r="588" spans="1:2" hidden="1">
      <c r="A588">
        <v>40461543</v>
      </c>
      <c r="B588" t="s">
        <v>660</v>
      </c>
    </row>
    <row r="589" spans="1:2" hidden="1">
      <c r="A589">
        <v>40466109</v>
      </c>
      <c r="B589" t="s">
        <v>661</v>
      </c>
    </row>
    <row r="590" spans="1:2" hidden="1">
      <c r="A590">
        <v>40466110</v>
      </c>
      <c r="B590" t="s">
        <v>662</v>
      </c>
    </row>
    <row r="591" spans="1:2" hidden="1">
      <c r="A591">
        <v>40466111</v>
      </c>
      <c r="B591" t="s">
        <v>663</v>
      </c>
    </row>
    <row r="592" spans="1:2" hidden="1">
      <c r="A592">
        <v>40466241</v>
      </c>
      <c r="B592" t="s">
        <v>664</v>
      </c>
    </row>
    <row r="593" spans="1:2" hidden="1">
      <c r="A593">
        <v>40466260</v>
      </c>
      <c r="B593" t="s">
        <v>665</v>
      </c>
    </row>
    <row r="594" spans="1:2" hidden="1">
      <c r="A594">
        <v>40467303</v>
      </c>
      <c r="B594" t="s">
        <v>666</v>
      </c>
    </row>
    <row r="595" spans="1:2" hidden="1">
      <c r="A595">
        <v>40467304</v>
      </c>
      <c r="B595" t="s">
        <v>667</v>
      </c>
    </row>
    <row r="596" spans="1:2" hidden="1">
      <c r="A596">
        <v>40467305</v>
      </c>
      <c r="B596" t="s">
        <v>668</v>
      </c>
    </row>
    <row r="597" spans="1:2" hidden="1">
      <c r="A597">
        <v>40467320</v>
      </c>
      <c r="B597" t="s">
        <v>669</v>
      </c>
    </row>
    <row r="598" spans="1:2" hidden="1">
      <c r="A598">
        <v>40468106</v>
      </c>
      <c r="B598" t="s">
        <v>670</v>
      </c>
    </row>
    <row r="599" spans="1:2" hidden="1">
      <c r="A599">
        <v>40468108</v>
      </c>
      <c r="B599" t="s">
        <v>671</v>
      </c>
    </row>
    <row r="600" spans="1:2" hidden="1">
      <c r="A600">
        <v>40468114</v>
      </c>
      <c r="B600" t="s">
        <v>672</v>
      </c>
    </row>
    <row r="601" spans="1:2" hidden="1">
      <c r="A601">
        <v>40468118</v>
      </c>
      <c r="B601" t="s">
        <v>673</v>
      </c>
    </row>
    <row r="602" spans="1:2" hidden="1">
      <c r="A602">
        <v>40468122</v>
      </c>
      <c r="B602" t="s">
        <v>674</v>
      </c>
    </row>
    <row r="603" spans="1:2" hidden="1">
      <c r="A603">
        <v>40474239</v>
      </c>
      <c r="B603" t="s">
        <v>675</v>
      </c>
    </row>
    <row r="604" spans="1:2" hidden="1">
      <c r="A604">
        <v>40474253</v>
      </c>
      <c r="B604" t="s">
        <v>676</v>
      </c>
    </row>
    <row r="605" spans="1:2" hidden="1">
      <c r="A605">
        <v>40476141</v>
      </c>
      <c r="B605" t="s">
        <v>677</v>
      </c>
    </row>
    <row r="606" spans="1:2" hidden="1">
      <c r="A606">
        <v>40476142</v>
      </c>
      <c r="B606" t="s">
        <v>678</v>
      </c>
    </row>
    <row r="607" spans="1:2" hidden="1">
      <c r="A607">
        <v>40478003</v>
      </c>
      <c r="B607" t="s">
        <v>679</v>
      </c>
    </row>
    <row r="608" spans="1:2" hidden="1">
      <c r="A608">
        <v>40478010</v>
      </c>
      <c r="B608" t="s">
        <v>680</v>
      </c>
    </row>
    <row r="609" spans="1:2" hidden="1">
      <c r="A609">
        <v>40478503</v>
      </c>
      <c r="B609" t="s">
        <v>681</v>
      </c>
    </row>
    <row r="610" spans="1:2" hidden="1">
      <c r="A610">
        <v>40478510</v>
      </c>
      <c r="B610" t="s">
        <v>682</v>
      </c>
    </row>
    <row r="611" spans="1:2" hidden="1">
      <c r="A611">
        <v>40480301</v>
      </c>
      <c r="B611" t="s">
        <v>683</v>
      </c>
    </row>
    <row r="612" spans="1:2" hidden="1">
      <c r="A612">
        <v>40480321</v>
      </c>
      <c r="B612" t="s">
        <v>684</v>
      </c>
    </row>
    <row r="613" spans="1:2" hidden="1">
      <c r="A613">
        <v>40482002</v>
      </c>
      <c r="B613" t="s">
        <v>685</v>
      </c>
    </row>
    <row r="614" spans="1:2" hidden="1">
      <c r="A614">
        <v>40482601</v>
      </c>
      <c r="B614" t="s">
        <v>686</v>
      </c>
    </row>
    <row r="615" spans="1:2" hidden="1">
      <c r="A615">
        <v>40482620</v>
      </c>
      <c r="B615" t="s">
        <v>687</v>
      </c>
    </row>
    <row r="616" spans="1:2" hidden="1">
      <c r="A616">
        <v>40483054</v>
      </c>
      <c r="B616" t="s">
        <v>688</v>
      </c>
    </row>
    <row r="617" spans="1:2" hidden="1">
      <c r="A617">
        <v>40483101</v>
      </c>
      <c r="B617" t="s">
        <v>689</v>
      </c>
    </row>
    <row r="618" spans="1:2" hidden="1">
      <c r="A618">
        <v>40483141</v>
      </c>
      <c r="B618" t="s">
        <v>690</v>
      </c>
    </row>
    <row r="619" spans="1:2" hidden="1">
      <c r="A619">
        <v>40483182</v>
      </c>
      <c r="B619" t="s">
        <v>691</v>
      </c>
    </row>
    <row r="620" spans="1:2" hidden="1">
      <c r="A620">
        <v>40483183</v>
      </c>
      <c r="B620" t="s">
        <v>692</v>
      </c>
    </row>
    <row r="621" spans="1:2" hidden="1">
      <c r="A621">
        <v>40483201</v>
      </c>
      <c r="B621" t="s">
        <v>693</v>
      </c>
    </row>
    <row r="622" spans="1:2" hidden="1">
      <c r="A622">
        <v>40483424</v>
      </c>
      <c r="B622" t="s">
        <v>694</v>
      </c>
    </row>
    <row r="623" spans="1:2" hidden="1">
      <c r="A623">
        <v>40483612</v>
      </c>
      <c r="B623" t="s">
        <v>695</v>
      </c>
    </row>
    <row r="624" spans="1:2" hidden="1">
      <c r="A624">
        <v>40484121</v>
      </c>
      <c r="B624" t="s">
        <v>696</v>
      </c>
    </row>
    <row r="625" spans="1:2" hidden="1">
      <c r="A625">
        <v>40484122</v>
      </c>
      <c r="B625" t="s">
        <v>697</v>
      </c>
    </row>
    <row r="626" spans="1:2" hidden="1">
      <c r="A626">
        <v>40484174</v>
      </c>
      <c r="B626" t="s">
        <v>698</v>
      </c>
    </row>
    <row r="627" spans="1:2" hidden="1">
      <c r="A627">
        <v>40484175</v>
      </c>
      <c r="B627" t="s">
        <v>699</v>
      </c>
    </row>
    <row r="628" spans="1:2" hidden="1">
      <c r="A628">
        <v>40484203</v>
      </c>
      <c r="B628" t="s">
        <v>700</v>
      </c>
    </row>
    <row r="629" spans="1:2" hidden="1">
      <c r="A629">
        <v>40484204</v>
      </c>
      <c r="B629" t="s">
        <v>701</v>
      </c>
    </row>
    <row r="630" spans="1:2" hidden="1">
      <c r="A630">
        <v>40484615</v>
      </c>
      <c r="B630" t="s">
        <v>702</v>
      </c>
    </row>
    <row r="631" spans="1:2" hidden="1">
      <c r="A631">
        <v>40484680</v>
      </c>
      <c r="B631" t="s">
        <v>703</v>
      </c>
    </row>
    <row r="632" spans="1:2" hidden="1">
      <c r="A632">
        <v>40484681</v>
      </c>
      <c r="B632" t="s">
        <v>704</v>
      </c>
    </row>
    <row r="633" spans="1:2" hidden="1">
      <c r="A633">
        <v>40484807</v>
      </c>
      <c r="B633" t="s">
        <v>705</v>
      </c>
    </row>
    <row r="634" spans="1:2" hidden="1">
      <c r="A634">
        <v>40485125</v>
      </c>
      <c r="B634" t="s">
        <v>706</v>
      </c>
    </row>
    <row r="635" spans="1:2" hidden="1">
      <c r="A635">
        <v>40485126</v>
      </c>
      <c r="B635" t="s">
        <v>707</v>
      </c>
    </row>
    <row r="636" spans="1:2" hidden="1">
      <c r="A636">
        <v>40485134</v>
      </c>
      <c r="B636" t="s">
        <v>708</v>
      </c>
    </row>
    <row r="637" spans="1:2" hidden="1">
      <c r="A637">
        <v>40485141</v>
      </c>
      <c r="B637" t="s">
        <v>709</v>
      </c>
    </row>
    <row r="638" spans="1:2" hidden="1">
      <c r="A638">
        <v>40485311</v>
      </c>
      <c r="B638" t="s">
        <v>710</v>
      </c>
    </row>
    <row r="639" spans="1:2" hidden="1">
      <c r="A639">
        <v>40485312</v>
      </c>
      <c r="B639" t="s">
        <v>711</v>
      </c>
    </row>
    <row r="640" spans="1:2" hidden="1">
      <c r="A640">
        <v>40485357</v>
      </c>
      <c r="B640" t="s">
        <v>712</v>
      </c>
    </row>
    <row r="641" spans="1:2" hidden="1">
      <c r="A641">
        <v>40485358</v>
      </c>
      <c r="B641" t="s">
        <v>713</v>
      </c>
    </row>
    <row r="642" spans="1:2" hidden="1">
      <c r="A642">
        <v>40487192</v>
      </c>
      <c r="B642" t="s">
        <v>714</v>
      </c>
    </row>
    <row r="643" spans="1:2">
      <c r="A643">
        <v>40543209</v>
      </c>
      <c r="B643" t="s">
        <v>715</v>
      </c>
    </row>
    <row r="644" spans="1:2" hidden="1">
      <c r="A644">
        <v>40578553</v>
      </c>
      <c r="B644" t="s">
        <v>716</v>
      </c>
    </row>
    <row r="645" spans="1:2" hidden="1">
      <c r="A645">
        <v>40582211</v>
      </c>
      <c r="B645" t="s">
        <v>717</v>
      </c>
    </row>
    <row r="646" spans="1:2" hidden="1">
      <c r="A646">
        <v>40582233</v>
      </c>
      <c r="B646" t="s">
        <v>718</v>
      </c>
    </row>
    <row r="647" spans="1:2" hidden="1">
      <c r="A647">
        <v>40582241</v>
      </c>
      <c r="B647" t="s">
        <v>719</v>
      </c>
    </row>
    <row r="648" spans="1:2" hidden="1">
      <c r="A648">
        <v>40582303</v>
      </c>
      <c r="B648" t="s">
        <v>720</v>
      </c>
    </row>
    <row r="649" spans="1:2" hidden="1">
      <c r="A649">
        <v>40582314</v>
      </c>
      <c r="B649" t="s">
        <v>721</v>
      </c>
    </row>
    <row r="650" spans="1:2" hidden="1">
      <c r="A650">
        <v>40583402</v>
      </c>
      <c r="B650" t="s">
        <v>722</v>
      </c>
    </row>
    <row r="651" spans="1:2" hidden="1">
      <c r="A651">
        <v>40583809</v>
      </c>
      <c r="B651" t="s">
        <v>723</v>
      </c>
    </row>
    <row r="652" spans="1:2" hidden="1">
      <c r="A652">
        <v>40583810</v>
      </c>
      <c r="B652" t="s">
        <v>724</v>
      </c>
    </row>
    <row r="653" spans="1:2" hidden="1">
      <c r="A653">
        <v>40584012</v>
      </c>
      <c r="B653" t="s">
        <v>725</v>
      </c>
    </row>
    <row r="654" spans="1:2" hidden="1">
      <c r="A654">
        <v>40584105</v>
      </c>
      <c r="B654" t="s">
        <v>726</v>
      </c>
    </row>
    <row r="655" spans="1:2" hidden="1">
      <c r="A655">
        <v>40584202</v>
      </c>
      <c r="B655" t="s">
        <v>727</v>
      </c>
    </row>
    <row r="656" spans="1:2" hidden="1">
      <c r="A656">
        <v>40584305</v>
      </c>
      <c r="B656" t="s">
        <v>728</v>
      </c>
    </row>
    <row r="657" spans="1:2" hidden="1">
      <c r="A657">
        <v>40584306</v>
      </c>
      <c r="B657" t="s">
        <v>729</v>
      </c>
    </row>
    <row r="658" spans="1:2" hidden="1">
      <c r="A658">
        <v>40584401</v>
      </c>
      <c r="B658" t="s">
        <v>730</v>
      </c>
    </row>
    <row r="659" spans="1:2" hidden="1">
      <c r="A659">
        <v>40586010</v>
      </c>
      <c r="B659" t="s">
        <v>731</v>
      </c>
    </row>
    <row r="660" spans="1:2" hidden="1">
      <c r="A660">
        <v>40586101</v>
      </c>
      <c r="B660" t="s">
        <v>732</v>
      </c>
    </row>
    <row r="661" spans="1:2" hidden="1">
      <c r="A661">
        <v>40586104</v>
      </c>
      <c r="B661" t="s">
        <v>733</v>
      </c>
    </row>
    <row r="662" spans="1:2" hidden="1">
      <c r="A662">
        <v>40586510</v>
      </c>
      <c r="B662" t="s">
        <v>734</v>
      </c>
    </row>
    <row r="663" spans="1:2" hidden="1">
      <c r="A663">
        <v>40587602</v>
      </c>
      <c r="B663" t="s">
        <v>735</v>
      </c>
    </row>
    <row r="664" spans="1:2" hidden="1">
      <c r="A664">
        <v>40589001</v>
      </c>
      <c r="B664" t="s">
        <v>736</v>
      </c>
    </row>
    <row r="665" spans="1:2" hidden="1">
      <c r="A665">
        <v>40589005</v>
      </c>
      <c r="B665" t="s">
        <v>737</v>
      </c>
    </row>
    <row r="666" spans="1:2" hidden="1">
      <c r="A666">
        <v>40589020</v>
      </c>
      <c r="B666" t="s">
        <v>738</v>
      </c>
    </row>
    <row r="667" spans="1:2" hidden="1">
      <c r="A667">
        <v>40589021</v>
      </c>
      <c r="B667" t="s">
        <v>739</v>
      </c>
    </row>
    <row r="668" spans="1:2" hidden="1">
      <c r="A668">
        <v>40589511</v>
      </c>
      <c r="B668" t="s">
        <v>740</v>
      </c>
    </row>
    <row r="669" spans="1:2" hidden="1">
      <c r="A669">
        <v>40589900</v>
      </c>
      <c r="B669" t="s">
        <v>741</v>
      </c>
    </row>
    <row r="670" spans="1:2" hidden="1">
      <c r="A670">
        <v>40589920</v>
      </c>
      <c r="B670" t="s">
        <v>742</v>
      </c>
    </row>
    <row r="671" spans="1:2" hidden="1">
      <c r="A671">
        <v>40590830</v>
      </c>
      <c r="B671" t="s">
        <v>743</v>
      </c>
    </row>
    <row r="672" spans="1:2" hidden="1">
      <c r="A672">
        <v>40590835</v>
      </c>
      <c r="B672" t="s">
        <v>744</v>
      </c>
    </row>
    <row r="673" spans="1:2" hidden="1">
      <c r="A673">
        <v>40599050</v>
      </c>
      <c r="B673" t="s">
        <v>745</v>
      </c>
    </row>
    <row r="674" spans="1:2" hidden="1">
      <c r="A674">
        <v>40672012</v>
      </c>
      <c r="B674" t="s">
        <v>746</v>
      </c>
    </row>
    <row r="675" spans="1:2" hidden="1">
      <c r="A675">
        <v>40682102</v>
      </c>
      <c r="B675" t="s">
        <v>747</v>
      </c>
    </row>
    <row r="676" spans="1:2" hidden="1">
      <c r="A676">
        <v>40716160</v>
      </c>
      <c r="B676" t="s">
        <v>748</v>
      </c>
    </row>
    <row r="677" spans="1:2" hidden="1">
      <c r="A677">
        <v>40716165</v>
      </c>
      <c r="B677" t="s">
        <v>749</v>
      </c>
    </row>
    <row r="678" spans="1:2" hidden="1">
      <c r="A678">
        <v>40716906</v>
      </c>
      <c r="B678" t="s">
        <v>750</v>
      </c>
    </row>
    <row r="679" spans="1:2" hidden="1">
      <c r="A679">
        <v>40722007</v>
      </c>
      <c r="B679" t="s">
        <v>751</v>
      </c>
    </row>
    <row r="680" spans="1:2" hidden="1">
      <c r="A680">
        <v>40782127</v>
      </c>
      <c r="B680" t="s">
        <v>752</v>
      </c>
    </row>
    <row r="681" spans="1:2" hidden="1">
      <c r="A681">
        <v>40782128</v>
      </c>
      <c r="B681" t="s">
        <v>753</v>
      </c>
    </row>
    <row r="682" spans="1:2" hidden="1">
      <c r="A682">
        <v>40782510</v>
      </c>
      <c r="B682" t="s">
        <v>754</v>
      </c>
    </row>
    <row r="683" spans="1:2" hidden="1">
      <c r="A683">
        <v>40876090</v>
      </c>
      <c r="B683" t="s">
        <v>755</v>
      </c>
    </row>
    <row r="684" spans="1:2" hidden="1">
      <c r="A684">
        <v>40911302</v>
      </c>
      <c r="B684" t="s">
        <v>756</v>
      </c>
    </row>
    <row r="685" spans="1:2" hidden="1">
      <c r="A685">
        <v>40931802</v>
      </c>
      <c r="B685" t="s">
        <v>757</v>
      </c>
    </row>
    <row r="686" spans="1:2" hidden="1">
      <c r="A686">
        <v>40971802</v>
      </c>
      <c r="B686" t="s">
        <v>758</v>
      </c>
    </row>
    <row r="687" spans="1:2" hidden="1">
      <c r="A687">
        <v>4097845</v>
      </c>
      <c r="B687" t="s">
        <v>759</v>
      </c>
    </row>
    <row r="688" spans="1:2" hidden="1">
      <c r="A688">
        <v>41009001</v>
      </c>
      <c r="B688" t="s">
        <v>760</v>
      </c>
    </row>
    <row r="689" spans="1:2" hidden="1">
      <c r="A689">
        <v>41013002</v>
      </c>
      <c r="B689" t="s">
        <v>761</v>
      </c>
    </row>
    <row r="690" spans="1:2" hidden="1">
      <c r="A690">
        <v>41016102</v>
      </c>
      <c r="B690" t="s">
        <v>762</v>
      </c>
    </row>
    <row r="691" spans="1:2" hidden="1">
      <c r="A691">
        <v>41020101</v>
      </c>
      <c r="B691" t="s">
        <v>763</v>
      </c>
    </row>
    <row r="692" spans="1:2" hidden="1">
      <c r="A692">
        <v>41022030</v>
      </c>
      <c r="B692" t="s">
        <v>764</v>
      </c>
    </row>
    <row r="693" spans="1:2" hidden="1">
      <c r="A693">
        <v>41028100</v>
      </c>
      <c r="B693" t="s">
        <v>765</v>
      </c>
    </row>
    <row r="694" spans="1:2" hidden="1">
      <c r="A694">
        <v>41070000</v>
      </c>
      <c r="B694" t="s">
        <v>766</v>
      </c>
    </row>
    <row r="695" spans="1:2" hidden="1">
      <c r="A695">
        <v>41508110</v>
      </c>
      <c r="B695" t="s">
        <v>767</v>
      </c>
    </row>
    <row r="696" spans="1:2" hidden="1">
      <c r="A696">
        <v>41508111</v>
      </c>
      <c r="B696" t="s">
        <v>768</v>
      </c>
    </row>
    <row r="697" spans="1:2" hidden="1">
      <c r="A697">
        <v>41508410</v>
      </c>
      <c r="B697" t="s">
        <v>769</v>
      </c>
    </row>
    <row r="698" spans="1:2" hidden="1">
      <c r="A698">
        <v>41509010</v>
      </c>
      <c r="B698" t="s">
        <v>770</v>
      </c>
    </row>
    <row r="699" spans="1:2" hidden="1">
      <c r="A699">
        <v>41509011</v>
      </c>
      <c r="B699" t="s">
        <v>771</v>
      </c>
    </row>
    <row r="700" spans="1:2" hidden="1">
      <c r="A700">
        <v>41519010</v>
      </c>
      <c r="B700" t="s">
        <v>772</v>
      </c>
    </row>
    <row r="701" spans="1:2" hidden="1">
      <c r="A701">
        <v>41521110</v>
      </c>
      <c r="B701" t="s">
        <v>773</v>
      </c>
    </row>
    <row r="702" spans="1:2" hidden="1">
      <c r="A702">
        <v>41521810</v>
      </c>
      <c r="B702" t="s">
        <v>774</v>
      </c>
    </row>
    <row r="703" spans="1:2" hidden="1">
      <c r="A703">
        <v>41522410</v>
      </c>
      <c r="B703" t="s">
        <v>775</v>
      </c>
    </row>
    <row r="704" spans="1:2" hidden="1">
      <c r="A704">
        <v>41523010</v>
      </c>
      <c r="B704" t="s">
        <v>776</v>
      </c>
    </row>
    <row r="705" spans="1:2" hidden="1">
      <c r="A705">
        <v>41523110</v>
      </c>
      <c r="B705" t="s">
        <v>777</v>
      </c>
    </row>
    <row r="706" spans="1:2" hidden="1">
      <c r="A706">
        <v>41550210</v>
      </c>
      <c r="B706" t="s">
        <v>778</v>
      </c>
    </row>
    <row r="707" spans="1:2" hidden="1">
      <c r="A707">
        <v>41551210</v>
      </c>
      <c r="B707" t="s">
        <v>779</v>
      </c>
    </row>
    <row r="708" spans="1:2" hidden="1">
      <c r="A708">
        <v>41552810</v>
      </c>
      <c r="B708" t="s">
        <v>780</v>
      </c>
    </row>
    <row r="709" spans="1:2" hidden="1">
      <c r="A709">
        <v>41553410</v>
      </c>
      <c r="B709" t="s">
        <v>781</v>
      </c>
    </row>
    <row r="710" spans="1:2" hidden="1">
      <c r="A710">
        <v>41558710</v>
      </c>
      <c r="B710" t="s">
        <v>782</v>
      </c>
    </row>
    <row r="711" spans="1:2" hidden="1">
      <c r="A711">
        <v>41560034</v>
      </c>
      <c r="B711" t="s">
        <v>783</v>
      </c>
    </row>
    <row r="712" spans="1:2" hidden="1">
      <c r="A712">
        <v>41560041</v>
      </c>
      <c r="B712" t="s">
        <v>784</v>
      </c>
    </row>
    <row r="713" spans="1:2" hidden="1">
      <c r="A713">
        <v>41560061</v>
      </c>
      <c r="B713" t="s">
        <v>785</v>
      </c>
    </row>
    <row r="714" spans="1:2" hidden="1">
      <c r="A714">
        <v>41560074</v>
      </c>
      <c r="B714" t="s">
        <v>200</v>
      </c>
    </row>
    <row r="715" spans="1:2" hidden="1">
      <c r="A715">
        <v>41560079</v>
      </c>
      <c r="B715" t="s">
        <v>786</v>
      </c>
    </row>
    <row r="716" spans="1:2" hidden="1">
      <c r="A716">
        <v>41560096</v>
      </c>
      <c r="B716" t="s">
        <v>787</v>
      </c>
    </row>
    <row r="717" spans="1:2" hidden="1">
      <c r="A717">
        <v>41560124</v>
      </c>
      <c r="B717" t="s">
        <v>788</v>
      </c>
    </row>
    <row r="718" spans="1:2" hidden="1">
      <c r="A718">
        <v>41560142</v>
      </c>
      <c r="B718" t="s">
        <v>789</v>
      </c>
    </row>
    <row r="719" spans="1:2" hidden="1">
      <c r="A719">
        <v>41560151</v>
      </c>
      <c r="B719" t="s">
        <v>790</v>
      </c>
    </row>
    <row r="720" spans="1:2" hidden="1">
      <c r="A720">
        <v>41560166</v>
      </c>
      <c r="B720" t="s">
        <v>791</v>
      </c>
    </row>
    <row r="721" spans="1:2" hidden="1">
      <c r="A721">
        <v>41566023</v>
      </c>
      <c r="B721" t="s">
        <v>792</v>
      </c>
    </row>
    <row r="722" spans="1:2" hidden="1">
      <c r="A722">
        <v>41575310</v>
      </c>
      <c r="B722" t="s">
        <v>793</v>
      </c>
    </row>
    <row r="723" spans="1:2" hidden="1">
      <c r="A723">
        <v>41575510</v>
      </c>
      <c r="B723" t="s">
        <v>794</v>
      </c>
    </row>
    <row r="724" spans="1:2" hidden="1">
      <c r="A724">
        <v>41579810</v>
      </c>
      <c r="B724" t="s">
        <v>795</v>
      </c>
    </row>
    <row r="725" spans="1:2" hidden="1">
      <c r="A725">
        <v>41580010</v>
      </c>
      <c r="B725" t="s">
        <v>796</v>
      </c>
    </row>
    <row r="726" spans="1:2" hidden="1">
      <c r="A726">
        <v>41580110</v>
      </c>
      <c r="B726" t="s">
        <v>797</v>
      </c>
    </row>
    <row r="727" spans="1:2" hidden="1">
      <c r="A727">
        <v>41588410</v>
      </c>
      <c r="B727" t="s">
        <v>798</v>
      </c>
    </row>
    <row r="728" spans="1:2" hidden="1">
      <c r="A728">
        <v>41592100</v>
      </c>
      <c r="B728" t="s">
        <v>799</v>
      </c>
    </row>
    <row r="729" spans="1:2" hidden="1">
      <c r="A729">
        <v>41592210</v>
      </c>
      <c r="B729" t="s">
        <v>800</v>
      </c>
    </row>
    <row r="730" spans="1:2" hidden="1">
      <c r="A730">
        <v>41592216</v>
      </c>
      <c r="B730" t="s">
        <v>801</v>
      </c>
    </row>
    <row r="731" spans="1:2" hidden="1">
      <c r="A731">
        <v>41592227</v>
      </c>
      <c r="B731" t="s">
        <v>802</v>
      </c>
    </row>
    <row r="732" spans="1:2" hidden="1">
      <c r="A732">
        <v>41592300</v>
      </c>
      <c r="B732" t="s">
        <v>803</v>
      </c>
    </row>
    <row r="733" spans="1:2" hidden="1">
      <c r="A733">
        <v>41592306</v>
      </c>
      <c r="B733" t="s">
        <v>804</v>
      </c>
    </row>
    <row r="734" spans="1:2" hidden="1">
      <c r="A734">
        <v>41593001</v>
      </c>
      <c r="B734" t="s">
        <v>805</v>
      </c>
    </row>
    <row r="735" spans="1:2" hidden="1">
      <c r="A735">
        <v>41593003</v>
      </c>
      <c r="B735" t="s">
        <v>806</v>
      </c>
    </row>
    <row r="736" spans="1:2" hidden="1">
      <c r="A736">
        <v>41593007</v>
      </c>
      <c r="B736" t="s">
        <v>807</v>
      </c>
    </row>
    <row r="737" spans="1:2" hidden="1">
      <c r="A737">
        <v>41593010</v>
      </c>
      <c r="B737" t="s">
        <v>808</v>
      </c>
    </row>
    <row r="738" spans="1:2" hidden="1">
      <c r="A738">
        <v>41593015</v>
      </c>
      <c r="B738" t="s">
        <v>809</v>
      </c>
    </row>
    <row r="739" spans="1:2" hidden="1">
      <c r="A739">
        <v>41595020</v>
      </c>
      <c r="B739" t="s">
        <v>810</v>
      </c>
    </row>
    <row r="740" spans="1:2" hidden="1">
      <c r="A740">
        <v>41595022</v>
      </c>
      <c r="B740" t="s">
        <v>811</v>
      </c>
    </row>
    <row r="741" spans="1:2" hidden="1">
      <c r="A741">
        <v>41595026</v>
      </c>
      <c r="B741" t="s">
        <v>812</v>
      </c>
    </row>
    <row r="742" spans="1:2" hidden="1">
      <c r="A742">
        <v>41596001</v>
      </c>
      <c r="B742" t="s">
        <v>813</v>
      </c>
    </row>
    <row r="743" spans="1:2" hidden="1">
      <c r="A743">
        <v>41596006</v>
      </c>
      <c r="B743" t="s">
        <v>814</v>
      </c>
    </row>
    <row r="744" spans="1:2" hidden="1">
      <c r="A744">
        <v>41596121</v>
      </c>
      <c r="B744" t="s">
        <v>815</v>
      </c>
    </row>
    <row r="745" spans="1:2" hidden="1">
      <c r="A745">
        <v>41597410</v>
      </c>
      <c r="B745" t="s">
        <v>816</v>
      </c>
    </row>
    <row r="746" spans="1:2" hidden="1">
      <c r="A746">
        <v>41597411</v>
      </c>
      <c r="B746" t="s">
        <v>817</v>
      </c>
    </row>
    <row r="747" spans="1:2">
      <c r="A747">
        <v>41597501</v>
      </c>
      <c r="B747" t="s">
        <v>818</v>
      </c>
    </row>
    <row r="748" spans="1:2" hidden="1">
      <c r="A748">
        <v>41598021</v>
      </c>
      <c r="B748" t="s">
        <v>819</v>
      </c>
    </row>
    <row r="749" spans="1:2" hidden="1">
      <c r="A749">
        <v>41598031</v>
      </c>
      <c r="B749" t="s">
        <v>820</v>
      </c>
    </row>
    <row r="750" spans="1:2" hidden="1">
      <c r="A750">
        <v>41599005</v>
      </c>
      <c r="B750" t="s">
        <v>821</v>
      </c>
    </row>
    <row r="751" spans="1:2" hidden="1">
      <c r="A751">
        <v>41599012</v>
      </c>
      <c r="B751" t="s">
        <v>822</v>
      </c>
    </row>
    <row r="752" spans="1:2" hidden="1">
      <c r="A752">
        <v>461220200</v>
      </c>
      <c r="B752" t="s">
        <v>823</v>
      </c>
    </row>
    <row r="753" spans="1:2" hidden="1">
      <c r="A753">
        <v>462320200</v>
      </c>
      <c r="B753" t="s">
        <v>824</v>
      </c>
    </row>
    <row r="754" spans="1:2" hidden="1">
      <c r="A754" t="s">
        <v>825</v>
      </c>
      <c r="B754" t="s">
        <v>826</v>
      </c>
    </row>
    <row r="755" spans="1:2" hidden="1">
      <c r="A755">
        <v>463420200</v>
      </c>
      <c r="B755" t="s">
        <v>827</v>
      </c>
    </row>
    <row r="756" spans="1:2" hidden="1">
      <c r="A756">
        <v>463460210</v>
      </c>
      <c r="B756" t="s">
        <v>828</v>
      </c>
    </row>
    <row r="757" spans="1:2" hidden="1">
      <c r="A757">
        <v>469780210</v>
      </c>
      <c r="B757" t="s">
        <v>829</v>
      </c>
    </row>
    <row r="758" spans="1:2" hidden="1">
      <c r="A758">
        <v>49002040</v>
      </c>
      <c r="B758" t="s">
        <v>830</v>
      </c>
    </row>
    <row r="759" spans="1:2" hidden="1">
      <c r="A759">
        <v>49004840</v>
      </c>
      <c r="B759" t="s">
        <v>830</v>
      </c>
    </row>
    <row r="760" spans="1:2" hidden="1">
      <c r="A760" t="s">
        <v>831</v>
      </c>
      <c r="B760" t="s">
        <v>832</v>
      </c>
    </row>
    <row r="761" spans="1:2" hidden="1">
      <c r="A761" t="s">
        <v>833</v>
      </c>
      <c r="B761" t="s">
        <v>834</v>
      </c>
    </row>
    <row r="762" spans="1:2" hidden="1">
      <c r="A762">
        <v>49004848</v>
      </c>
      <c r="B762" t="s">
        <v>835</v>
      </c>
    </row>
    <row r="763" spans="1:2" hidden="1">
      <c r="A763">
        <v>49004850</v>
      </c>
      <c r="B763" t="s">
        <v>836</v>
      </c>
    </row>
    <row r="764" spans="1:2" hidden="1">
      <c r="A764" t="s">
        <v>837</v>
      </c>
      <c r="B764" t="s">
        <v>838</v>
      </c>
    </row>
    <row r="765" spans="1:2" hidden="1">
      <c r="A765">
        <v>49004852</v>
      </c>
      <c r="B765" t="s">
        <v>839</v>
      </c>
    </row>
    <row r="766" spans="1:2" hidden="1">
      <c r="A766">
        <v>49004853</v>
      </c>
      <c r="B766" t="s">
        <v>840</v>
      </c>
    </row>
    <row r="767" spans="1:2" hidden="1">
      <c r="A767">
        <v>49004860</v>
      </c>
      <c r="B767" t="s">
        <v>841</v>
      </c>
    </row>
    <row r="768" spans="1:2" hidden="1">
      <c r="A768">
        <v>49004861</v>
      </c>
      <c r="B768" t="s">
        <v>842</v>
      </c>
    </row>
    <row r="769" spans="1:2" hidden="1">
      <c r="A769">
        <v>49004862</v>
      </c>
      <c r="B769" t="s">
        <v>843</v>
      </c>
    </row>
    <row r="770" spans="1:2" hidden="1">
      <c r="A770">
        <v>49004863</v>
      </c>
      <c r="B770" t="s">
        <v>844</v>
      </c>
    </row>
    <row r="771" spans="1:2" hidden="1">
      <c r="A771">
        <v>49004864</v>
      </c>
      <c r="B771" t="s">
        <v>845</v>
      </c>
    </row>
    <row r="772" spans="1:2" hidden="1">
      <c r="A772">
        <v>49004865</v>
      </c>
      <c r="B772" t="s">
        <v>846</v>
      </c>
    </row>
    <row r="773" spans="1:2" hidden="1">
      <c r="A773">
        <v>49004866</v>
      </c>
      <c r="B773" t="s">
        <v>847</v>
      </c>
    </row>
    <row r="774" spans="1:2" hidden="1">
      <c r="A774">
        <v>49004867</v>
      </c>
      <c r="B774" t="s">
        <v>848</v>
      </c>
    </row>
    <row r="775" spans="1:2" hidden="1">
      <c r="A775">
        <v>49004868</v>
      </c>
      <c r="B775" t="s">
        <v>849</v>
      </c>
    </row>
    <row r="776" spans="1:2" hidden="1">
      <c r="A776">
        <v>49004869</v>
      </c>
      <c r="B776" t="s">
        <v>850</v>
      </c>
    </row>
    <row r="777" spans="1:2" hidden="1">
      <c r="A777">
        <v>49004870</v>
      </c>
      <c r="B777" t="s">
        <v>851</v>
      </c>
    </row>
    <row r="778" spans="1:2" hidden="1">
      <c r="A778" t="s">
        <v>852</v>
      </c>
      <c r="B778" t="s">
        <v>853</v>
      </c>
    </row>
    <row r="779" spans="1:2" hidden="1">
      <c r="A779">
        <v>503420218</v>
      </c>
      <c r="B779" t="s">
        <v>854</v>
      </c>
    </row>
    <row r="780" spans="1:2" hidden="1">
      <c r="A780" t="s">
        <v>855</v>
      </c>
      <c r="B780" t="s">
        <v>856</v>
      </c>
    </row>
    <row r="781" spans="1:2" hidden="1">
      <c r="A781" t="s">
        <v>857</v>
      </c>
      <c r="B781" t="s">
        <v>853</v>
      </c>
    </row>
    <row r="782" spans="1:2" hidden="1">
      <c r="A782">
        <v>509150210</v>
      </c>
      <c r="B782" t="s">
        <v>858</v>
      </c>
    </row>
    <row r="783" spans="1:2" hidden="1">
      <c r="A783" t="s">
        <v>859</v>
      </c>
      <c r="B783" t="s">
        <v>858</v>
      </c>
    </row>
    <row r="784" spans="1:2" hidden="1">
      <c r="A784" t="s">
        <v>860</v>
      </c>
      <c r="B784" t="s">
        <v>858</v>
      </c>
    </row>
    <row r="785" spans="1:2" hidden="1">
      <c r="A785">
        <v>5310212</v>
      </c>
      <c r="B785" t="s">
        <v>861</v>
      </c>
    </row>
    <row r="786" spans="1:2" hidden="1">
      <c r="A786">
        <v>5317112</v>
      </c>
      <c r="B786" t="s">
        <v>862</v>
      </c>
    </row>
    <row r="787" spans="1:2" hidden="1">
      <c r="A787">
        <v>5323212</v>
      </c>
      <c r="B787" t="s">
        <v>863</v>
      </c>
    </row>
    <row r="788" spans="1:2" hidden="1">
      <c r="A788">
        <v>5324112</v>
      </c>
      <c r="B788" t="s">
        <v>864</v>
      </c>
    </row>
    <row r="789" spans="1:2" hidden="1">
      <c r="A789">
        <v>53341612</v>
      </c>
      <c r="B789" t="s">
        <v>865</v>
      </c>
    </row>
    <row r="790" spans="1:2" hidden="1">
      <c r="A790">
        <v>539121210</v>
      </c>
      <c r="B790" t="s">
        <v>866</v>
      </c>
    </row>
    <row r="791" spans="1:2" hidden="1">
      <c r="A791">
        <v>539156200</v>
      </c>
      <c r="B791" t="s">
        <v>867</v>
      </c>
    </row>
    <row r="792" spans="1:2" hidden="1">
      <c r="A792" t="s">
        <v>868</v>
      </c>
      <c r="B792" t="s">
        <v>869</v>
      </c>
    </row>
    <row r="793" spans="1:2" hidden="1">
      <c r="A793">
        <v>539391200</v>
      </c>
      <c r="B793" t="s">
        <v>870</v>
      </c>
    </row>
    <row r="794" spans="1:2" hidden="1">
      <c r="A794">
        <v>53991512</v>
      </c>
      <c r="B794" t="s">
        <v>871</v>
      </c>
    </row>
    <row r="795" spans="1:2" hidden="1">
      <c r="A795">
        <v>539940200</v>
      </c>
      <c r="B795" t="s">
        <v>872</v>
      </c>
    </row>
    <row r="796" spans="1:2" hidden="1">
      <c r="A796" t="s">
        <v>873</v>
      </c>
      <c r="B796" t="s">
        <v>874</v>
      </c>
    </row>
    <row r="797" spans="1:2" hidden="1">
      <c r="A797" t="s">
        <v>875</v>
      </c>
      <c r="B797" t="s">
        <v>876</v>
      </c>
    </row>
    <row r="798" spans="1:2" hidden="1">
      <c r="A798" t="s">
        <v>877</v>
      </c>
      <c r="B798" t="s">
        <v>878</v>
      </c>
    </row>
    <row r="799" spans="1:2" hidden="1">
      <c r="A799" t="s">
        <v>879</v>
      </c>
      <c r="B799" t="s">
        <v>878</v>
      </c>
    </row>
    <row r="800" spans="1:2" hidden="1">
      <c r="A800" t="s">
        <v>880</v>
      </c>
      <c r="B800" t="s">
        <v>881</v>
      </c>
    </row>
    <row r="801" spans="1:2" hidden="1">
      <c r="A801" t="s">
        <v>882</v>
      </c>
      <c r="B801" t="s">
        <v>881</v>
      </c>
    </row>
    <row r="802" spans="1:2" hidden="1">
      <c r="A802" t="s">
        <v>883</v>
      </c>
      <c r="B802" t="s">
        <v>884</v>
      </c>
    </row>
    <row r="803" spans="1:2" hidden="1">
      <c r="A803" t="s">
        <v>885</v>
      </c>
      <c r="B803" t="s">
        <v>886</v>
      </c>
    </row>
    <row r="804" spans="1:2" hidden="1">
      <c r="A804" t="s">
        <v>887</v>
      </c>
      <c r="B804" t="s">
        <v>888</v>
      </c>
    </row>
    <row r="805" spans="1:2" hidden="1">
      <c r="A805">
        <v>551220200</v>
      </c>
      <c r="B805" t="s">
        <v>889</v>
      </c>
    </row>
    <row r="806" spans="1:2" hidden="1">
      <c r="A806">
        <v>552320200</v>
      </c>
      <c r="B806" t="s">
        <v>890</v>
      </c>
    </row>
    <row r="807" spans="1:2" hidden="1">
      <c r="A807" t="s">
        <v>891</v>
      </c>
      <c r="B807" t="s">
        <v>892</v>
      </c>
    </row>
    <row r="808" spans="1:2" hidden="1">
      <c r="A808">
        <v>553460210</v>
      </c>
      <c r="B808" t="s">
        <v>893</v>
      </c>
    </row>
    <row r="809" spans="1:2" hidden="1">
      <c r="A809">
        <v>553660210</v>
      </c>
      <c r="B809" t="s">
        <v>894</v>
      </c>
    </row>
    <row r="810" spans="1:2" hidden="1">
      <c r="A810">
        <v>559950210</v>
      </c>
      <c r="B810" t="s">
        <v>895</v>
      </c>
    </row>
    <row r="811" spans="1:2" hidden="1">
      <c r="A811">
        <v>60703046</v>
      </c>
      <c r="B811" t="s">
        <v>896</v>
      </c>
    </row>
    <row r="812" spans="1:2" hidden="1">
      <c r="A812">
        <v>60803165</v>
      </c>
      <c r="B812" t="s">
        <v>897</v>
      </c>
    </row>
    <row r="813" spans="1:2" hidden="1">
      <c r="A813">
        <v>60803172</v>
      </c>
      <c r="B813" t="s">
        <v>898</v>
      </c>
    </row>
    <row r="814" spans="1:2" hidden="1">
      <c r="A814">
        <v>61001000</v>
      </c>
      <c r="B814" t="s">
        <v>899</v>
      </c>
    </row>
    <row r="815" spans="1:2" hidden="1">
      <c r="A815">
        <v>61001034</v>
      </c>
      <c r="B815" t="s">
        <v>900</v>
      </c>
    </row>
    <row r="816" spans="1:2" hidden="1">
      <c r="A816">
        <v>61001076</v>
      </c>
      <c r="B816" t="s">
        <v>901</v>
      </c>
    </row>
    <row r="817" spans="1:2" hidden="1">
      <c r="A817">
        <v>61001097</v>
      </c>
      <c r="B817" t="s">
        <v>902</v>
      </c>
    </row>
    <row r="818" spans="1:2" hidden="1">
      <c r="A818">
        <v>61001104</v>
      </c>
      <c r="B818" t="s">
        <v>903</v>
      </c>
    </row>
    <row r="819" spans="1:2" hidden="1">
      <c r="A819">
        <v>61001108</v>
      </c>
      <c r="B819" t="s">
        <v>904</v>
      </c>
    </row>
    <row r="820" spans="1:2" hidden="1">
      <c r="A820">
        <v>61001109</v>
      </c>
      <c r="B820" t="s">
        <v>905</v>
      </c>
    </row>
    <row r="821" spans="1:2" hidden="1">
      <c r="A821">
        <v>61001113</v>
      </c>
      <c r="B821" t="s">
        <v>906</v>
      </c>
    </row>
    <row r="822" spans="1:2" hidden="1">
      <c r="A822">
        <v>61001189</v>
      </c>
      <c r="B822" t="s">
        <v>907</v>
      </c>
    </row>
    <row r="823" spans="1:2" hidden="1">
      <c r="A823">
        <v>61001190</v>
      </c>
      <c r="B823" t="s">
        <v>908</v>
      </c>
    </row>
    <row r="824" spans="1:2" hidden="1">
      <c r="A824">
        <v>61001192</v>
      </c>
      <c r="B824" t="s">
        <v>909</v>
      </c>
    </row>
    <row r="825" spans="1:2" hidden="1">
      <c r="A825">
        <v>61001199</v>
      </c>
      <c r="B825" t="s">
        <v>910</v>
      </c>
    </row>
    <row r="826" spans="1:2" hidden="1">
      <c r="A826">
        <v>61001229</v>
      </c>
      <c r="B826" t="s">
        <v>911</v>
      </c>
    </row>
    <row r="827" spans="1:2" hidden="1">
      <c r="A827">
        <v>61001230</v>
      </c>
      <c r="B827" t="s">
        <v>912</v>
      </c>
    </row>
    <row r="828" spans="1:2" hidden="1">
      <c r="A828">
        <v>61001232</v>
      </c>
      <c r="B828" t="s">
        <v>913</v>
      </c>
    </row>
    <row r="829" spans="1:2" hidden="1">
      <c r="A829">
        <v>61001269</v>
      </c>
      <c r="B829" t="s">
        <v>914</v>
      </c>
    </row>
    <row r="830" spans="1:2" hidden="1">
      <c r="A830">
        <v>61001272</v>
      </c>
      <c r="B830" t="s">
        <v>915</v>
      </c>
    </row>
    <row r="831" spans="1:2" hidden="1">
      <c r="A831">
        <v>61001276</v>
      </c>
      <c r="B831" t="s">
        <v>916</v>
      </c>
    </row>
    <row r="832" spans="1:2" hidden="1">
      <c r="A832">
        <v>61001300</v>
      </c>
      <c r="B832" t="s">
        <v>917</v>
      </c>
    </row>
    <row r="833" spans="1:2" hidden="1">
      <c r="A833">
        <v>61001301</v>
      </c>
      <c r="B833" t="s">
        <v>918</v>
      </c>
    </row>
    <row r="834" spans="1:2" hidden="1">
      <c r="A834">
        <v>61001302</v>
      </c>
      <c r="B834" t="s">
        <v>919</v>
      </c>
    </row>
    <row r="835" spans="1:2" hidden="1">
      <c r="A835">
        <v>61001303</v>
      </c>
      <c r="B835" t="s">
        <v>920</v>
      </c>
    </row>
    <row r="836" spans="1:2" hidden="1">
      <c r="A836">
        <v>61001305</v>
      </c>
      <c r="B836" t="s">
        <v>921</v>
      </c>
    </row>
    <row r="837" spans="1:2" hidden="1">
      <c r="A837">
        <v>61001320</v>
      </c>
      <c r="B837" t="s">
        <v>922</v>
      </c>
    </row>
    <row r="838" spans="1:2" hidden="1">
      <c r="A838">
        <v>61801232</v>
      </c>
      <c r="B838" t="s">
        <v>923</v>
      </c>
    </row>
    <row r="839" spans="1:2" hidden="1">
      <c r="A839">
        <v>61801236</v>
      </c>
      <c r="B839" t="s">
        <v>924</v>
      </c>
    </row>
    <row r="840" spans="1:2" hidden="1">
      <c r="A840">
        <v>61801239</v>
      </c>
      <c r="B840" t="s">
        <v>925</v>
      </c>
    </row>
    <row r="841" spans="1:2" hidden="1">
      <c r="A841">
        <v>61867050</v>
      </c>
      <c r="B841" t="s">
        <v>926</v>
      </c>
    </row>
    <row r="842" spans="1:2" hidden="1">
      <c r="A842">
        <v>622410200</v>
      </c>
      <c r="B842" t="s">
        <v>927</v>
      </c>
    </row>
    <row r="843" spans="1:2" hidden="1">
      <c r="A843" t="s">
        <v>928</v>
      </c>
      <c r="B843" t="s">
        <v>929</v>
      </c>
    </row>
    <row r="844" spans="1:2" hidden="1">
      <c r="A844" t="s">
        <v>930</v>
      </c>
      <c r="B844" t="s">
        <v>931</v>
      </c>
    </row>
    <row r="845" spans="1:2" hidden="1">
      <c r="A845" t="s">
        <v>932</v>
      </c>
      <c r="B845" t="s">
        <v>933</v>
      </c>
    </row>
    <row r="846" spans="1:2" hidden="1">
      <c r="A846" t="s">
        <v>934</v>
      </c>
      <c r="B846" t="s">
        <v>935</v>
      </c>
    </row>
    <row r="847" spans="1:2" hidden="1">
      <c r="A847" t="s">
        <v>936</v>
      </c>
      <c r="B847" t="s">
        <v>937</v>
      </c>
    </row>
    <row r="848" spans="1:2" hidden="1">
      <c r="A848">
        <v>629150210</v>
      </c>
      <c r="B848" t="s">
        <v>938</v>
      </c>
    </row>
    <row r="849" spans="1:2" hidden="1">
      <c r="A849" t="s">
        <v>939</v>
      </c>
      <c r="B849" t="s">
        <v>938</v>
      </c>
    </row>
    <row r="850" spans="1:2" hidden="1">
      <c r="A850" t="s">
        <v>940</v>
      </c>
      <c r="B850" t="s">
        <v>938</v>
      </c>
    </row>
    <row r="851" spans="1:2" hidden="1">
      <c r="A851" t="s">
        <v>941</v>
      </c>
      <c r="B851" t="s">
        <v>942</v>
      </c>
    </row>
    <row r="852" spans="1:2" hidden="1">
      <c r="A852" t="s">
        <v>943</v>
      </c>
      <c r="B852" t="s">
        <v>942</v>
      </c>
    </row>
    <row r="853" spans="1:2" hidden="1">
      <c r="A853" t="s">
        <v>944</v>
      </c>
      <c r="B853" t="s">
        <v>945</v>
      </c>
    </row>
    <row r="854" spans="1:2" hidden="1">
      <c r="A854" t="s">
        <v>946</v>
      </c>
      <c r="B854" t="s">
        <v>947</v>
      </c>
    </row>
    <row r="855" spans="1:2" hidden="1">
      <c r="A855">
        <v>749140200</v>
      </c>
      <c r="B855" t="s">
        <v>948</v>
      </c>
    </row>
    <row r="856" spans="1:2" hidden="1">
      <c r="A856">
        <v>749140210</v>
      </c>
      <c r="B856" t="s">
        <v>949</v>
      </c>
    </row>
    <row r="857" spans="1:2" hidden="1">
      <c r="A857">
        <v>749150200</v>
      </c>
      <c r="B857" t="s">
        <v>950</v>
      </c>
    </row>
    <row r="858" spans="1:2" hidden="1">
      <c r="A858">
        <v>749390210</v>
      </c>
      <c r="B858" t="s">
        <v>951</v>
      </c>
    </row>
    <row r="859" spans="1:2" hidden="1">
      <c r="A859">
        <v>749830210</v>
      </c>
      <c r="B859" t="s">
        <v>952</v>
      </c>
    </row>
    <row r="860" spans="1:2" hidden="1">
      <c r="A860">
        <v>780130200</v>
      </c>
      <c r="B860" t="s">
        <v>953</v>
      </c>
    </row>
    <row r="861" spans="1:2" hidden="1">
      <c r="A861">
        <v>7900150</v>
      </c>
      <c r="B861" t="s">
        <v>954</v>
      </c>
    </row>
    <row r="862" spans="1:2" hidden="1">
      <c r="A862">
        <v>790027200</v>
      </c>
      <c r="B862" t="s">
        <v>955</v>
      </c>
    </row>
    <row r="863" spans="1:2" hidden="1">
      <c r="A863">
        <v>7900550</v>
      </c>
      <c r="B863" t="s">
        <v>956</v>
      </c>
    </row>
    <row r="864" spans="1:2" hidden="1">
      <c r="A864">
        <v>7900602</v>
      </c>
      <c r="B864" t="s">
        <v>957</v>
      </c>
    </row>
    <row r="865" spans="1:2" hidden="1">
      <c r="A865">
        <v>7900603</v>
      </c>
      <c r="B865" t="s">
        <v>958</v>
      </c>
    </row>
    <row r="866" spans="1:2" hidden="1">
      <c r="A866">
        <v>7900605</v>
      </c>
      <c r="B866" t="s">
        <v>959</v>
      </c>
    </row>
    <row r="867" spans="1:2" hidden="1">
      <c r="A867">
        <v>7900650</v>
      </c>
      <c r="B867" t="s">
        <v>960</v>
      </c>
    </row>
    <row r="868" spans="1:2" hidden="1">
      <c r="A868">
        <v>7900651</v>
      </c>
      <c r="B868" t="s">
        <v>961</v>
      </c>
    </row>
    <row r="869" spans="1:2" hidden="1">
      <c r="A869">
        <v>7900654</v>
      </c>
      <c r="B869" t="s">
        <v>962</v>
      </c>
    </row>
    <row r="870" spans="1:2" hidden="1">
      <c r="A870">
        <v>790066300</v>
      </c>
      <c r="B870" t="s">
        <v>963</v>
      </c>
    </row>
    <row r="871" spans="1:2" hidden="1">
      <c r="A871">
        <v>790066700</v>
      </c>
      <c r="B871" t="s">
        <v>964</v>
      </c>
    </row>
    <row r="872" spans="1:2" hidden="1">
      <c r="A872">
        <v>790066800</v>
      </c>
      <c r="B872" t="s">
        <v>965</v>
      </c>
    </row>
    <row r="873" spans="1:2" hidden="1">
      <c r="A873">
        <v>790067000</v>
      </c>
      <c r="B873" t="s">
        <v>966</v>
      </c>
    </row>
    <row r="874" spans="1:2" hidden="1">
      <c r="A874">
        <v>790067100</v>
      </c>
      <c r="B874" t="s">
        <v>967</v>
      </c>
    </row>
    <row r="875" spans="1:2" hidden="1">
      <c r="A875">
        <v>790067300</v>
      </c>
      <c r="B875" t="s">
        <v>968</v>
      </c>
    </row>
    <row r="876" spans="1:2" hidden="1">
      <c r="A876">
        <v>7900750</v>
      </c>
      <c r="B876" t="s">
        <v>969</v>
      </c>
    </row>
    <row r="877" spans="1:2" hidden="1">
      <c r="A877">
        <v>7900751</v>
      </c>
      <c r="B877" t="s">
        <v>970</v>
      </c>
    </row>
    <row r="878" spans="1:2" hidden="1">
      <c r="A878">
        <v>7900752</v>
      </c>
      <c r="B878" t="s">
        <v>971</v>
      </c>
    </row>
    <row r="879" spans="1:2" hidden="1">
      <c r="A879">
        <v>7901050</v>
      </c>
      <c r="B879" t="s">
        <v>972</v>
      </c>
    </row>
    <row r="880" spans="1:2" hidden="1">
      <c r="A880">
        <v>81216061</v>
      </c>
      <c r="B880" t="s">
        <v>973</v>
      </c>
    </row>
    <row r="881" spans="1:2" hidden="1">
      <c r="A881">
        <v>81216067</v>
      </c>
      <c r="B881" t="s">
        <v>974</v>
      </c>
    </row>
    <row r="882" spans="1:2" hidden="1">
      <c r="A882">
        <v>81476061</v>
      </c>
      <c r="B882" t="s">
        <v>975</v>
      </c>
    </row>
    <row r="883" spans="1:2">
      <c r="A883">
        <v>81543107</v>
      </c>
      <c r="B883" t="s">
        <v>976</v>
      </c>
    </row>
    <row r="884" spans="1:2" hidden="1">
      <c r="A884">
        <v>81543286</v>
      </c>
      <c r="B884" t="s">
        <v>977</v>
      </c>
    </row>
    <row r="885" spans="1:2" hidden="1">
      <c r="A885">
        <v>81712071</v>
      </c>
      <c r="B885" t="s">
        <v>978</v>
      </c>
    </row>
    <row r="886" spans="1:2" hidden="1">
      <c r="A886">
        <v>81911362</v>
      </c>
      <c r="B886" t="s">
        <v>979</v>
      </c>
    </row>
    <row r="887" spans="1:2" hidden="1">
      <c r="A887">
        <v>81911462</v>
      </c>
      <c r="B887" t="s">
        <v>980</v>
      </c>
    </row>
    <row r="888" spans="1:2" hidden="1">
      <c r="A888">
        <v>8917102</v>
      </c>
      <c r="B888" t="s">
        <v>981</v>
      </c>
    </row>
    <row r="889" spans="1:2" hidden="1">
      <c r="A889">
        <v>8924102</v>
      </c>
      <c r="B889" t="s">
        <v>982</v>
      </c>
    </row>
    <row r="890" spans="1:2" hidden="1">
      <c r="A890">
        <v>89341602</v>
      </c>
      <c r="B890" t="s">
        <v>983</v>
      </c>
    </row>
    <row r="891" spans="1:2" hidden="1">
      <c r="A891">
        <v>904131</v>
      </c>
      <c r="B891" t="s">
        <v>486</v>
      </c>
    </row>
    <row r="892" spans="1:2" hidden="1">
      <c r="A892">
        <v>915111130</v>
      </c>
      <c r="B892" t="s">
        <v>984</v>
      </c>
    </row>
    <row r="893" spans="1:2" hidden="1">
      <c r="A893">
        <v>915411215</v>
      </c>
      <c r="B893" t="s">
        <v>985</v>
      </c>
    </row>
    <row r="894" spans="1:2" hidden="1">
      <c r="A894">
        <v>915411415</v>
      </c>
      <c r="B894" t="s">
        <v>986</v>
      </c>
    </row>
    <row r="895" spans="1:2" hidden="1">
      <c r="A895">
        <v>94228053</v>
      </c>
      <c r="B895" t="s">
        <v>987</v>
      </c>
    </row>
    <row r="896" spans="1:2" hidden="1">
      <c r="A896">
        <v>96911402</v>
      </c>
      <c r="B896" t="s">
        <v>988</v>
      </c>
    </row>
    <row r="897" spans="1:2" hidden="1">
      <c r="A897">
        <v>9717002</v>
      </c>
      <c r="B897" t="s">
        <v>989</v>
      </c>
    </row>
    <row r="898" spans="1:2" hidden="1">
      <c r="A898">
        <v>9724002</v>
      </c>
      <c r="B898" t="s">
        <v>990</v>
      </c>
    </row>
    <row r="899" spans="1:2" hidden="1">
      <c r="A899">
        <v>97341602</v>
      </c>
      <c r="B899" t="s">
        <v>991</v>
      </c>
    </row>
    <row r="900" spans="1:2" hidden="1">
      <c r="A900" t="s">
        <v>992</v>
      </c>
      <c r="B900" t="s">
        <v>993</v>
      </c>
    </row>
    <row r="901" spans="1:2" hidden="1">
      <c r="A901" t="s">
        <v>994</v>
      </c>
      <c r="B901" t="s">
        <v>993</v>
      </c>
    </row>
    <row r="902" spans="1:2" hidden="1">
      <c r="A902" t="s">
        <v>995</v>
      </c>
      <c r="B902" t="s">
        <v>996</v>
      </c>
    </row>
    <row r="903" spans="1:2" hidden="1">
      <c r="A903">
        <v>97931802</v>
      </c>
      <c r="B903" t="s">
        <v>997</v>
      </c>
    </row>
    <row r="904" spans="1:2" hidden="1">
      <c r="A904" t="s">
        <v>998</v>
      </c>
      <c r="B904" t="s">
        <v>999</v>
      </c>
    </row>
    <row r="905" spans="1:2" hidden="1">
      <c r="A905">
        <v>99191003</v>
      </c>
      <c r="B905" t="s">
        <v>1000</v>
      </c>
    </row>
    <row r="906" spans="1:2" hidden="1">
      <c r="A906">
        <v>99191012</v>
      </c>
      <c r="B906" t="s">
        <v>1001</v>
      </c>
    </row>
    <row r="907" spans="1:2" hidden="1">
      <c r="A907" t="s">
        <v>1002</v>
      </c>
      <c r="B907" t="s">
        <v>1003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44C9-A1BC-594C-A29D-B7749EDE9A49}">
  <dimension ref="A4:S9"/>
  <sheetViews>
    <sheetView workbookViewId="0">
      <selection activeCell="L26" sqref="L26"/>
    </sheetView>
  </sheetViews>
  <sheetFormatPr baseColWidth="10" defaultRowHeight="15"/>
  <cols>
    <col min="1" max="1" width="7.33203125" customWidth="1"/>
    <col min="4" max="4" width="8.6640625" customWidth="1"/>
    <col min="5" max="5" width="14.5" bestFit="1" customWidth="1"/>
    <col min="6" max="6" width="45.1640625" customWidth="1"/>
    <col min="7" max="7" width="34.5" customWidth="1"/>
    <col min="8" max="8" width="9.83203125" customWidth="1"/>
    <col min="11" max="11" width="12.1640625" bestFit="1" customWidth="1"/>
    <col min="12" max="12" width="43.5" customWidth="1"/>
    <col min="13" max="13" width="28.6640625" customWidth="1"/>
    <col min="14" max="14" width="14.33203125" customWidth="1"/>
    <col min="16" max="16" width="30.1640625" customWidth="1"/>
    <col min="18" max="18" width="15.83203125" customWidth="1"/>
    <col min="19" max="19" width="23.33203125" customWidth="1"/>
  </cols>
  <sheetData>
    <row r="4" spans="1:19" ht="18">
      <c r="A4" s="122"/>
      <c r="B4" s="122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122"/>
      <c r="O4" s="122"/>
      <c r="P4" s="122"/>
    </row>
    <row r="5" spans="1:19" ht="18">
      <c r="A5" s="122"/>
      <c r="B5" s="122"/>
      <c r="C5" s="214" t="s">
        <v>1004</v>
      </c>
      <c r="D5" s="215"/>
      <c r="E5" s="215"/>
      <c r="F5" s="64"/>
      <c r="G5" s="215"/>
      <c r="H5" s="215"/>
      <c r="I5" s="215"/>
      <c r="J5" s="215"/>
      <c r="K5" s="215"/>
      <c r="L5" s="215"/>
      <c r="M5" s="215"/>
      <c r="N5" s="216"/>
      <c r="O5" s="216"/>
      <c r="P5" s="122"/>
    </row>
    <row r="6" spans="1:19" ht="19" thickBot="1">
      <c r="A6" s="122"/>
      <c r="B6" s="216"/>
      <c r="C6" s="217" t="s">
        <v>1</v>
      </c>
      <c r="D6" s="217"/>
      <c r="E6" s="217"/>
      <c r="F6" s="64"/>
      <c r="G6" s="63"/>
      <c r="H6" s="63"/>
      <c r="I6" s="63"/>
      <c r="J6" s="63" t="s">
        <v>1206</v>
      </c>
      <c r="K6" s="64"/>
      <c r="L6" s="218" t="s">
        <v>1721</v>
      </c>
      <c r="M6" s="63"/>
      <c r="P6" s="122"/>
    </row>
    <row r="7" spans="1:19" s="1" customFormat="1" ht="102">
      <c r="A7" s="219"/>
      <c r="B7" s="220" t="s">
        <v>1005</v>
      </c>
      <c r="C7" s="221" t="s">
        <v>1017</v>
      </c>
      <c r="D7" s="221" t="s">
        <v>30</v>
      </c>
      <c r="E7" s="222" t="s">
        <v>1207</v>
      </c>
      <c r="F7" s="221" t="s">
        <v>1208</v>
      </c>
      <c r="G7" s="221" t="s">
        <v>1209</v>
      </c>
      <c r="H7" s="220" t="s">
        <v>34</v>
      </c>
      <c r="I7" s="221" t="s">
        <v>1006</v>
      </c>
      <c r="J7" s="221" t="s">
        <v>1210</v>
      </c>
      <c r="K7" s="221" t="s">
        <v>1211</v>
      </c>
      <c r="L7" s="221" t="s">
        <v>38</v>
      </c>
      <c r="M7" s="223" t="s">
        <v>1212</v>
      </c>
      <c r="N7" s="221" t="s">
        <v>40</v>
      </c>
      <c r="O7" s="224" t="s">
        <v>41</v>
      </c>
      <c r="P7" s="221" t="s">
        <v>1213</v>
      </c>
      <c r="Q7" s="123" t="s">
        <v>43</v>
      </c>
      <c r="R7" s="106" t="s">
        <v>44</v>
      </c>
      <c r="S7" s="106" t="s">
        <v>1214</v>
      </c>
    </row>
    <row r="8" spans="1:19" s="2" customFormat="1" ht="24" customHeight="1">
      <c r="A8" s="225">
        <v>1</v>
      </c>
      <c r="B8" s="226">
        <v>45961</v>
      </c>
      <c r="C8" s="227" t="s">
        <v>1027</v>
      </c>
      <c r="D8" s="227" t="s">
        <v>24</v>
      </c>
      <c r="E8" s="228">
        <v>113120010</v>
      </c>
      <c r="F8" s="229" t="str">
        <f t="shared" ref="F8" si="0">VLOOKUP(E8,PROD,2,FALSE)</f>
        <v>GFI 97350 ECS IX 110/60 CAMPANA</v>
      </c>
      <c r="G8" s="230" t="s">
        <v>1320</v>
      </c>
      <c r="H8" s="231" t="s">
        <v>24</v>
      </c>
      <c r="I8" s="227" t="s">
        <v>25</v>
      </c>
      <c r="J8" s="232" t="s">
        <v>1007</v>
      </c>
      <c r="K8" s="233">
        <v>45961</v>
      </c>
      <c r="L8" s="234" t="s">
        <v>1321</v>
      </c>
      <c r="M8" s="234" t="s">
        <v>1322</v>
      </c>
      <c r="N8" s="235" t="s">
        <v>1323</v>
      </c>
      <c r="O8" s="236">
        <v>15</v>
      </c>
      <c r="P8" s="227" t="s">
        <v>1088</v>
      </c>
      <c r="Q8" s="237" t="s">
        <v>25</v>
      </c>
      <c r="R8" s="237">
        <v>1712049111</v>
      </c>
      <c r="S8" s="237"/>
    </row>
    <row r="9" spans="1:19">
      <c r="O9" s="87">
        <f>SUM(O8:O8)</f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189"/>
  <sheetViews>
    <sheetView topLeftCell="C152" zoomScale="110" zoomScaleNormal="110" workbookViewId="0">
      <selection activeCell="W178" sqref="W178"/>
    </sheetView>
  </sheetViews>
  <sheetFormatPr baseColWidth="10" defaultRowHeight="15"/>
  <cols>
    <col min="1" max="1" width="5.5" customWidth="1"/>
    <col min="2" max="2" width="13.6640625" customWidth="1"/>
    <col min="3" max="3" width="22.6640625" style="122" customWidth="1"/>
    <col min="4" max="4" width="34" style="122" customWidth="1"/>
    <col min="5" max="5" width="19" customWidth="1"/>
    <col min="6" max="6" width="16.33203125" customWidth="1"/>
    <col min="7" max="7" width="20.1640625" customWidth="1"/>
    <col min="8" max="8" width="47" customWidth="1"/>
    <col min="9" max="9" width="20.5" customWidth="1"/>
    <col min="10" max="10" width="20.6640625" customWidth="1"/>
    <col min="11" max="11" width="19.83203125" customWidth="1"/>
    <col min="12" max="12" width="12.83203125" customWidth="1"/>
    <col min="13" max="13" width="11" customWidth="1"/>
    <col min="14" max="14" width="10.5" customWidth="1"/>
    <col min="15" max="15" width="23.1640625" customWidth="1"/>
    <col min="17" max="17" width="14" customWidth="1"/>
    <col min="18" max="18" width="22.83203125" customWidth="1"/>
    <col min="19" max="19" width="26.5" customWidth="1"/>
    <col min="20" max="20" width="35.5" customWidth="1"/>
  </cols>
  <sheetData>
    <row r="3" spans="1:20">
      <c r="B3" s="124" t="s">
        <v>1004</v>
      </c>
      <c r="C3" s="125"/>
      <c r="D3" s="125"/>
      <c r="E3" s="125"/>
      <c r="F3" s="126"/>
      <c r="G3" s="126"/>
      <c r="H3" s="126"/>
      <c r="I3" s="126"/>
      <c r="J3" s="127"/>
      <c r="K3" s="128"/>
      <c r="L3" s="127"/>
      <c r="M3" s="129"/>
      <c r="N3" s="127"/>
      <c r="O3" s="127"/>
      <c r="P3" s="127"/>
      <c r="Q3" s="127"/>
      <c r="R3" s="127"/>
      <c r="S3" s="126"/>
      <c r="T3" s="130"/>
    </row>
    <row r="4" spans="1:20">
      <c r="B4" s="124" t="s">
        <v>1008</v>
      </c>
      <c r="C4" s="125"/>
      <c r="D4" s="125"/>
      <c r="E4" s="125"/>
      <c r="F4" s="126"/>
      <c r="G4" s="126"/>
      <c r="H4" s="126"/>
      <c r="I4" s="126"/>
      <c r="J4" s="127"/>
      <c r="K4" s="128"/>
      <c r="L4" s="127"/>
      <c r="M4" s="129"/>
      <c r="N4" s="127"/>
      <c r="O4" s="127"/>
      <c r="P4" s="127"/>
      <c r="Q4" s="127"/>
      <c r="R4" s="127"/>
      <c r="S4" s="126"/>
      <c r="T4" s="130"/>
    </row>
    <row r="5" spans="1:20">
      <c r="B5" s="124" t="s">
        <v>1722</v>
      </c>
      <c r="C5" s="125"/>
      <c r="D5" s="125"/>
      <c r="E5" s="125"/>
      <c r="F5" s="126"/>
      <c r="G5" s="126"/>
      <c r="H5" s="126"/>
      <c r="I5" s="126"/>
      <c r="J5" s="127"/>
      <c r="K5" s="128"/>
      <c r="L5" s="127"/>
      <c r="M5" s="129"/>
      <c r="N5" s="127"/>
      <c r="O5" s="127"/>
      <c r="P5" s="127"/>
      <c r="Q5" s="127"/>
      <c r="R5" s="127"/>
      <c r="S5" s="126"/>
      <c r="T5" s="130"/>
    </row>
    <row r="6" spans="1:20" s="1" customFormat="1" ht="51">
      <c r="B6" s="123" t="s">
        <v>1009</v>
      </c>
      <c r="C6" s="149" t="s">
        <v>1010</v>
      </c>
      <c r="D6" s="149" t="s">
        <v>1011</v>
      </c>
      <c r="E6" s="123" t="s">
        <v>1012</v>
      </c>
      <c r="F6" s="123" t="s">
        <v>1013</v>
      </c>
      <c r="G6" s="131" t="s">
        <v>1014</v>
      </c>
      <c r="H6" s="123" t="s">
        <v>1015</v>
      </c>
      <c r="I6" s="123" t="s">
        <v>1016</v>
      </c>
      <c r="J6" s="123" t="s">
        <v>1017</v>
      </c>
      <c r="K6" s="123" t="s">
        <v>1005</v>
      </c>
      <c r="L6" s="123" t="s">
        <v>1006</v>
      </c>
      <c r="M6" s="132" t="s">
        <v>1018</v>
      </c>
      <c r="N6" s="132" t="s">
        <v>1019</v>
      </c>
      <c r="O6" s="123" t="s">
        <v>1020</v>
      </c>
      <c r="P6" s="133" t="s">
        <v>1021</v>
      </c>
      <c r="Q6" s="123" t="s">
        <v>1022</v>
      </c>
      <c r="R6" s="123" t="s">
        <v>1023</v>
      </c>
      <c r="S6" s="123" t="s">
        <v>1024</v>
      </c>
      <c r="T6" s="123" t="s">
        <v>1025</v>
      </c>
    </row>
    <row r="7" spans="1:20" ht="19">
      <c r="A7">
        <v>1</v>
      </c>
      <c r="B7" s="152">
        <v>45950</v>
      </c>
      <c r="C7" s="135" t="s">
        <v>1116</v>
      </c>
      <c r="D7" s="135" t="s">
        <v>1117</v>
      </c>
      <c r="E7" s="140">
        <v>991406660</v>
      </c>
      <c r="F7" t="s">
        <v>1703</v>
      </c>
      <c r="G7" s="136">
        <v>40782128</v>
      </c>
      <c r="H7" s="137" t="str">
        <f t="shared" ref="H7:H39" si="0">VLOOKUP(G7,PROD,2,FALSE)</f>
        <v>DW8 57 FIM-D LAVAVAJILLAS</v>
      </c>
      <c r="I7" t="s">
        <v>1704</v>
      </c>
      <c r="J7" s="135" t="s">
        <v>1067</v>
      </c>
      <c r="K7" s="135">
        <v>45899</v>
      </c>
      <c r="L7" s="250" t="s">
        <v>25</v>
      </c>
      <c r="M7" s="251" t="s">
        <v>24</v>
      </c>
      <c r="N7" s="251" t="s">
        <v>24</v>
      </c>
      <c r="O7" s="252" t="s">
        <v>1115</v>
      </c>
      <c r="Q7" s="332">
        <f>B7-1</f>
        <v>45949</v>
      </c>
      <c r="R7" s="333" t="s">
        <v>1119</v>
      </c>
      <c r="S7" s="334" t="s">
        <v>1118</v>
      </c>
      <c r="T7" s="159" t="s">
        <v>1705</v>
      </c>
    </row>
    <row r="8" spans="1:20" ht="19">
      <c r="A8">
        <v>2</v>
      </c>
      <c r="B8" s="152">
        <v>45950</v>
      </c>
      <c r="C8" s="135" t="s">
        <v>1122</v>
      </c>
      <c r="D8" s="135" t="s">
        <v>1123</v>
      </c>
      <c r="E8" s="140">
        <v>74090000</v>
      </c>
      <c r="F8" t="s">
        <v>1703</v>
      </c>
      <c r="G8" s="136">
        <v>40484204</v>
      </c>
      <c r="H8" s="137" t="str">
        <f t="shared" si="0"/>
        <v>DSH 985 INOX CAMPANA (110V-60HZ) C/KIT</v>
      </c>
      <c r="I8" t="s">
        <v>1704</v>
      </c>
      <c r="J8" s="135" t="s">
        <v>1033</v>
      </c>
      <c r="K8" s="135">
        <v>45931</v>
      </c>
      <c r="L8" s="250" t="s">
        <v>25</v>
      </c>
      <c r="M8" s="251" t="s">
        <v>24</v>
      </c>
      <c r="N8" s="251" t="s">
        <v>24</v>
      </c>
      <c r="O8" s="252" t="s">
        <v>1121</v>
      </c>
      <c r="Q8" s="332">
        <f t="shared" ref="Q8:Q73" si="1">B8-1</f>
        <v>45949</v>
      </c>
      <c r="R8" s="333" t="s">
        <v>1125</v>
      </c>
      <c r="S8" s="334" t="s">
        <v>1124</v>
      </c>
      <c r="T8" s="159" t="s">
        <v>1705</v>
      </c>
    </row>
    <row r="9" spans="1:20" ht="19">
      <c r="A9">
        <v>3</v>
      </c>
      <c r="B9" s="152">
        <v>45950</v>
      </c>
      <c r="C9" s="135" t="s">
        <v>1129</v>
      </c>
      <c r="D9" s="135" t="s">
        <v>1130</v>
      </c>
      <c r="E9" s="140">
        <v>996123320</v>
      </c>
      <c r="F9" t="s">
        <v>1703</v>
      </c>
      <c r="G9" s="136">
        <v>40584202</v>
      </c>
      <c r="H9" s="137" t="str">
        <f t="shared" si="0"/>
        <v>ML 820 BIS - MICROONDAS</v>
      </c>
      <c r="I9" t="s">
        <v>1704</v>
      </c>
      <c r="J9" s="135" t="s">
        <v>1126</v>
      </c>
      <c r="K9" s="135">
        <v>45919</v>
      </c>
      <c r="L9" s="250" t="s">
        <v>25</v>
      </c>
      <c r="M9" s="251" t="s">
        <v>24</v>
      </c>
      <c r="N9" s="251" t="s">
        <v>24</v>
      </c>
      <c r="O9" s="252" t="s">
        <v>1128</v>
      </c>
      <c r="Q9" s="332">
        <f t="shared" si="1"/>
        <v>45949</v>
      </c>
      <c r="R9" s="333" t="s">
        <v>1132</v>
      </c>
      <c r="S9" s="334" t="s">
        <v>1131</v>
      </c>
      <c r="T9" s="159" t="s">
        <v>1705</v>
      </c>
    </row>
    <row r="10" spans="1:20" ht="19">
      <c r="A10">
        <v>4</v>
      </c>
      <c r="B10" s="253">
        <v>45950</v>
      </c>
      <c r="C10" s="254" t="s">
        <v>1086</v>
      </c>
      <c r="D10" s="254" t="s">
        <v>1087</v>
      </c>
      <c r="E10" s="255">
        <v>963517484</v>
      </c>
      <c r="F10" t="s">
        <v>1703</v>
      </c>
      <c r="G10" s="256">
        <v>111570002</v>
      </c>
      <c r="H10" s="137" t="str">
        <f t="shared" si="0"/>
        <v>COCINA GOURMET BBQ 3100 G BK-SS</v>
      </c>
      <c r="I10" t="s">
        <v>1704</v>
      </c>
      <c r="J10" s="254" t="s">
        <v>1027</v>
      </c>
      <c r="K10" s="257">
        <v>45950</v>
      </c>
      <c r="L10" s="250" t="s">
        <v>25</v>
      </c>
      <c r="M10" s="251" t="s">
        <v>24</v>
      </c>
      <c r="N10" s="251" t="s">
        <v>24</v>
      </c>
      <c r="O10" s="258" t="s">
        <v>1082</v>
      </c>
      <c r="Q10" s="332">
        <f t="shared" si="1"/>
        <v>45949</v>
      </c>
      <c r="R10" s="335" t="s">
        <v>1090</v>
      </c>
      <c r="S10" s="336" t="s">
        <v>1089</v>
      </c>
      <c r="T10" s="159" t="s">
        <v>1705</v>
      </c>
    </row>
    <row r="11" spans="1:20" ht="19">
      <c r="A11">
        <v>5</v>
      </c>
      <c r="B11" s="253">
        <v>45950</v>
      </c>
      <c r="C11" s="259" t="s">
        <v>1086</v>
      </c>
      <c r="D11" s="259" t="s">
        <v>1087</v>
      </c>
      <c r="E11" s="260">
        <v>963517484</v>
      </c>
      <c r="F11" t="s">
        <v>1703</v>
      </c>
      <c r="G11" s="256">
        <v>111570002</v>
      </c>
      <c r="H11" s="137" t="str">
        <f t="shared" si="0"/>
        <v>COCINA GOURMET BBQ 3100 G BK-SS</v>
      </c>
      <c r="I11" t="s">
        <v>1704</v>
      </c>
      <c r="J11" s="259" t="s">
        <v>1027</v>
      </c>
      <c r="K11" s="257">
        <v>45950</v>
      </c>
      <c r="L11" s="250" t="s">
        <v>25</v>
      </c>
      <c r="M11" s="251" t="s">
        <v>24</v>
      </c>
      <c r="N11" s="251" t="s">
        <v>24</v>
      </c>
      <c r="O11" s="258" t="s">
        <v>1083</v>
      </c>
      <c r="Q11" s="332">
        <f t="shared" si="1"/>
        <v>45949</v>
      </c>
      <c r="R11" s="335" t="s">
        <v>1090</v>
      </c>
      <c r="S11" s="336" t="s">
        <v>1089</v>
      </c>
      <c r="T11" s="159" t="s">
        <v>1705</v>
      </c>
    </row>
    <row r="12" spans="1:20" ht="19">
      <c r="A12">
        <v>6</v>
      </c>
      <c r="B12" s="253">
        <v>45950</v>
      </c>
      <c r="C12" s="259" t="s">
        <v>1086</v>
      </c>
      <c r="D12" s="259" t="s">
        <v>1087</v>
      </c>
      <c r="E12" s="260">
        <v>963517484</v>
      </c>
      <c r="F12" t="s">
        <v>1703</v>
      </c>
      <c r="G12" s="261">
        <v>111570003</v>
      </c>
      <c r="H12" s="137" t="str">
        <f t="shared" si="0"/>
        <v>COCINA GOURMET BBQ 4100 G SS</v>
      </c>
      <c r="I12" t="s">
        <v>1704</v>
      </c>
      <c r="J12" s="259" t="s">
        <v>1027</v>
      </c>
      <c r="K12" s="257">
        <v>45950</v>
      </c>
      <c r="L12" s="250" t="s">
        <v>25</v>
      </c>
      <c r="M12" s="251" t="s">
        <v>24</v>
      </c>
      <c r="N12" s="251" t="s">
        <v>24</v>
      </c>
      <c r="O12" s="258" t="s">
        <v>1084</v>
      </c>
      <c r="Q12" s="332">
        <f t="shared" si="1"/>
        <v>45949</v>
      </c>
      <c r="R12" s="335" t="s">
        <v>1090</v>
      </c>
      <c r="S12" s="336" t="s">
        <v>1089</v>
      </c>
      <c r="T12" s="159" t="s">
        <v>1705</v>
      </c>
    </row>
    <row r="13" spans="1:20" ht="19">
      <c r="A13">
        <v>7</v>
      </c>
      <c r="B13" s="253">
        <v>45950</v>
      </c>
      <c r="C13" s="259" t="s">
        <v>1086</v>
      </c>
      <c r="D13" s="259" t="s">
        <v>1087</v>
      </c>
      <c r="E13" s="260">
        <v>963517484</v>
      </c>
      <c r="F13" t="s">
        <v>1703</v>
      </c>
      <c r="G13" s="256">
        <v>111570003</v>
      </c>
      <c r="H13" s="137" t="str">
        <f t="shared" si="0"/>
        <v>COCINA GOURMET BBQ 4100 G SS</v>
      </c>
      <c r="I13" t="s">
        <v>1704</v>
      </c>
      <c r="J13" s="259" t="s">
        <v>1027</v>
      </c>
      <c r="K13" s="257">
        <v>45950</v>
      </c>
      <c r="L13" s="250" t="s">
        <v>25</v>
      </c>
      <c r="M13" s="251" t="s">
        <v>24</v>
      </c>
      <c r="N13" s="251" t="s">
        <v>24</v>
      </c>
      <c r="O13" s="258" t="s">
        <v>1085</v>
      </c>
      <c r="Q13" s="332">
        <f t="shared" si="1"/>
        <v>45949</v>
      </c>
      <c r="R13" s="335" t="s">
        <v>1090</v>
      </c>
      <c r="S13" s="336" t="s">
        <v>1089</v>
      </c>
      <c r="T13" s="159" t="s">
        <v>1705</v>
      </c>
    </row>
    <row r="14" spans="1:20" ht="19">
      <c r="A14">
        <v>8</v>
      </c>
      <c r="B14" s="152">
        <v>45951</v>
      </c>
      <c r="C14" s="252" t="s">
        <v>1135</v>
      </c>
      <c r="D14" s="252" t="s">
        <v>1136</v>
      </c>
      <c r="E14" s="262">
        <v>984124946</v>
      </c>
      <c r="F14" t="s">
        <v>1703</v>
      </c>
      <c r="G14" s="198">
        <v>114270008</v>
      </c>
      <c r="H14" s="137" t="str">
        <f t="shared" si="0"/>
        <v>LAVAVAJILLAS DFI 46900 120 60 WH</v>
      </c>
      <c r="I14" t="s">
        <v>1704</v>
      </c>
      <c r="J14" s="252" t="s">
        <v>1067</v>
      </c>
      <c r="K14" s="135">
        <v>45872</v>
      </c>
      <c r="L14" s="250" t="s">
        <v>25</v>
      </c>
      <c r="M14" s="251" t="s">
        <v>24</v>
      </c>
      <c r="N14" s="251" t="s">
        <v>24</v>
      </c>
      <c r="O14" s="252" t="s">
        <v>1134</v>
      </c>
      <c r="Q14" s="332">
        <f t="shared" si="1"/>
        <v>45950</v>
      </c>
      <c r="R14" s="333" t="s">
        <v>1138</v>
      </c>
      <c r="S14" s="334" t="s">
        <v>1137</v>
      </c>
      <c r="T14" s="159" t="s">
        <v>1705</v>
      </c>
    </row>
    <row r="15" spans="1:20" ht="19">
      <c r="A15">
        <v>9</v>
      </c>
      <c r="B15" s="152">
        <v>45951</v>
      </c>
      <c r="C15" s="252" t="s">
        <v>1141</v>
      </c>
      <c r="D15" s="252" t="s">
        <v>1142</v>
      </c>
      <c r="E15" s="262">
        <v>997439434</v>
      </c>
      <c r="F15" t="s">
        <v>1703</v>
      </c>
      <c r="G15" s="198">
        <v>114270008</v>
      </c>
      <c r="H15" s="137" t="str">
        <f t="shared" si="0"/>
        <v>LAVAVAJILLAS DFI 46900 120 60 WH</v>
      </c>
      <c r="I15" t="s">
        <v>1704</v>
      </c>
      <c r="J15" s="252" t="s">
        <v>1033</v>
      </c>
      <c r="K15" s="153">
        <v>45919</v>
      </c>
      <c r="L15" s="250" t="s">
        <v>25</v>
      </c>
      <c r="M15" s="251" t="s">
        <v>24</v>
      </c>
      <c r="N15" s="251" t="s">
        <v>24</v>
      </c>
      <c r="O15" s="252" t="s">
        <v>1140</v>
      </c>
      <c r="Q15" s="332">
        <f t="shared" si="1"/>
        <v>45950</v>
      </c>
      <c r="R15" s="333" t="s">
        <v>1144</v>
      </c>
      <c r="S15" s="334" t="s">
        <v>1143</v>
      </c>
      <c r="T15" s="159" t="s">
        <v>1705</v>
      </c>
    </row>
    <row r="16" spans="1:20" ht="19">
      <c r="A16">
        <v>10</v>
      </c>
      <c r="B16" s="253">
        <v>45951</v>
      </c>
      <c r="C16" s="259" t="s">
        <v>1032</v>
      </c>
      <c r="D16" s="259" t="s">
        <v>1093</v>
      </c>
      <c r="E16" s="260">
        <v>986118566</v>
      </c>
      <c r="F16" t="s">
        <v>1703</v>
      </c>
      <c r="G16" s="256">
        <v>111570003</v>
      </c>
      <c r="H16" s="137" t="str">
        <f t="shared" si="0"/>
        <v>COCINA GOURMET BBQ 4100 G SS</v>
      </c>
      <c r="I16" t="s">
        <v>1704</v>
      </c>
      <c r="J16" s="259" t="s">
        <v>1032</v>
      </c>
      <c r="K16" s="263">
        <v>45938</v>
      </c>
      <c r="L16" s="250" t="s">
        <v>25</v>
      </c>
      <c r="M16" s="251" t="s">
        <v>24</v>
      </c>
      <c r="N16" s="251" t="s">
        <v>24</v>
      </c>
      <c r="O16" s="258" t="s">
        <v>1092</v>
      </c>
      <c r="Q16" s="332">
        <f t="shared" si="1"/>
        <v>45950</v>
      </c>
      <c r="R16" s="337" t="s">
        <v>1095</v>
      </c>
      <c r="S16" s="338" t="s">
        <v>1094</v>
      </c>
      <c r="T16" s="159" t="s">
        <v>1705</v>
      </c>
    </row>
    <row r="17" spans="1:20" ht="19">
      <c r="A17">
        <v>11</v>
      </c>
      <c r="B17" s="253">
        <v>45951</v>
      </c>
      <c r="C17" s="259" t="s">
        <v>1748</v>
      </c>
      <c r="D17" s="259" t="s">
        <v>1773</v>
      </c>
      <c r="E17" s="260">
        <v>984272334</v>
      </c>
      <c r="F17" t="s">
        <v>1707</v>
      </c>
      <c r="G17" s="256">
        <v>112500047</v>
      </c>
      <c r="H17" s="137" t="str">
        <f t="shared" si="0"/>
        <v>IZF 99700 MST COCINA INDUCCION</v>
      </c>
      <c r="I17" t="s">
        <v>1708</v>
      </c>
      <c r="J17" s="259" t="s">
        <v>1241</v>
      </c>
      <c r="K17" s="263">
        <v>45741</v>
      </c>
      <c r="L17" s="250" t="s">
        <v>25</v>
      </c>
      <c r="M17" s="251" t="s">
        <v>24</v>
      </c>
      <c r="N17" s="251" t="s">
        <v>24</v>
      </c>
      <c r="O17" s="258" t="s">
        <v>1747</v>
      </c>
      <c r="Q17" s="332">
        <f t="shared" si="1"/>
        <v>45950</v>
      </c>
      <c r="R17" s="375" t="s">
        <v>1751</v>
      </c>
      <c r="S17" s="338" t="s">
        <v>1750</v>
      </c>
      <c r="T17" s="159" t="s">
        <v>1774</v>
      </c>
    </row>
    <row r="18" spans="1:20" ht="19">
      <c r="A18">
        <v>12</v>
      </c>
      <c r="B18" s="253">
        <v>45951</v>
      </c>
      <c r="C18" s="259" t="s">
        <v>1099</v>
      </c>
      <c r="D18" s="259" t="s">
        <v>1100</v>
      </c>
      <c r="E18" s="260">
        <v>999753668</v>
      </c>
      <c r="F18" t="s">
        <v>1703</v>
      </c>
      <c r="G18" s="256">
        <v>111570002</v>
      </c>
      <c r="H18" s="137" t="str">
        <f t="shared" ref="H18" si="2">VLOOKUP(G18,PROD,2,FALSE)</f>
        <v>COCINA GOURMET BBQ 3100 G BK-SS</v>
      </c>
      <c r="I18" t="s">
        <v>1704</v>
      </c>
      <c r="J18" s="259" t="s">
        <v>1033</v>
      </c>
      <c r="K18" s="263">
        <v>45941</v>
      </c>
      <c r="L18" s="250" t="s">
        <v>25</v>
      </c>
      <c r="M18" s="251" t="s">
        <v>24</v>
      </c>
      <c r="N18" s="251" t="s">
        <v>24</v>
      </c>
      <c r="O18" s="258" t="s">
        <v>1097</v>
      </c>
      <c r="Q18" s="332">
        <f t="shared" ref="Q18" si="3">B18-1</f>
        <v>45950</v>
      </c>
      <c r="R18" s="337" t="s">
        <v>1102</v>
      </c>
      <c r="S18" s="338" t="s">
        <v>1101</v>
      </c>
      <c r="T18" s="159" t="s">
        <v>1705</v>
      </c>
    </row>
    <row r="19" spans="1:20" ht="19">
      <c r="A19">
        <v>13</v>
      </c>
      <c r="B19" s="152">
        <v>45952</v>
      </c>
      <c r="C19" s="252" t="s">
        <v>1147</v>
      </c>
      <c r="D19" s="252" t="s">
        <v>1148</v>
      </c>
      <c r="E19" s="262">
        <v>994509861</v>
      </c>
      <c r="F19" t="s">
        <v>1703</v>
      </c>
      <c r="G19" s="198">
        <v>111000051</v>
      </c>
      <c r="H19" s="137" t="str">
        <f t="shared" si="0"/>
        <v>HLB 8416 "AIR FRY" - HORNO ELEC</v>
      </c>
      <c r="I19" t="s">
        <v>1704</v>
      </c>
      <c r="J19" s="252" t="s">
        <v>1033</v>
      </c>
      <c r="K19" s="153">
        <v>45472</v>
      </c>
      <c r="L19" s="250" t="s">
        <v>25</v>
      </c>
      <c r="M19" s="251" t="s">
        <v>24</v>
      </c>
      <c r="N19" s="251" t="s">
        <v>24</v>
      </c>
      <c r="O19" s="252" t="s">
        <v>1146</v>
      </c>
      <c r="Q19" s="332">
        <f t="shared" si="1"/>
        <v>45951</v>
      </c>
      <c r="R19" s="333" t="s">
        <v>1150</v>
      </c>
      <c r="S19" s="334" t="s">
        <v>1149</v>
      </c>
      <c r="T19" s="159" t="s">
        <v>1705</v>
      </c>
    </row>
    <row r="20" spans="1:20" ht="19">
      <c r="A20">
        <v>14</v>
      </c>
      <c r="B20" s="253">
        <v>45952</v>
      </c>
      <c r="C20" s="259" t="s">
        <v>1104</v>
      </c>
      <c r="D20" s="259" t="s">
        <v>1105</v>
      </c>
      <c r="E20" s="260">
        <v>74114427</v>
      </c>
      <c r="F20" t="s">
        <v>1703</v>
      </c>
      <c r="G20" s="256">
        <v>111570002</v>
      </c>
      <c r="H20" s="137" t="str">
        <f t="shared" si="0"/>
        <v>COCINA GOURMET BBQ 3100 G BK-SS</v>
      </c>
      <c r="I20" t="s">
        <v>1704</v>
      </c>
      <c r="J20" s="259" t="s">
        <v>1027</v>
      </c>
      <c r="K20" s="263">
        <v>45952</v>
      </c>
      <c r="L20" s="250" t="s">
        <v>25</v>
      </c>
      <c r="M20" s="251" t="s">
        <v>24</v>
      </c>
      <c r="N20" s="251" t="s">
        <v>24</v>
      </c>
      <c r="O20" s="258" t="s">
        <v>1103</v>
      </c>
      <c r="Q20" s="332">
        <f t="shared" si="1"/>
        <v>45951</v>
      </c>
      <c r="R20" s="337" t="s">
        <v>1107</v>
      </c>
      <c r="S20" s="338" t="s">
        <v>1106</v>
      </c>
      <c r="T20" s="159" t="s">
        <v>1705</v>
      </c>
    </row>
    <row r="21" spans="1:20" ht="19">
      <c r="A21">
        <v>15</v>
      </c>
      <c r="B21" s="197">
        <v>45953</v>
      </c>
      <c r="C21" s="252" t="s">
        <v>1038</v>
      </c>
      <c r="D21" s="252" t="s">
        <v>1039</v>
      </c>
      <c r="E21" s="262">
        <v>997270444</v>
      </c>
      <c r="F21" t="s">
        <v>1703</v>
      </c>
      <c r="G21" s="198">
        <v>112580027</v>
      </c>
      <c r="H21" s="137" t="str">
        <f t="shared" si="0"/>
        <v>GBC 75030 KBB CRISTAL COCINA GAS</v>
      </c>
      <c r="I21" t="s">
        <v>1704</v>
      </c>
      <c r="J21" s="252" t="s">
        <v>1032</v>
      </c>
      <c r="K21" s="153">
        <v>45854</v>
      </c>
      <c r="L21" s="250" t="s">
        <v>25</v>
      </c>
      <c r="M21" s="251" t="s">
        <v>24</v>
      </c>
      <c r="N21" s="251" t="s">
        <v>24</v>
      </c>
      <c r="O21" s="138" t="s">
        <v>1036</v>
      </c>
      <c r="Q21" s="332">
        <f t="shared" si="1"/>
        <v>45952</v>
      </c>
      <c r="R21" s="339" t="s">
        <v>1041</v>
      </c>
      <c r="S21" s="340" t="s">
        <v>1040</v>
      </c>
      <c r="T21" s="159" t="s">
        <v>1705</v>
      </c>
    </row>
    <row r="22" spans="1:20" ht="19">
      <c r="A22">
        <v>16</v>
      </c>
      <c r="B22" s="197">
        <v>45953</v>
      </c>
      <c r="C22" s="252" t="s">
        <v>1038</v>
      </c>
      <c r="D22" s="252" t="s">
        <v>1039</v>
      </c>
      <c r="E22" s="262">
        <v>997270444</v>
      </c>
      <c r="F22" t="s">
        <v>1703</v>
      </c>
      <c r="G22" s="198">
        <v>40483182</v>
      </c>
      <c r="H22" s="137" t="str">
        <f t="shared" si="0"/>
        <v>CUERPO DPL ISLA 1180</v>
      </c>
      <c r="I22" t="s">
        <v>1704</v>
      </c>
      <c r="J22" s="252" t="s">
        <v>1033</v>
      </c>
      <c r="K22" s="153">
        <v>45678</v>
      </c>
      <c r="L22" s="250" t="s">
        <v>25</v>
      </c>
      <c r="M22" s="251" t="s">
        <v>24</v>
      </c>
      <c r="N22" s="251" t="s">
        <v>24</v>
      </c>
      <c r="O22" s="138" t="s">
        <v>1037</v>
      </c>
      <c r="Q22" s="332">
        <f t="shared" si="1"/>
        <v>45952</v>
      </c>
      <c r="R22" s="339" t="s">
        <v>1041</v>
      </c>
      <c r="S22" s="340" t="s">
        <v>1040</v>
      </c>
      <c r="T22" s="159" t="s">
        <v>1705</v>
      </c>
    </row>
    <row r="23" spans="1:20" ht="19">
      <c r="A23">
        <v>17</v>
      </c>
      <c r="B23" s="197">
        <v>45953</v>
      </c>
      <c r="C23" s="252" t="s">
        <v>1045</v>
      </c>
      <c r="D23" s="252" t="s">
        <v>1046</v>
      </c>
      <c r="E23" s="262">
        <v>991381982</v>
      </c>
      <c r="F23" t="s">
        <v>1703</v>
      </c>
      <c r="G23" s="198">
        <v>112610067</v>
      </c>
      <c r="H23" s="137" t="str">
        <f t="shared" si="0"/>
        <v>GSC 96320 XBA IX (LAT) COCINA INOX</v>
      </c>
      <c r="I23" t="s">
        <v>1704</v>
      </c>
      <c r="J23" s="252" t="s">
        <v>1032</v>
      </c>
      <c r="K23" s="153">
        <v>45874</v>
      </c>
      <c r="L23" s="250" t="s">
        <v>25</v>
      </c>
      <c r="M23" s="251" t="s">
        <v>24</v>
      </c>
      <c r="N23" s="251" t="s">
        <v>24</v>
      </c>
      <c r="O23" s="138" t="s">
        <v>1043</v>
      </c>
      <c r="Q23" s="332">
        <f t="shared" si="1"/>
        <v>45952</v>
      </c>
      <c r="R23" s="339" t="s">
        <v>1048</v>
      </c>
      <c r="S23" s="340" t="s">
        <v>1047</v>
      </c>
      <c r="T23" s="159" t="s">
        <v>1705</v>
      </c>
    </row>
    <row r="24" spans="1:20" ht="19">
      <c r="A24">
        <v>18</v>
      </c>
      <c r="B24" s="197">
        <v>45953</v>
      </c>
      <c r="C24" s="252" t="s">
        <v>1045</v>
      </c>
      <c r="D24" s="252" t="s">
        <v>1046</v>
      </c>
      <c r="E24" s="262">
        <v>991381982</v>
      </c>
      <c r="F24" t="s">
        <v>1703</v>
      </c>
      <c r="G24" s="139">
        <v>40590830</v>
      </c>
      <c r="H24" s="137" t="str">
        <f t="shared" si="0"/>
        <v>MWG 11X - MICROONDAS</v>
      </c>
      <c r="I24" t="s">
        <v>1704</v>
      </c>
      <c r="J24" s="252" t="s">
        <v>1032</v>
      </c>
      <c r="K24" s="153">
        <v>45874</v>
      </c>
      <c r="L24" s="250" t="s">
        <v>25</v>
      </c>
      <c r="M24" s="251" t="s">
        <v>24</v>
      </c>
      <c r="N24" s="251" t="s">
        <v>24</v>
      </c>
      <c r="O24" s="138" t="s">
        <v>1044</v>
      </c>
      <c r="Q24" s="332">
        <f t="shared" si="1"/>
        <v>45952</v>
      </c>
      <c r="R24" s="339" t="s">
        <v>1048</v>
      </c>
      <c r="S24" s="340" t="s">
        <v>1047</v>
      </c>
      <c r="T24" s="159" t="s">
        <v>1705</v>
      </c>
    </row>
    <row r="25" spans="1:20" ht="19">
      <c r="A25">
        <v>19</v>
      </c>
      <c r="B25" s="197">
        <v>45953</v>
      </c>
      <c r="C25" s="144" t="s">
        <v>1054</v>
      </c>
      <c r="D25" s="144" t="s">
        <v>1055</v>
      </c>
      <c r="E25" s="138">
        <v>995437662</v>
      </c>
      <c r="F25" t="s">
        <v>1703</v>
      </c>
      <c r="G25" s="139">
        <v>112030019</v>
      </c>
      <c r="H25" s="137" t="str">
        <f t="shared" si="0"/>
        <v>ML 8220 BIS FBK- MICROONDAS</v>
      </c>
      <c r="I25" t="s">
        <v>1704</v>
      </c>
      <c r="J25" s="138" t="s">
        <v>1032</v>
      </c>
      <c r="K25" s="153">
        <v>45853</v>
      </c>
      <c r="L25" s="250" t="s">
        <v>25</v>
      </c>
      <c r="M25" s="251" t="s">
        <v>24</v>
      </c>
      <c r="N25" s="251" t="s">
        <v>24</v>
      </c>
      <c r="O25" s="138" t="s">
        <v>1050</v>
      </c>
      <c r="Q25" s="332">
        <f t="shared" si="1"/>
        <v>45952</v>
      </c>
      <c r="R25" s="339" t="s">
        <v>1057</v>
      </c>
      <c r="S25" s="340" t="s">
        <v>1056</v>
      </c>
      <c r="T25" s="159" t="s">
        <v>1705</v>
      </c>
    </row>
    <row r="26" spans="1:20" ht="19">
      <c r="A26">
        <v>20</v>
      </c>
      <c r="B26" s="197">
        <v>45953</v>
      </c>
      <c r="C26" s="144" t="s">
        <v>1054</v>
      </c>
      <c r="D26" s="144" t="s">
        <v>1055</v>
      </c>
      <c r="E26" s="138">
        <v>995437662</v>
      </c>
      <c r="F26" t="s">
        <v>1703</v>
      </c>
      <c r="G26" s="198">
        <v>111000059</v>
      </c>
      <c r="H26" s="137" t="str">
        <f t="shared" si="0"/>
        <v>HLB 85-G1 P BM Maestro Pizza</v>
      </c>
      <c r="I26" t="s">
        <v>1704</v>
      </c>
      <c r="J26" s="138" t="s">
        <v>1032</v>
      </c>
      <c r="K26" s="153">
        <v>45853</v>
      </c>
      <c r="L26" s="250" t="s">
        <v>25</v>
      </c>
      <c r="M26" s="251" t="s">
        <v>24</v>
      </c>
      <c r="N26" s="251" t="s">
        <v>24</v>
      </c>
      <c r="O26" s="138" t="s">
        <v>1051</v>
      </c>
      <c r="Q26" s="332">
        <f t="shared" si="1"/>
        <v>45952</v>
      </c>
      <c r="R26" s="339" t="s">
        <v>1057</v>
      </c>
      <c r="S26" s="340" t="s">
        <v>1056</v>
      </c>
      <c r="T26" s="159" t="s">
        <v>1705</v>
      </c>
    </row>
    <row r="27" spans="1:20" ht="19">
      <c r="A27">
        <v>21</v>
      </c>
      <c r="B27" s="197">
        <v>45953</v>
      </c>
      <c r="C27" s="144" t="s">
        <v>1054</v>
      </c>
      <c r="D27" s="144" t="s">
        <v>1055</v>
      </c>
      <c r="E27" s="138">
        <v>995437662</v>
      </c>
      <c r="F27" t="s">
        <v>1703</v>
      </c>
      <c r="G27" s="139">
        <v>40446712</v>
      </c>
      <c r="H27" s="137" t="str">
        <f t="shared" si="0"/>
        <v>GFH 73 INOX CAMPANA (110V-60HZ) C/KIT</v>
      </c>
      <c r="I27" t="s">
        <v>1704</v>
      </c>
      <c r="J27" s="138" t="s">
        <v>1032</v>
      </c>
      <c r="K27" s="153">
        <v>45853</v>
      </c>
      <c r="L27" s="250" t="s">
        <v>25</v>
      </c>
      <c r="M27" s="251" t="s">
        <v>24</v>
      </c>
      <c r="N27" s="251" t="s">
        <v>24</v>
      </c>
      <c r="O27" s="138" t="s">
        <v>1052</v>
      </c>
      <c r="Q27" s="332">
        <f t="shared" si="1"/>
        <v>45952</v>
      </c>
      <c r="R27" s="339" t="s">
        <v>1057</v>
      </c>
      <c r="S27" s="340" t="s">
        <v>1056</v>
      </c>
      <c r="T27" s="159" t="s">
        <v>1705</v>
      </c>
    </row>
    <row r="28" spans="1:20" ht="19">
      <c r="A28">
        <v>22</v>
      </c>
      <c r="B28" s="197">
        <v>45953</v>
      </c>
      <c r="C28" s="144" t="s">
        <v>1054</v>
      </c>
      <c r="D28" s="144" t="s">
        <v>1055</v>
      </c>
      <c r="E28" s="138">
        <v>995437662</v>
      </c>
      <c r="F28" t="s">
        <v>1703</v>
      </c>
      <c r="G28" s="139">
        <v>112580058</v>
      </c>
      <c r="H28" s="137" t="str">
        <f t="shared" si="0"/>
        <v>GBC 95030 KBB BK COCINA GAS</v>
      </c>
      <c r="I28" t="s">
        <v>1704</v>
      </c>
      <c r="J28" s="138" t="s">
        <v>1032</v>
      </c>
      <c r="K28" s="153">
        <v>45853</v>
      </c>
      <c r="L28" s="250" t="s">
        <v>25</v>
      </c>
      <c r="M28" s="251" t="s">
        <v>24</v>
      </c>
      <c r="N28" s="251" t="s">
        <v>24</v>
      </c>
      <c r="O28" s="138" t="s">
        <v>1053</v>
      </c>
      <c r="Q28" s="332">
        <f t="shared" si="1"/>
        <v>45952</v>
      </c>
      <c r="R28" s="339" t="s">
        <v>1057</v>
      </c>
      <c r="S28" s="340" t="s">
        <v>1056</v>
      </c>
      <c r="T28" s="159" t="s">
        <v>1705</v>
      </c>
    </row>
    <row r="29" spans="1:20" ht="19">
      <c r="A29">
        <v>23</v>
      </c>
      <c r="B29" s="197">
        <v>45953</v>
      </c>
      <c r="C29" s="144" t="s">
        <v>1062</v>
      </c>
      <c r="D29" s="144" t="s">
        <v>1063</v>
      </c>
      <c r="E29" s="138">
        <v>987688969</v>
      </c>
      <c r="F29" t="s">
        <v>1703</v>
      </c>
      <c r="G29" s="139">
        <v>111000051</v>
      </c>
      <c r="H29" s="137" t="str">
        <f t="shared" si="0"/>
        <v>HLB 8416 "AIR FRY" - HORNO ELEC</v>
      </c>
      <c r="I29" t="s">
        <v>1704</v>
      </c>
      <c r="J29" s="138" t="s">
        <v>1033</v>
      </c>
      <c r="K29" s="153">
        <v>45884</v>
      </c>
      <c r="L29" s="250" t="s">
        <v>25</v>
      </c>
      <c r="M29" s="251" t="s">
        <v>24</v>
      </c>
      <c r="N29" s="251" t="s">
        <v>24</v>
      </c>
      <c r="O29" s="138" t="s">
        <v>1059</v>
      </c>
      <c r="Q29" s="332">
        <f t="shared" si="1"/>
        <v>45952</v>
      </c>
      <c r="R29" s="339" t="s">
        <v>1065</v>
      </c>
      <c r="S29" s="340" t="s">
        <v>1064</v>
      </c>
      <c r="T29" s="159" t="s">
        <v>1705</v>
      </c>
    </row>
    <row r="30" spans="1:20" ht="19">
      <c r="A30">
        <v>24</v>
      </c>
      <c r="B30" s="197">
        <v>45953</v>
      </c>
      <c r="C30" s="144" t="s">
        <v>1062</v>
      </c>
      <c r="D30" s="144" t="s">
        <v>1063</v>
      </c>
      <c r="E30" s="138">
        <v>987688969</v>
      </c>
      <c r="F30" t="s">
        <v>1703</v>
      </c>
      <c r="G30" s="139">
        <v>40584202</v>
      </c>
      <c r="H30" s="137" t="str">
        <f t="shared" si="0"/>
        <v>ML 820 BIS - MICROONDAS</v>
      </c>
      <c r="I30" t="s">
        <v>1704</v>
      </c>
      <c r="J30" s="138" t="s">
        <v>1033</v>
      </c>
      <c r="K30" s="153">
        <v>45884</v>
      </c>
      <c r="L30" s="250" t="s">
        <v>25</v>
      </c>
      <c r="M30" s="251" t="s">
        <v>24</v>
      </c>
      <c r="N30" s="251" t="s">
        <v>24</v>
      </c>
      <c r="O30" s="138" t="s">
        <v>1060</v>
      </c>
      <c r="Q30" s="332">
        <f t="shared" si="1"/>
        <v>45952</v>
      </c>
      <c r="R30" s="339" t="s">
        <v>1065</v>
      </c>
      <c r="S30" s="340" t="s">
        <v>1064</v>
      </c>
      <c r="T30" s="159" t="s">
        <v>1705</v>
      </c>
    </row>
    <row r="31" spans="1:20" ht="19">
      <c r="A31">
        <v>25</v>
      </c>
      <c r="B31" s="197">
        <v>45953</v>
      </c>
      <c r="C31" s="144" t="s">
        <v>1062</v>
      </c>
      <c r="D31" s="144" t="s">
        <v>1063</v>
      </c>
      <c r="E31" s="138">
        <v>987688969</v>
      </c>
      <c r="F31" t="s">
        <v>1703</v>
      </c>
      <c r="G31" s="139">
        <v>112500046</v>
      </c>
      <c r="H31" s="137" t="str">
        <f t="shared" si="0"/>
        <v>IZF 88700 MST COCINA INDUCCION</v>
      </c>
      <c r="I31" t="s">
        <v>1704</v>
      </c>
      <c r="J31" s="138" t="s">
        <v>1033</v>
      </c>
      <c r="K31" s="153">
        <v>45884</v>
      </c>
      <c r="L31" s="250" t="s">
        <v>25</v>
      </c>
      <c r="M31" s="251" t="s">
        <v>24</v>
      </c>
      <c r="N31" s="251" t="s">
        <v>24</v>
      </c>
      <c r="O31" s="138" t="s">
        <v>1061</v>
      </c>
      <c r="Q31" s="332">
        <f t="shared" si="1"/>
        <v>45952</v>
      </c>
      <c r="R31" s="339" t="s">
        <v>1065</v>
      </c>
      <c r="S31" s="340" t="s">
        <v>1064</v>
      </c>
      <c r="T31" s="159" t="s">
        <v>1705</v>
      </c>
    </row>
    <row r="32" spans="1:20" ht="19">
      <c r="A32">
        <v>26</v>
      </c>
      <c r="B32" s="197">
        <v>45953</v>
      </c>
      <c r="C32" s="213" t="s">
        <v>1070</v>
      </c>
      <c r="D32" s="144" t="s">
        <v>1071</v>
      </c>
      <c r="E32" s="138">
        <v>999333592</v>
      </c>
      <c r="F32" t="s">
        <v>1703</v>
      </c>
      <c r="G32" s="139">
        <v>111000030</v>
      </c>
      <c r="H32" s="137" t="str">
        <f t="shared" si="0"/>
        <v>STEAKMASTER - HORNO ELEC</v>
      </c>
      <c r="I32" t="s">
        <v>1704</v>
      </c>
      <c r="J32" s="138" t="s">
        <v>1067</v>
      </c>
      <c r="K32" s="153" t="s">
        <v>1066</v>
      </c>
      <c r="L32" s="250" t="s">
        <v>25</v>
      </c>
      <c r="M32" s="251" t="s">
        <v>24</v>
      </c>
      <c r="N32" s="251" t="s">
        <v>24</v>
      </c>
      <c r="O32" s="138" t="s">
        <v>1069</v>
      </c>
      <c r="Q32" s="332">
        <f t="shared" si="1"/>
        <v>45952</v>
      </c>
      <c r="R32" s="339" t="s">
        <v>1073</v>
      </c>
      <c r="S32" s="340" t="s">
        <v>1072</v>
      </c>
      <c r="T32" s="159" t="s">
        <v>1705</v>
      </c>
    </row>
    <row r="33" spans="1:20" ht="20">
      <c r="A33">
        <v>27</v>
      </c>
      <c r="B33" s="197">
        <v>45953</v>
      </c>
      <c r="C33" s="213" t="s">
        <v>1070</v>
      </c>
      <c r="D33" s="144" t="s">
        <v>1071</v>
      </c>
      <c r="E33" s="138">
        <v>999333592</v>
      </c>
      <c r="F33" t="s">
        <v>1703</v>
      </c>
      <c r="G33" s="139">
        <v>112500046</v>
      </c>
      <c r="H33" s="137" t="str">
        <f t="shared" si="0"/>
        <v>IZF 88700 MST COCINA INDUCCION</v>
      </c>
      <c r="I33" t="s">
        <v>1704</v>
      </c>
      <c r="J33" s="138" t="s">
        <v>1067</v>
      </c>
      <c r="K33" s="153" t="s">
        <v>1066</v>
      </c>
      <c r="L33" s="250" t="s">
        <v>25</v>
      </c>
      <c r="M33" s="251" t="s">
        <v>24</v>
      </c>
      <c r="N33" s="251" t="s">
        <v>24</v>
      </c>
      <c r="O33" s="146" t="s">
        <v>1075</v>
      </c>
      <c r="Q33" s="332">
        <f t="shared" si="1"/>
        <v>45952</v>
      </c>
      <c r="R33" s="339" t="s">
        <v>1073</v>
      </c>
      <c r="S33" s="340" t="s">
        <v>1072</v>
      </c>
      <c r="T33" s="159" t="s">
        <v>1705</v>
      </c>
    </row>
    <row r="34" spans="1:20" ht="19">
      <c r="A34">
        <v>28</v>
      </c>
      <c r="B34" s="197">
        <v>45953</v>
      </c>
      <c r="C34" s="252" t="s">
        <v>1153</v>
      </c>
      <c r="D34" s="252" t="s">
        <v>1154</v>
      </c>
      <c r="E34" s="262">
        <v>998658651</v>
      </c>
      <c r="F34" t="s">
        <v>1703</v>
      </c>
      <c r="G34" s="136">
        <v>112600001</v>
      </c>
      <c r="H34" s="137" t="str">
        <f t="shared" si="0"/>
        <v>EX 60.1 4G AI CI COCINA INOX</v>
      </c>
      <c r="I34" t="s">
        <v>1704</v>
      </c>
      <c r="J34" s="252" t="s">
        <v>1033</v>
      </c>
      <c r="K34" s="153">
        <v>45919</v>
      </c>
      <c r="L34" s="250" t="s">
        <v>25</v>
      </c>
      <c r="M34" s="251" t="s">
        <v>24</v>
      </c>
      <c r="N34" s="251" t="s">
        <v>24</v>
      </c>
      <c r="O34" s="252" t="s">
        <v>1152</v>
      </c>
      <c r="Q34" s="332">
        <f t="shared" si="1"/>
        <v>45952</v>
      </c>
      <c r="R34" s="333" t="s">
        <v>1156</v>
      </c>
      <c r="S34" s="334" t="s">
        <v>1155</v>
      </c>
      <c r="T34" s="159" t="s">
        <v>1705</v>
      </c>
    </row>
    <row r="35" spans="1:20" ht="19">
      <c r="A35">
        <v>29</v>
      </c>
      <c r="B35" s="264">
        <v>45953</v>
      </c>
      <c r="C35" s="259" t="s">
        <v>1110</v>
      </c>
      <c r="D35" s="259" t="s">
        <v>1111</v>
      </c>
      <c r="E35" s="260">
        <v>984614027</v>
      </c>
      <c r="F35" t="s">
        <v>1703</v>
      </c>
      <c r="G35" s="256">
        <v>111570002</v>
      </c>
      <c r="H35" s="137" t="str">
        <f t="shared" si="0"/>
        <v>COCINA GOURMET BBQ 3100 G BK-SS</v>
      </c>
      <c r="I35" t="s">
        <v>1704</v>
      </c>
      <c r="J35" s="259" t="s">
        <v>1032</v>
      </c>
      <c r="K35" s="263">
        <v>45951</v>
      </c>
      <c r="L35" s="250" t="s">
        <v>25</v>
      </c>
      <c r="M35" s="251" t="s">
        <v>24</v>
      </c>
      <c r="N35" s="251" t="s">
        <v>24</v>
      </c>
      <c r="O35" s="258" t="s">
        <v>1109</v>
      </c>
      <c r="Q35" s="332">
        <f t="shared" si="1"/>
        <v>45952</v>
      </c>
      <c r="R35" s="337" t="s">
        <v>1113</v>
      </c>
      <c r="S35" s="338" t="s">
        <v>1112</v>
      </c>
      <c r="T35" s="159" t="s">
        <v>1705</v>
      </c>
    </row>
    <row r="36" spans="1:20" ht="19">
      <c r="A36">
        <v>30</v>
      </c>
      <c r="B36" s="143">
        <v>45954</v>
      </c>
      <c r="C36" s="144" t="s">
        <v>1077</v>
      </c>
      <c r="D36" s="144" t="s">
        <v>1078</v>
      </c>
      <c r="E36" s="138">
        <v>984378517</v>
      </c>
      <c r="F36" t="s">
        <v>1703</v>
      </c>
      <c r="G36" s="139">
        <v>40584202</v>
      </c>
      <c r="H36" s="137" t="str">
        <f t="shared" si="0"/>
        <v>ML 820 BIS - MICROONDAS</v>
      </c>
      <c r="I36" t="s">
        <v>1704</v>
      </c>
      <c r="J36" s="138" t="s">
        <v>1067</v>
      </c>
      <c r="K36" s="153">
        <v>45941</v>
      </c>
      <c r="L36" s="250" t="s">
        <v>25</v>
      </c>
      <c r="M36" s="251" t="s">
        <v>24</v>
      </c>
      <c r="N36" s="251" t="s">
        <v>24</v>
      </c>
      <c r="O36" s="138" t="s">
        <v>1076</v>
      </c>
      <c r="Q36" s="332">
        <f t="shared" si="1"/>
        <v>45953</v>
      </c>
      <c r="R36" s="339" t="s">
        <v>1080</v>
      </c>
      <c r="S36" s="340" t="s">
        <v>1079</v>
      </c>
      <c r="T36" s="159" t="s">
        <v>1705</v>
      </c>
    </row>
    <row r="37" spans="1:20" ht="19">
      <c r="A37">
        <v>31</v>
      </c>
      <c r="B37" s="143">
        <v>45954</v>
      </c>
      <c r="C37" s="144" t="s">
        <v>1077</v>
      </c>
      <c r="D37" s="144" t="s">
        <v>1078</v>
      </c>
      <c r="E37" s="138">
        <v>984378517</v>
      </c>
      <c r="F37" t="s">
        <v>1703</v>
      </c>
      <c r="G37" s="139">
        <v>41560061</v>
      </c>
      <c r="H37" s="137" t="str">
        <f t="shared" si="0"/>
        <v>HLB 830 INOX HORNO ELEC</v>
      </c>
      <c r="I37" t="s">
        <v>1704</v>
      </c>
      <c r="J37" s="138" t="s">
        <v>1067</v>
      </c>
      <c r="K37" s="153">
        <v>45941</v>
      </c>
      <c r="L37" s="250" t="s">
        <v>25</v>
      </c>
      <c r="M37" s="251" t="s">
        <v>24</v>
      </c>
      <c r="N37" s="251" t="s">
        <v>24</v>
      </c>
      <c r="O37" s="138" t="s">
        <v>1081</v>
      </c>
      <c r="Q37" s="332">
        <f t="shared" si="1"/>
        <v>45953</v>
      </c>
      <c r="R37" s="339" t="s">
        <v>1080</v>
      </c>
      <c r="S37" s="340" t="s">
        <v>1079</v>
      </c>
      <c r="T37" s="159" t="s">
        <v>1705</v>
      </c>
    </row>
    <row r="38" spans="1:20" ht="19">
      <c r="A38">
        <v>32</v>
      </c>
      <c r="B38" s="143">
        <v>45954</v>
      </c>
      <c r="C38" s="144" t="s">
        <v>1167</v>
      </c>
      <c r="D38" s="144" t="s">
        <v>1168</v>
      </c>
      <c r="E38" s="138">
        <v>998266357</v>
      </c>
      <c r="F38" t="s">
        <v>1703</v>
      </c>
      <c r="G38" s="139">
        <v>112030019</v>
      </c>
      <c r="H38" s="137" t="str">
        <f t="shared" si="0"/>
        <v>ML 8220 BIS FBK- MICROONDAS</v>
      </c>
      <c r="I38" t="s">
        <v>1704</v>
      </c>
      <c r="J38" s="138" t="s">
        <v>1033</v>
      </c>
      <c r="K38" s="153">
        <v>45933</v>
      </c>
      <c r="L38" s="250" t="s">
        <v>25</v>
      </c>
      <c r="M38" s="251" t="s">
        <v>24</v>
      </c>
      <c r="N38" s="251" t="s">
        <v>24</v>
      </c>
      <c r="O38" s="138" t="s">
        <v>1164</v>
      </c>
      <c r="Q38" s="332">
        <f t="shared" si="1"/>
        <v>45953</v>
      </c>
      <c r="R38" s="339" t="s">
        <v>1170</v>
      </c>
      <c r="S38" s="340" t="s">
        <v>1169</v>
      </c>
      <c r="T38" s="159" t="s">
        <v>1705</v>
      </c>
    </row>
    <row r="39" spans="1:20" ht="19">
      <c r="A39">
        <v>33</v>
      </c>
      <c r="B39" s="143">
        <v>45954</v>
      </c>
      <c r="C39" s="144" t="s">
        <v>1167</v>
      </c>
      <c r="D39" s="144" t="s">
        <v>1168</v>
      </c>
      <c r="E39" s="138">
        <v>998266357</v>
      </c>
      <c r="F39" t="s">
        <v>1703</v>
      </c>
      <c r="G39" s="139">
        <v>111000051</v>
      </c>
      <c r="H39" s="137" t="str">
        <f t="shared" si="0"/>
        <v>HLB 8416 "AIR FRY" - HORNO ELEC</v>
      </c>
      <c r="I39" t="s">
        <v>1704</v>
      </c>
      <c r="J39" s="138" t="s">
        <v>1033</v>
      </c>
      <c r="K39" s="153">
        <v>45933</v>
      </c>
      <c r="L39" s="250" t="s">
        <v>25</v>
      </c>
      <c r="M39" s="251" t="s">
        <v>24</v>
      </c>
      <c r="N39" s="251" t="s">
        <v>24</v>
      </c>
      <c r="O39" s="138" t="s">
        <v>1165</v>
      </c>
      <c r="Q39" s="332">
        <f t="shared" si="1"/>
        <v>45953</v>
      </c>
      <c r="R39" s="339" t="s">
        <v>1170</v>
      </c>
      <c r="S39" s="340" t="s">
        <v>1169</v>
      </c>
      <c r="T39" s="159" t="s">
        <v>1705</v>
      </c>
    </row>
    <row r="40" spans="1:20" ht="19">
      <c r="A40">
        <v>34</v>
      </c>
      <c r="B40" s="143">
        <v>45954</v>
      </c>
      <c r="C40" s="144" t="s">
        <v>1167</v>
      </c>
      <c r="D40" s="144" t="s">
        <v>1168</v>
      </c>
      <c r="E40" s="138">
        <v>998266357</v>
      </c>
      <c r="F40" t="s">
        <v>1703</v>
      </c>
      <c r="G40" s="139">
        <v>113120010</v>
      </c>
      <c r="H40" s="137" t="str">
        <f t="shared" ref="H40:H72" si="4">VLOOKUP(G40,PROD,2,FALSE)</f>
        <v>GFI 97350 ECS IX 110/60 CAMPANA</v>
      </c>
      <c r="I40" t="s">
        <v>1704</v>
      </c>
      <c r="J40" s="138" t="s">
        <v>1033</v>
      </c>
      <c r="K40" s="153">
        <v>45933</v>
      </c>
      <c r="L40" s="250" t="s">
        <v>25</v>
      </c>
      <c r="M40" s="251" t="s">
        <v>24</v>
      </c>
      <c r="N40" s="251" t="s">
        <v>24</v>
      </c>
      <c r="O40" s="138" t="s">
        <v>1166</v>
      </c>
      <c r="Q40" s="332">
        <f t="shared" si="1"/>
        <v>45953</v>
      </c>
      <c r="R40" s="339" t="s">
        <v>1170</v>
      </c>
      <c r="S40" s="340" t="s">
        <v>1169</v>
      </c>
      <c r="T40" s="159" t="s">
        <v>1705</v>
      </c>
    </row>
    <row r="41" spans="1:20" ht="19">
      <c r="A41">
        <v>35</v>
      </c>
      <c r="B41" s="199">
        <v>45954</v>
      </c>
      <c r="C41" s="265" t="s">
        <v>1159</v>
      </c>
      <c r="D41" s="265" t="s">
        <v>1160</v>
      </c>
      <c r="E41" s="266">
        <v>981570096</v>
      </c>
      <c r="F41" t="s">
        <v>1703</v>
      </c>
      <c r="G41" s="198">
        <v>40461507</v>
      </c>
      <c r="H41" s="137" t="str">
        <f t="shared" si="4"/>
        <v>C 610 NEGRA CAMPANA (110V-60HZ) C/KIT</v>
      </c>
      <c r="I41" t="s">
        <v>1704</v>
      </c>
      <c r="J41" s="252" t="s">
        <v>1033</v>
      </c>
      <c r="K41" s="267">
        <v>45941</v>
      </c>
      <c r="L41" s="250" t="s">
        <v>25</v>
      </c>
      <c r="M41" s="251" t="s">
        <v>24</v>
      </c>
      <c r="N41" s="251" t="s">
        <v>24</v>
      </c>
      <c r="O41" s="266" t="s">
        <v>1158</v>
      </c>
      <c r="Q41" s="332">
        <f t="shared" si="1"/>
        <v>45953</v>
      </c>
      <c r="R41" s="341" t="s">
        <v>1162</v>
      </c>
      <c r="S41" s="334" t="s">
        <v>1161</v>
      </c>
      <c r="T41" s="159" t="s">
        <v>1705</v>
      </c>
    </row>
    <row r="42" spans="1:20" ht="19">
      <c r="A42">
        <v>36</v>
      </c>
      <c r="B42" s="197">
        <v>45954</v>
      </c>
      <c r="C42" s="252" t="s">
        <v>1141</v>
      </c>
      <c r="D42" s="252" t="s">
        <v>1142</v>
      </c>
      <c r="E42" s="262">
        <v>997439434</v>
      </c>
      <c r="F42" t="s">
        <v>1703</v>
      </c>
      <c r="G42" s="198">
        <v>114270008</v>
      </c>
      <c r="H42" s="137" t="str">
        <f t="shared" si="4"/>
        <v>LAVAVAJILLAS DFI 46900 120 60 WH</v>
      </c>
      <c r="I42" t="s">
        <v>1704</v>
      </c>
      <c r="J42" s="252" t="s">
        <v>1033</v>
      </c>
      <c r="K42" s="153" t="s">
        <v>1180</v>
      </c>
      <c r="L42" s="250" t="s">
        <v>25</v>
      </c>
      <c r="M42" s="251" t="s">
        <v>24</v>
      </c>
      <c r="N42" s="251" t="s">
        <v>24</v>
      </c>
      <c r="O42" s="268" t="s">
        <v>1140</v>
      </c>
      <c r="Q42" s="332">
        <f t="shared" si="1"/>
        <v>45953</v>
      </c>
      <c r="R42" s="333" t="s">
        <v>1181</v>
      </c>
      <c r="S42" s="334" t="s">
        <v>1143</v>
      </c>
      <c r="T42" s="159" t="s">
        <v>1705</v>
      </c>
    </row>
    <row r="43" spans="1:20" ht="19">
      <c r="A43">
        <v>37</v>
      </c>
      <c r="B43" s="199">
        <v>45954</v>
      </c>
      <c r="C43" s="265" t="s">
        <v>1184</v>
      </c>
      <c r="D43" s="265" t="s">
        <v>1185</v>
      </c>
      <c r="E43" s="266">
        <v>99738798</v>
      </c>
      <c r="F43" t="s">
        <v>1703</v>
      </c>
      <c r="G43" s="198">
        <v>111010028</v>
      </c>
      <c r="H43" s="137" t="str">
        <f t="shared" si="4"/>
        <v>HSB 646 "AIRFRY" - HORNO ELEC</v>
      </c>
      <c r="I43" t="s">
        <v>1704</v>
      </c>
      <c r="J43" s="265" t="s">
        <v>1033</v>
      </c>
      <c r="K43" s="267">
        <v>45951</v>
      </c>
      <c r="L43" s="250" t="s">
        <v>25</v>
      </c>
      <c r="M43" s="251" t="s">
        <v>24</v>
      </c>
      <c r="N43" s="251" t="s">
        <v>24</v>
      </c>
      <c r="O43" s="266" t="s">
        <v>1183</v>
      </c>
      <c r="Q43" s="332">
        <f t="shared" si="1"/>
        <v>45953</v>
      </c>
      <c r="R43" s="341" t="s">
        <v>1187</v>
      </c>
      <c r="S43" s="334" t="s">
        <v>1186</v>
      </c>
      <c r="T43" s="159" t="s">
        <v>1705</v>
      </c>
    </row>
    <row r="44" spans="1:20" ht="19">
      <c r="A44">
        <v>38</v>
      </c>
      <c r="B44" s="199">
        <v>45954</v>
      </c>
      <c r="C44" s="265" t="s">
        <v>1190</v>
      </c>
      <c r="D44" s="265" t="s">
        <v>1191</v>
      </c>
      <c r="E44" s="266">
        <v>995790823</v>
      </c>
      <c r="F44" t="s">
        <v>1703</v>
      </c>
      <c r="G44" s="198">
        <v>40584012</v>
      </c>
      <c r="H44" s="137" t="str">
        <f t="shared" si="4"/>
        <v>MS 620 BIS - MICROONDAS</v>
      </c>
      <c r="I44" t="s">
        <v>1704</v>
      </c>
      <c r="J44" s="265" t="s">
        <v>1032</v>
      </c>
      <c r="K44" s="267">
        <v>45953</v>
      </c>
      <c r="L44" s="250" t="s">
        <v>25</v>
      </c>
      <c r="M44" s="251" t="s">
        <v>24</v>
      </c>
      <c r="N44" s="251" t="s">
        <v>24</v>
      </c>
      <c r="O44" s="266" t="s">
        <v>1188</v>
      </c>
      <c r="Q44" s="332">
        <f t="shared" si="1"/>
        <v>45953</v>
      </c>
      <c r="R44" s="341" t="s">
        <v>1193</v>
      </c>
      <c r="S44" s="334" t="s">
        <v>1192</v>
      </c>
      <c r="T44" s="159" t="s">
        <v>1705</v>
      </c>
    </row>
    <row r="45" spans="1:20" ht="19">
      <c r="A45">
        <v>39</v>
      </c>
      <c r="B45" s="199">
        <v>45987</v>
      </c>
      <c r="C45" s="265" t="s">
        <v>1678</v>
      </c>
      <c r="D45" s="265" t="s">
        <v>1715</v>
      </c>
      <c r="E45" s="266">
        <v>994058325</v>
      </c>
      <c r="F45" t="s">
        <v>1707</v>
      </c>
      <c r="G45" s="198">
        <v>112730000</v>
      </c>
      <c r="H45" s="137" t="str">
        <f t="shared" si="4"/>
        <v>AFF 87601 HOOD IN HOB</v>
      </c>
      <c r="I45" t="s">
        <v>1708</v>
      </c>
      <c r="J45" s="265" t="s">
        <v>1032</v>
      </c>
      <c r="K45" s="267">
        <v>45503</v>
      </c>
      <c r="L45" s="250" t="s">
        <v>25</v>
      </c>
      <c r="M45" s="251" t="s">
        <v>24</v>
      </c>
      <c r="N45" s="251" t="s">
        <v>24</v>
      </c>
      <c r="O45" s="266" t="s">
        <v>1754</v>
      </c>
      <c r="Q45" s="332">
        <f t="shared" si="1"/>
        <v>45986</v>
      </c>
      <c r="R45" s="376" t="s">
        <v>1681</v>
      </c>
      <c r="S45" s="334" t="s">
        <v>1756</v>
      </c>
      <c r="T45" s="159" t="s">
        <v>1778</v>
      </c>
    </row>
    <row r="46" spans="1:20" ht="19">
      <c r="A46">
        <v>40</v>
      </c>
      <c r="B46" s="143">
        <v>45957</v>
      </c>
      <c r="C46" s="144" t="s">
        <v>1176</v>
      </c>
      <c r="D46" s="144" t="s">
        <v>1177</v>
      </c>
      <c r="E46" s="138">
        <v>999896010</v>
      </c>
      <c r="F46" t="s">
        <v>1703</v>
      </c>
      <c r="G46" s="139">
        <v>40446702</v>
      </c>
      <c r="H46" s="137" t="str">
        <f t="shared" si="4"/>
        <v>GFH 55 INOX CAMPANA (110V-60HZ) C/KIT</v>
      </c>
      <c r="I46" t="s">
        <v>1704</v>
      </c>
      <c r="J46" s="138" t="s">
        <v>1033</v>
      </c>
      <c r="K46" s="153">
        <v>45944</v>
      </c>
      <c r="L46" s="250" t="s">
        <v>25</v>
      </c>
      <c r="M46" s="251" t="s">
        <v>24</v>
      </c>
      <c r="N46" s="251" t="s">
        <v>24</v>
      </c>
      <c r="O46" s="138" t="s">
        <v>1172</v>
      </c>
      <c r="Q46" s="332">
        <f t="shared" si="1"/>
        <v>45956</v>
      </c>
      <c r="R46" s="339" t="s">
        <v>1179</v>
      </c>
      <c r="S46" s="340" t="s">
        <v>1178</v>
      </c>
      <c r="T46" s="159" t="s">
        <v>1705</v>
      </c>
    </row>
    <row r="47" spans="1:20" ht="19">
      <c r="A47">
        <v>41</v>
      </c>
      <c r="B47" s="143">
        <v>45957</v>
      </c>
      <c r="C47" s="144" t="s">
        <v>1176</v>
      </c>
      <c r="D47" s="144" t="s">
        <v>1177</v>
      </c>
      <c r="E47" s="138">
        <v>999896010</v>
      </c>
      <c r="F47" t="s">
        <v>1703</v>
      </c>
      <c r="G47" s="139">
        <v>40446702</v>
      </c>
      <c r="H47" s="137" t="str">
        <f t="shared" si="4"/>
        <v>GFH 55 INOX CAMPANA (110V-60HZ) C/KIT</v>
      </c>
      <c r="I47" t="s">
        <v>1704</v>
      </c>
      <c r="J47" s="138" t="s">
        <v>1033</v>
      </c>
      <c r="K47" s="153">
        <v>45944</v>
      </c>
      <c r="L47" s="250" t="s">
        <v>25</v>
      </c>
      <c r="M47" s="251" t="s">
        <v>24</v>
      </c>
      <c r="N47" s="251" t="s">
        <v>24</v>
      </c>
      <c r="O47" s="138" t="s">
        <v>1173</v>
      </c>
      <c r="Q47" s="332">
        <f t="shared" si="1"/>
        <v>45956</v>
      </c>
      <c r="R47" s="339" t="s">
        <v>1179</v>
      </c>
      <c r="S47" s="340" t="s">
        <v>1178</v>
      </c>
      <c r="T47" s="159" t="s">
        <v>1705</v>
      </c>
    </row>
    <row r="48" spans="1:20" ht="19">
      <c r="A48">
        <v>42</v>
      </c>
      <c r="B48" s="143">
        <v>45957</v>
      </c>
      <c r="C48" s="144" t="s">
        <v>1176</v>
      </c>
      <c r="D48" s="144" t="s">
        <v>1177</v>
      </c>
      <c r="E48" s="138">
        <v>999896010</v>
      </c>
      <c r="F48" t="s">
        <v>1703</v>
      </c>
      <c r="G48" s="269">
        <v>112580027</v>
      </c>
      <c r="H48" s="137" t="str">
        <f t="shared" si="4"/>
        <v>GBC 75030 KBB CRISTAL COCINA GAS</v>
      </c>
      <c r="I48" t="s">
        <v>1704</v>
      </c>
      <c r="J48" s="138" t="s">
        <v>1033</v>
      </c>
      <c r="K48" s="153">
        <v>45944</v>
      </c>
      <c r="L48" s="250" t="s">
        <v>25</v>
      </c>
      <c r="M48" s="251" t="s">
        <v>24</v>
      </c>
      <c r="N48" s="251" t="s">
        <v>24</v>
      </c>
      <c r="O48" s="138" t="s">
        <v>1174</v>
      </c>
      <c r="Q48" s="332">
        <f t="shared" si="1"/>
        <v>45956</v>
      </c>
      <c r="R48" s="339" t="s">
        <v>1179</v>
      </c>
      <c r="S48" s="340" t="s">
        <v>1178</v>
      </c>
      <c r="T48" s="159" t="s">
        <v>1705</v>
      </c>
    </row>
    <row r="49" spans="1:20" ht="19">
      <c r="A49">
        <v>43</v>
      </c>
      <c r="B49" s="143">
        <v>45957</v>
      </c>
      <c r="C49" s="144" t="s">
        <v>1176</v>
      </c>
      <c r="D49" s="144" t="s">
        <v>1177</v>
      </c>
      <c r="E49" s="138">
        <v>999896010</v>
      </c>
      <c r="F49" t="s">
        <v>1703</v>
      </c>
      <c r="G49" s="269">
        <v>112580027</v>
      </c>
      <c r="H49" s="137" t="str">
        <f t="shared" si="4"/>
        <v>GBC 75030 KBB CRISTAL COCINA GAS</v>
      </c>
      <c r="I49" t="s">
        <v>1704</v>
      </c>
      <c r="J49" s="138" t="s">
        <v>1033</v>
      </c>
      <c r="K49" s="153">
        <v>45944</v>
      </c>
      <c r="L49" s="250" t="s">
        <v>25</v>
      </c>
      <c r="M49" s="251" t="s">
        <v>24</v>
      </c>
      <c r="N49" s="251" t="s">
        <v>24</v>
      </c>
      <c r="O49" s="138" t="s">
        <v>1175</v>
      </c>
      <c r="Q49" s="332">
        <f t="shared" si="1"/>
        <v>45956</v>
      </c>
      <c r="R49" s="339" t="s">
        <v>1179</v>
      </c>
      <c r="S49" s="340" t="s">
        <v>1178</v>
      </c>
      <c r="T49" s="159" t="s">
        <v>1705</v>
      </c>
    </row>
    <row r="50" spans="1:20" ht="19">
      <c r="A50">
        <v>44</v>
      </c>
      <c r="B50" s="199">
        <v>45957</v>
      </c>
      <c r="C50" s="265" t="s">
        <v>1196</v>
      </c>
      <c r="D50" s="265" t="s">
        <v>1197</v>
      </c>
      <c r="E50" s="266">
        <v>962859179</v>
      </c>
      <c r="F50" t="s">
        <v>1703</v>
      </c>
      <c r="G50" s="198">
        <v>40467320</v>
      </c>
      <c r="H50" s="137" t="str">
        <f t="shared" si="4"/>
        <v>C 7310 INOX CAMPANA (110V-60HZ) C/KIT</v>
      </c>
      <c r="I50" t="s">
        <v>1704</v>
      </c>
      <c r="J50" s="265" t="s">
        <v>1033</v>
      </c>
      <c r="K50" s="267">
        <v>45955</v>
      </c>
      <c r="L50" s="250" t="s">
        <v>25</v>
      </c>
      <c r="M50" s="251" t="s">
        <v>24</v>
      </c>
      <c r="N50" s="251" t="s">
        <v>24</v>
      </c>
      <c r="O50" s="266" t="s">
        <v>1195</v>
      </c>
      <c r="Q50" s="332">
        <f t="shared" si="1"/>
        <v>45956</v>
      </c>
      <c r="R50" s="341" t="s">
        <v>1199</v>
      </c>
      <c r="S50" s="334" t="s">
        <v>1198</v>
      </c>
      <c r="T50" s="159" t="s">
        <v>1705</v>
      </c>
    </row>
    <row r="51" spans="1:20" ht="19">
      <c r="A51">
        <v>45</v>
      </c>
      <c r="B51" s="199">
        <v>45957</v>
      </c>
      <c r="C51" s="265" t="s">
        <v>1202</v>
      </c>
      <c r="D51" s="265" t="s">
        <v>1203</v>
      </c>
      <c r="E51" s="266">
        <v>999259503</v>
      </c>
      <c r="F51" t="s">
        <v>1703</v>
      </c>
      <c r="G51" s="198">
        <v>112570126</v>
      </c>
      <c r="H51" s="137" t="str">
        <f t="shared" si="4"/>
        <v>JZC 96324 ABB BK (LAT) COCINA MIXTA GAS - INDUCCION (40213042)</v>
      </c>
      <c r="I51" t="s">
        <v>1704</v>
      </c>
      <c r="J51" s="265" t="s">
        <v>1032</v>
      </c>
      <c r="K51" s="267">
        <v>45916</v>
      </c>
      <c r="L51" s="250" t="s">
        <v>25</v>
      </c>
      <c r="M51" s="251" t="s">
        <v>24</v>
      </c>
      <c r="N51" s="251" t="s">
        <v>24</v>
      </c>
      <c r="O51" s="266" t="s">
        <v>1201</v>
      </c>
      <c r="Q51" s="332">
        <f t="shared" si="1"/>
        <v>45956</v>
      </c>
      <c r="R51" s="341" t="s">
        <v>1205</v>
      </c>
      <c r="S51" s="334" t="s">
        <v>1204</v>
      </c>
      <c r="T51" s="159" t="s">
        <v>1705</v>
      </c>
    </row>
    <row r="52" spans="1:20" ht="23" customHeight="1">
      <c r="A52">
        <v>46</v>
      </c>
      <c r="B52" s="200">
        <v>45957</v>
      </c>
      <c r="C52" s="270" t="s">
        <v>1216</v>
      </c>
      <c r="D52" s="259" t="s">
        <v>1706</v>
      </c>
      <c r="E52" s="271">
        <v>998161675</v>
      </c>
      <c r="F52" t="s">
        <v>1707</v>
      </c>
      <c r="G52" s="201">
        <v>112500046</v>
      </c>
      <c r="H52" s="272" t="str">
        <f t="shared" si="4"/>
        <v>IZF 88700 MST COCINA INDUCCION</v>
      </c>
      <c r="I52" t="s">
        <v>1708</v>
      </c>
      <c r="J52" s="259" t="s">
        <v>1709</v>
      </c>
      <c r="K52" s="273">
        <v>45866</v>
      </c>
      <c r="L52" s="250" t="s">
        <v>25</v>
      </c>
      <c r="M52" s="251" t="s">
        <v>24</v>
      </c>
      <c r="N52" s="251" t="s">
        <v>24</v>
      </c>
      <c r="O52" s="270" t="s">
        <v>1215</v>
      </c>
      <c r="Q52" s="332">
        <f t="shared" si="1"/>
        <v>45956</v>
      </c>
      <c r="R52" s="342" t="s">
        <v>1218</v>
      </c>
      <c r="S52" s="343" t="s">
        <v>1217</v>
      </c>
      <c r="T52" s="210" t="s">
        <v>1326</v>
      </c>
    </row>
    <row r="53" spans="1:20" ht="19">
      <c r="A53">
        <v>47</v>
      </c>
      <c r="B53" s="143">
        <v>45958</v>
      </c>
      <c r="C53" s="274" t="s">
        <v>1223</v>
      </c>
      <c r="D53" s="274" t="s">
        <v>1224</v>
      </c>
      <c r="E53" s="275">
        <v>996109556</v>
      </c>
      <c r="F53" t="s">
        <v>1703</v>
      </c>
      <c r="G53" s="139">
        <v>40467305</v>
      </c>
      <c r="H53" s="137" t="str">
        <f t="shared" si="4"/>
        <v>C 710 NEGRA CAMPANA (110V-60HZ) C/KIT</v>
      </c>
      <c r="I53" t="s">
        <v>1704</v>
      </c>
      <c r="J53" s="138" t="s">
        <v>1220</v>
      </c>
      <c r="K53" s="153">
        <v>45910</v>
      </c>
      <c r="L53" s="250" t="s">
        <v>25</v>
      </c>
      <c r="M53" s="251" t="s">
        <v>24</v>
      </c>
      <c r="N53" s="251" t="s">
        <v>24</v>
      </c>
      <c r="O53" s="138" t="s">
        <v>1222</v>
      </c>
      <c r="Q53" s="332">
        <f t="shared" si="1"/>
        <v>45957</v>
      </c>
      <c r="R53" s="344" t="s">
        <v>1226</v>
      </c>
      <c r="S53" s="345" t="s">
        <v>1225</v>
      </c>
      <c r="T53" s="159" t="s">
        <v>1705</v>
      </c>
    </row>
    <row r="54" spans="1:20" ht="19">
      <c r="A54">
        <v>48</v>
      </c>
      <c r="B54" s="143">
        <v>45958</v>
      </c>
      <c r="C54" s="274" t="s">
        <v>1223</v>
      </c>
      <c r="D54" s="274" t="s">
        <v>1224</v>
      </c>
      <c r="E54" s="275">
        <v>996109556</v>
      </c>
      <c r="F54" t="s">
        <v>1703</v>
      </c>
      <c r="G54" s="139">
        <v>112570073</v>
      </c>
      <c r="H54" s="137" t="str">
        <f t="shared" si="4"/>
        <v>GZC 96310 XBB CRISTAL COCINA GAS</v>
      </c>
      <c r="I54" t="s">
        <v>1704</v>
      </c>
      <c r="J54" s="138" t="s">
        <v>1220</v>
      </c>
      <c r="K54" s="153">
        <v>45897</v>
      </c>
      <c r="L54" s="250" t="s">
        <v>25</v>
      </c>
      <c r="M54" s="251" t="s">
        <v>24</v>
      </c>
      <c r="N54" s="251" t="s">
        <v>24</v>
      </c>
      <c r="O54" s="138" t="s">
        <v>1227</v>
      </c>
      <c r="Q54" s="332">
        <f t="shared" si="1"/>
        <v>45957</v>
      </c>
      <c r="R54" s="344" t="s">
        <v>1226</v>
      </c>
      <c r="S54" s="345" t="s">
        <v>1225</v>
      </c>
      <c r="T54" s="159" t="s">
        <v>1705</v>
      </c>
    </row>
    <row r="55" spans="1:20" ht="19">
      <c r="A55">
        <v>49</v>
      </c>
      <c r="B55" s="199">
        <v>45958</v>
      </c>
      <c r="C55" s="276" t="s">
        <v>1231</v>
      </c>
      <c r="D55" s="276" t="s">
        <v>1232</v>
      </c>
      <c r="E55" s="277">
        <v>992622640</v>
      </c>
      <c r="F55" t="s">
        <v>1703</v>
      </c>
      <c r="G55" s="198">
        <v>112580058</v>
      </c>
      <c r="H55" s="137" t="str">
        <f t="shared" si="4"/>
        <v>GBC 95030 KBB BK COCINA GAS</v>
      </c>
      <c r="I55" t="s">
        <v>1704</v>
      </c>
      <c r="J55" s="265" t="s">
        <v>1067</v>
      </c>
      <c r="K55" s="267">
        <v>45954</v>
      </c>
      <c r="L55" s="250" t="s">
        <v>25</v>
      </c>
      <c r="M55" s="251" t="s">
        <v>24</v>
      </c>
      <c r="N55" s="251" t="s">
        <v>24</v>
      </c>
      <c r="O55" s="266" t="s">
        <v>1230</v>
      </c>
      <c r="Q55" s="332">
        <f t="shared" si="1"/>
        <v>45957</v>
      </c>
      <c r="R55" s="346" t="s">
        <v>1234</v>
      </c>
      <c r="S55" s="347" t="s">
        <v>1233</v>
      </c>
      <c r="T55" s="159" t="s">
        <v>1705</v>
      </c>
    </row>
    <row r="56" spans="1:20" ht="19">
      <c r="A56">
        <v>50</v>
      </c>
      <c r="B56" s="199">
        <v>45958</v>
      </c>
      <c r="C56" s="276" t="s">
        <v>1237</v>
      </c>
      <c r="D56" s="276" t="s">
        <v>1238</v>
      </c>
      <c r="E56" s="277">
        <v>995720411</v>
      </c>
      <c r="F56" t="s">
        <v>1703</v>
      </c>
      <c r="G56" s="198">
        <v>112030019</v>
      </c>
      <c r="H56" s="137" t="str">
        <f t="shared" si="4"/>
        <v>ML 8220 BIS FBK- MICROONDAS</v>
      </c>
      <c r="I56" t="s">
        <v>1704</v>
      </c>
      <c r="J56" s="265" t="s">
        <v>1032</v>
      </c>
      <c r="K56" s="267">
        <v>45933</v>
      </c>
      <c r="L56" s="250" t="s">
        <v>25</v>
      </c>
      <c r="M56" s="251" t="s">
        <v>24</v>
      </c>
      <c r="N56" s="251" t="s">
        <v>24</v>
      </c>
      <c r="O56" s="266" t="s">
        <v>1236</v>
      </c>
      <c r="Q56" s="332">
        <f t="shared" si="1"/>
        <v>45957</v>
      </c>
      <c r="R56" s="346" t="s">
        <v>1240</v>
      </c>
      <c r="S56" s="347" t="s">
        <v>1239</v>
      </c>
      <c r="T56" s="159" t="s">
        <v>1705</v>
      </c>
    </row>
    <row r="57" spans="1:20" ht="22" customHeight="1">
      <c r="A57">
        <v>51</v>
      </c>
      <c r="B57" s="200">
        <v>45958</v>
      </c>
      <c r="C57" s="270" t="s">
        <v>1325</v>
      </c>
      <c r="D57" s="259" t="s">
        <v>1142</v>
      </c>
      <c r="E57" s="271">
        <v>991095384</v>
      </c>
      <c r="F57" t="s">
        <v>1707</v>
      </c>
      <c r="G57" s="201">
        <v>112030019</v>
      </c>
      <c r="H57" s="272" t="str">
        <f t="shared" si="4"/>
        <v>ML 8220 BIS FBK- MICROONDAS</v>
      </c>
      <c r="I57" t="s">
        <v>1708</v>
      </c>
      <c r="J57" s="259" t="s">
        <v>1032</v>
      </c>
      <c r="K57" s="273">
        <v>45731</v>
      </c>
      <c r="L57" s="250" t="s">
        <v>25</v>
      </c>
      <c r="M57" s="251" t="s">
        <v>24</v>
      </c>
      <c r="N57" s="251" t="s">
        <v>24</v>
      </c>
      <c r="O57" s="270" t="s">
        <v>1324</v>
      </c>
      <c r="Q57" s="332">
        <f t="shared" si="1"/>
        <v>45957</v>
      </c>
      <c r="R57" s="342" t="s">
        <v>1328</v>
      </c>
      <c r="S57" s="343" t="s">
        <v>1327</v>
      </c>
      <c r="T57" s="210" t="s">
        <v>1526</v>
      </c>
    </row>
    <row r="58" spans="1:20" ht="20">
      <c r="A58">
        <v>52</v>
      </c>
      <c r="B58" s="200">
        <v>45958</v>
      </c>
      <c r="C58" s="270" t="s">
        <v>1525</v>
      </c>
      <c r="D58" s="259" t="s">
        <v>1710</v>
      </c>
      <c r="E58" s="271">
        <v>995720411</v>
      </c>
      <c r="F58" t="s">
        <v>1707</v>
      </c>
      <c r="G58" s="201">
        <v>112030019</v>
      </c>
      <c r="H58" s="272" t="str">
        <f t="shared" si="4"/>
        <v>ML 8220 BIS FBK- MICROONDAS</v>
      </c>
      <c r="I58" t="s">
        <v>1708</v>
      </c>
      <c r="J58" s="259" t="s">
        <v>1032</v>
      </c>
      <c r="K58" s="273">
        <v>45933</v>
      </c>
      <c r="L58" s="250" t="s">
        <v>25</v>
      </c>
      <c r="M58" s="251" t="s">
        <v>24</v>
      </c>
      <c r="N58" s="251" t="s">
        <v>24</v>
      </c>
      <c r="O58" s="270" t="s">
        <v>1524</v>
      </c>
      <c r="Q58" s="332">
        <f t="shared" si="1"/>
        <v>45957</v>
      </c>
      <c r="R58" s="342" t="s">
        <v>1527</v>
      </c>
      <c r="S58" s="343" t="s">
        <v>1239</v>
      </c>
      <c r="T58" s="210" t="s">
        <v>1531</v>
      </c>
    </row>
    <row r="59" spans="1:20" ht="19">
      <c r="A59">
        <v>53</v>
      </c>
      <c r="B59" s="143">
        <v>45959</v>
      </c>
      <c r="C59" s="144" t="s">
        <v>1248</v>
      </c>
      <c r="D59" s="144" t="s">
        <v>1142</v>
      </c>
      <c r="E59" s="138">
        <v>992667566</v>
      </c>
      <c r="F59" t="s">
        <v>1703</v>
      </c>
      <c r="G59" s="139">
        <v>40483183</v>
      </c>
      <c r="H59" s="137" t="str">
        <f t="shared" si="4"/>
        <v>ESTRUCTURA DPL ISLA 1180</v>
      </c>
      <c r="I59" t="s">
        <v>1704</v>
      </c>
      <c r="J59" s="138" t="s">
        <v>1241</v>
      </c>
      <c r="K59" s="153">
        <v>45776</v>
      </c>
      <c r="L59" s="250" t="s">
        <v>25</v>
      </c>
      <c r="M59" s="251" t="s">
        <v>24</v>
      </c>
      <c r="N59" s="251" t="s">
        <v>24</v>
      </c>
      <c r="O59" s="138" t="s">
        <v>1243</v>
      </c>
      <c r="Q59" s="332">
        <f t="shared" si="1"/>
        <v>45958</v>
      </c>
      <c r="R59" s="339" t="s">
        <v>1250</v>
      </c>
      <c r="S59" s="340" t="s">
        <v>1249</v>
      </c>
      <c r="T59" s="159" t="s">
        <v>1705</v>
      </c>
    </row>
    <row r="60" spans="1:20" ht="19">
      <c r="A60">
        <v>54</v>
      </c>
      <c r="B60" s="143">
        <v>45959</v>
      </c>
      <c r="C60" s="144" t="s">
        <v>1248</v>
      </c>
      <c r="D60" s="144" t="s">
        <v>1142</v>
      </c>
      <c r="E60" s="138">
        <v>992667566</v>
      </c>
      <c r="F60" t="s">
        <v>1703</v>
      </c>
      <c r="G60" s="139">
        <v>112030019</v>
      </c>
      <c r="H60" s="137" t="str">
        <f t="shared" si="4"/>
        <v>ML 8220 BIS FBK- MICROONDAS</v>
      </c>
      <c r="I60" t="s">
        <v>1704</v>
      </c>
      <c r="J60" s="138" t="s">
        <v>1241</v>
      </c>
      <c r="K60" s="153">
        <v>45776</v>
      </c>
      <c r="L60" s="250" t="s">
        <v>25</v>
      </c>
      <c r="M60" s="251" t="s">
        <v>24</v>
      </c>
      <c r="N60" s="251" t="s">
        <v>24</v>
      </c>
      <c r="O60" s="138" t="s">
        <v>1244</v>
      </c>
      <c r="Q60" s="332">
        <f t="shared" si="1"/>
        <v>45958</v>
      </c>
      <c r="R60" s="339" t="s">
        <v>1250</v>
      </c>
      <c r="S60" s="340" t="s">
        <v>1249</v>
      </c>
      <c r="T60" s="159" t="s">
        <v>1705</v>
      </c>
    </row>
    <row r="61" spans="1:20" ht="19">
      <c r="A61">
        <v>55</v>
      </c>
      <c r="B61" s="143">
        <v>45959</v>
      </c>
      <c r="C61" s="144" t="s">
        <v>1248</v>
      </c>
      <c r="D61" s="144" t="s">
        <v>1142</v>
      </c>
      <c r="E61" s="138">
        <v>992667566</v>
      </c>
      <c r="F61" t="s">
        <v>1703</v>
      </c>
      <c r="G61" s="278">
        <v>112500049</v>
      </c>
      <c r="H61" s="137" t="str">
        <f t="shared" si="4"/>
        <v>IZS 86630 MST COCINA INDUCCION</v>
      </c>
      <c r="I61" t="s">
        <v>1704</v>
      </c>
      <c r="J61" s="138" t="s">
        <v>1241</v>
      </c>
      <c r="K61" s="153">
        <v>45776</v>
      </c>
      <c r="L61" s="250" t="s">
        <v>25</v>
      </c>
      <c r="M61" s="251" t="s">
        <v>24</v>
      </c>
      <c r="N61" s="251" t="s">
        <v>24</v>
      </c>
      <c r="O61" s="138" t="s">
        <v>1245</v>
      </c>
      <c r="Q61" s="332">
        <f t="shared" si="1"/>
        <v>45958</v>
      </c>
      <c r="R61" s="339" t="s">
        <v>1250</v>
      </c>
      <c r="S61" s="340" t="s">
        <v>1249</v>
      </c>
      <c r="T61" s="159" t="s">
        <v>1705</v>
      </c>
    </row>
    <row r="62" spans="1:20" ht="19">
      <c r="A62">
        <v>56</v>
      </c>
      <c r="B62" s="143">
        <v>45959</v>
      </c>
      <c r="C62" s="144" t="s">
        <v>1248</v>
      </c>
      <c r="D62" s="144" t="s">
        <v>1142</v>
      </c>
      <c r="E62" s="138">
        <v>992667566</v>
      </c>
      <c r="F62" t="s">
        <v>1703</v>
      </c>
      <c r="G62" s="139">
        <v>111000078</v>
      </c>
      <c r="H62" s="137" t="str">
        <f t="shared" si="4"/>
        <v>HLB 8400 FBK HORNO ELEC</v>
      </c>
      <c r="I62" t="s">
        <v>1704</v>
      </c>
      <c r="J62" s="138" t="s">
        <v>1241</v>
      </c>
      <c r="K62" s="153">
        <v>45776</v>
      </c>
      <c r="L62" s="250" t="s">
        <v>25</v>
      </c>
      <c r="M62" s="251" t="s">
        <v>24</v>
      </c>
      <c r="N62" s="251" t="s">
        <v>24</v>
      </c>
      <c r="O62" s="138" t="s">
        <v>1246</v>
      </c>
      <c r="Q62" s="332">
        <f t="shared" si="1"/>
        <v>45958</v>
      </c>
      <c r="R62" s="339" t="s">
        <v>1250</v>
      </c>
      <c r="S62" s="340" t="s">
        <v>1249</v>
      </c>
      <c r="T62" s="159" t="s">
        <v>1705</v>
      </c>
    </row>
    <row r="63" spans="1:20" ht="19">
      <c r="A63">
        <v>57</v>
      </c>
      <c r="B63" s="143">
        <v>45959</v>
      </c>
      <c r="C63" s="144" t="s">
        <v>1248</v>
      </c>
      <c r="D63" s="144" t="s">
        <v>1142</v>
      </c>
      <c r="E63" s="138">
        <v>992667566</v>
      </c>
      <c r="F63" t="s">
        <v>1703</v>
      </c>
      <c r="G63" s="139">
        <v>112570016</v>
      </c>
      <c r="H63" s="137" t="str">
        <f t="shared" si="4"/>
        <v>GZC 32300 XBB CRISTAL COCINA GAS</v>
      </c>
      <c r="I63" t="s">
        <v>1704</v>
      </c>
      <c r="J63" s="138" t="s">
        <v>1032</v>
      </c>
      <c r="K63" s="153">
        <v>45901</v>
      </c>
      <c r="L63" s="250" t="s">
        <v>25</v>
      </c>
      <c r="M63" s="251" t="s">
        <v>24</v>
      </c>
      <c r="N63" s="251" t="s">
        <v>24</v>
      </c>
      <c r="O63" s="138" t="s">
        <v>1247</v>
      </c>
      <c r="Q63" s="332">
        <f t="shared" si="1"/>
        <v>45958</v>
      </c>
      <c r="R63" s="339" t="s">
        <v>1250</v>
      </c>
      <c r="S63" s="340" t="s">
        <v>1249</v>
      </c>
      <c r="T63" s="159" t="s">
        <v>1705</v>
      </c>
    </row>
    <row r="64" spans="1:20" ht="21" customHeight="1">
      <c r="A64">
        <v>58</v>
      </c>
      <c r="B64" s="200">
        <v>45960</v>
      </c>
      <c r="C64" s="270" t="s">
        <v>1530</v>
      </c>
      <c r="D64" s="259" t="s">
        <v>1711</v>
      </c>
      <c r="E64" s="271">
        <v>998346841</v>
      </c>
      <c r="F64" t="s">
        <v>1707</v>
      </c>
      <c r="G64" s="201">
        <v>112500048</v>
      </c>
      <c r="H64" s="272" t="str">
        <f t="shared" si="4"/>
        <v>IZS 97630 MST COCINA INDUCCION</v>
      </c>
      <c r="I64" t="s">
        <v>1708</v>
      </c>
      <c r="J64" s="259" t="s">
        <v>1033</v>
      </c>
      <c r="K64" s="273">
        <v>45127</v>
      </c>
      <c r="L64" s="250" t="s">
        <v>25</v>
      </c>
      <c r="M64" s="251" t="s">
        <v>24</v>
      </c>
      <c r="N64" s="251" t="s">
        <v>24</v>
      </c>
      <c r="O64" s="270" t="s">
        <v>1529</v>
      </c>
      <c r="Q64" s="332">
        <f t="shared" si="1"/>
        <v>45959</v>
      </c>
      <c r="R64" s="342" t="s">
        <v>1533</v>
      </c>
      <c r="S64" s="343" t="s">
        <v>1532</v>
      </c>
      <c r="T64" s="210" t="s">
        <v>1538</v>
      </c>
    </row>
    <row r="65" spans="1:20" ht="20">
      <c r="A65">
        <v>59</v>
      </c>
      <c r="B65" s="200">
        <v>45959</v>
      </c>
      <c r="C65" s="270" t="s">
        <v>1537</v>
      </c>
      <c r="D65" s="259" t="s">
        <v>1712</v>
      </c>
      <c r="E65" s="271">
        <v>979328809</v>
      </c>
      <c r="F65" t="s">
        <v>1707</v>
      </c>
      <c r="G65" s="209">
        <v>112580027</v>
      </c>
      <c r="H65" s="272" t="str">
        <f t="shared" si="4"/>
        <v>GBC 75030 KBB CRISTAL COCINA GAS</v>
      </c>
      <c r="I65" t="s">
        <v>1708</v>
      </c>
      <c r="J65" s="259" t="s">
        <v>1032</v>
      </c>
      <c r="K65" s="273">
        <v>45778</v>
      </c>
      <c r="L65" s="250" t="s">
        <v>25</v>
      </c>
      <c r="M65" s="251" t="s">
        <v>24</v>
      </c>
      <c r="N65" s="251" t="s">
        <v>24</v>
      </c>
      <c r="O65" s="279" t="s">
        <v>1536</v>
      </c>
      <c r="Q65" s="332">
        <f t="shared" si="1"/>
        <v>45958</v>
      </c>
      <c r="R65" s="342" t="s">
        <v>1539</v>
      </c>
      <c r="S65" s="343" t="s">
        <v>1540</v>
      </c>
      <c r="T65" s="210" t="s">
        <v>1545</v>
      </c>
    </row>
    <row r="66" spans="1:20" ht="20" customHeight="1">
      <c r="A66">
        <v>60</v>
      </c>
      <c r="B66" s="208">
        <v>45959</v>
      </c>
      <c r="C66" s="279" t="s">
        <v>1544</v>
      </c>
      <c r="D66" s="280" t="s">
        <v>1142</v>
      </c>
      <c r="E66" s="281">
        <v>999100747</v>
      </c>
      <c r="F66" t="s">
        <v>1707</v>
      </c>
      <c r="G66" s="209">
        <v>112500047</v>
      </c>
      <c r="H66" s="272" t="str">
        <f t="shared" si="4"/>
        <v>IZF 99700 MST COCINA INDUCCION</v>
      </c>
      <c r="I66" t="s">
        <v>1708</v>
      </c>
      <c r="J66" s="280" t="s">
        <v>1067</v>
      </c>
      <c r="K66" s="282">
        <v>45806</v>
      </c>
      <c r="L66" s="250" t="s">
        <v>25</v>
      </c>
      <c r="M66" s="251" t="s">
        <v>24</v>
      </c>
      <c r="N66" s="251" t="s">
        <v>24</v>
      </c>
      <c r="O66" s="279" t="s">
        <v>1543</v>
      </c>
      <c r="Q66" s="332">
        <f t="shared" si="1"/>
        <v>45958</v>
      </c>
      <c r="R66" s="342" t="s">
        <v>1547</v>
      </c>
      <c r="S66" s="343" t="s">
        <v>1546</v>
      </c>
      <c r="T66" s="210" t="s">
        <v>1550</v>
      </c>
    </row>
    <row r="67" spans="1:20" ht="19">
      <c r="A67">
        <v>61</v>
      </c>
      <c r="B67" s="204">
        <v>45960</v>
      </c>
      <c r="C67" s="283" t="s">
        <v>1257</v>
      </c>
      <c r="D67" s="283" t="s">
        <v>1258</v>
      </c>
      <c r="E67" s="284">
        <v>959062680</v>
      </c>
      <c r="F67" t="s">
        <v>1703</v>
      </c>
      <c r="G67" s="205">
        <v>112580017</v>
      </c>
      <c r="H67" s="137" t="str">
        <f t="shared" si="4"/>
        <v>GBC 64000 KBB CRISTAL COCINA GAS</v>
      </c>
      <c r="I67" t="s">
        <v>1704</v>
      </c>
      <c r="J67" s="284" t="s">
        <v>1252</v>
      </c>
      <c r="K67" s="250">
        <v>45944</v>
      </c>
      <c r="L67" s="250" t="s">
        <v>25</v>
      </c>
      <c r="M67" s="251" t="s">
        <v>24</v>
      </c>
      <c r="N67" s="251" t="s">
        <v>24</v>
      </c>
      <c r="O67" s="284" t="s">
        <v>1254</v>
      </c>
      <c r="Q67" s="332">
        <f t="shared" si="1"/>
        <v>45959</v>
      </c>
      <c r="R67" s="339" t="s">
        <v>1260</v>
      </c>
      <c r="S67" s="340" t="s">
        <v>1259</v>
      </c>
      <c r="T67" s="159" t="s">
        <v>1705</v>
      </c>
    </row>
    <row r="68" spans="1:20" ht="19">
      <c r="A68">
        <v>62</v>
      </c>
      <c r="B68" s="204">
        <v>45960</v>
      </c>
      <c r="C68" s="283" t="s">
        <v>1257</v>
      </c>
      <c r="D68" s="283" t="s">
        <v>1258</v>
      </c>
      <c r="E68" s="284">
        <v>959062680</v>
      </c>
      <c r="F68" t="s">
        <v>1703</v>
      </c>
      <c r="G68" s="139">
        <v>40446712</v>
      </c>
      <c r="H68" s="137" t="str">
        <f t="shared" si="4"/>
        <v>GFH 73 INOX CAMPANA (110V-60HZ) C/KIT</v>
      </c>
      <c r="I68" t="s">
        <v>1704</v>
      </c>
      <c r="J68" s="284" t="s">
        <v>1252</v>
      </c>
      <c r="K68" s="250">
        <v>45944</v>
      </c>
      <c r="L68" s="250" t="s">
        <v>25</v>
      </c>
      <c r="M68" s="251" t="s">
        <v>24</v>
      </c>
      <c r="N68" s="251" t="s">
        <v>24</v>
      </c>
      <c r="O68" s="138" t="s">
        <v>1255</v>
      </c>
      <c r="Q68" s="332">
        <f t="shared" si="1"/>
        <v>45959</v>
      </c>
      <c r="R68" s="339" t="s">
        <v>1260</v>
      </c>
      <c r="S68" s="340" t="s">
        <v>1259</v>
      </c>
      <c r="T68" s="159" t="s">
        <v>1705</v>
      </c>
    </row>
    <row r="69" spans="1:20" ht="19">
      <c r="A69">
        <v>63</v>
      </c>
      <c r="B69" s="204">
        <v>45960</v>
      </c>
      <c r="C69" s="283" t="s">
        <v>1257</v>
      </c>
      <c r="D69" s="283" t="s">
        <v>1258</v>
      </c>
      <c r="E69" s="284">
        <v>959062680</v>
      </c>
      <c r="F69" t="s">
        <v>1703</v>
      </c>
      <c r="G69" s="139">
        <v>111020071</v>
      </c>
      <c r="H69" s="137" t="str">
        <f t="shared" si="4"/>
        <v>HBB 510 BK 220-240  50/60 HORNO ELEC</v>
      </c>
      <c r="I69" t="s">
        <v>1704</v>
      </c>
      <c r="J69" s="284" t="s">
        <v>1252</v>
      </c>
      <c r="K69" s="250">
        <v>45944</v>
      </c>
      <c r="L69" s="250" t="s">
        <v>25</v>
      </c>
      <c r="M69" s="251" t="s">
        <v>24</v>
      </c>
      <c r="N69" s="251" t="s">
        <v>24</v>
      </c>
      <c r="O69" s="138" t="s">
        <v>1256</v>
      </c>
      <c r="Q69" s="332">
        <f t="shared" si="1"/>
        <v>45959</v>
      </c>
      <c r="R69" s="339" t="s">
        <v>1260</v>
      </c>
      <c r="S69" s="340" t="s">
        <v>1259</v>
      </c>
      <c r="T69" s="159" t="s">
        <v>1705</v>
      </c>
    </row>
    <row r="70" spans="1:20" ht="19">
      <c r="A70">
        <v>64</v>
      </c>
      <c r="B70" s="143">
        <v>45960</v>
      </c>
      <c r="C70" s="144" t="s">
        <v>1264</v>
      </c>
      <c r="D70" s="144" t="s">
        <v>1265</v>
      </c>
      <c r="E70" s="138">
        <v>984392198</v>
      </c>
      <c r="F70" t="s">
        <v>1703</v>
      </c>
      <c r="G70" s="139">
        <v>40446712</v>
      </c>
      <c r="H70" s="137" t="str">
        <f t="shared" si="4"/>
        <v>GFH 73 INOX CAMPANA (110V-60HZ) C/KIT</v>
      </c>
      <c r="I70" t="s">
        <v>1704</v>
      </c>
      <c r="J70" s="138" t="s">
        <v>1032</v>
      </c>
      <c r="K70" s="153">
        <v>45910</v>
      </c>
      <c r="L70" s="250" t="s">
        <v>25</v>
      </c>
      <c r="M70" s="251" t="s">
        <v>24</v>
      </c>
      <c r="N70" s="251" t="s">
        <v>24</v>
      </c>
      <c r="O70" s="138" t="s">
        <v>1262</v>
      </c>
      <c r="Q70" s="332">
        <f t="shared" si="1"/>
        <v>45959</v>
      </c>
      <c r="R70" s="339" t="s">
        <v>1267</v>
      </c>
      <c r="S70" s="340" t="s">
        <v>1266</v>
      </c>
      <c r="T70" s="159" t="s">
        <v>1705</v>
      </c>
    </row>
    <row r="71" spans="1:20" ht="19">
      <c r="A71">
        <v>65</v>
      </c>
      <c r="B71" s="143">
        <v>45960</v>
      </c>
      <c r="C71" s="144" t="s">
        <v>1264</v>
      </c>
      <c r="D71" s="144" t="s">
        <v>1265</v>
      </c>
      <c r="E71" s="138">
        <v>984392198</v>
      </c>
      <c r="F71" t="s">
        <v>1703</v>
      </c>
      <c r="G71" s="139">
        <v>112580058</v>
      </c>
      <c r="H71" s="137" t="str">
        <f t="shared" si="4"/>
        <v>GBC 95030 KBB BK COCINA GAS</v>
      </c>
      <c r="I71" t="s">
        <v>1704</v>
      </c>
      <c r="J71" s="138" t="s">
        <v>1032</v>
      </c>
      <c r="K71" s="153">
        <v>45910</v>
      </c>
      <c r="L71" s="250" t="s">
        <v>25</v>
      </c>
      <c r="M71" s="251" t="s">
        <v>24</v>
      </c>
      <c r="N71" s="251" t="s">
        <v>24</v>
      </c>
      <c r="O71" s="138" t="s">
        <v>1263</v>
      </c>
      <c r="Q71" s="332">
        <f t="shared" si="1"/>
        <v>45959</v>
      </c>
      <c r="R71" s="339" t="s">
        <v>1267</v>
      </c>
      <c r="S71" s="340" t="s">
        <v>1266</v>
      </c>
      <c r="T71" s="159" t="s">
        <v>1705</v>
      </c>
    </row>
    <row r="72" spans="1:20" ht="19">
      <c r="A72">
        <v>66</v>
      </c>
      <c r="B72" s="264">
        <v>45960</v>
      </c>
      <c r="C72" s="259" t="s">
        <v>1294</v>
      </c>
      <c r="D72" s="259" t="s">
        <v>1295</v>
      </c>
      <c r="E72" s="285">
        <v>963517484</v>
      </c>
      <c r="F72" t="s">
        <v>1703</v>
      </c>
      <c r="G72" s="256">
        <v>111570002</v>
      </c>
      <c r="H72" s="137" t="str">
        <f t="shared" si="4"/>
        <v>COCINA GOURMET BBQ 3100 G BK-SS</v>
      </c>
      <c r="I72" t="s">
        <v>1704</v>
      </c>
      <c r="J72" s="259" t="s">
        <v>1027</v>
      </c>
      <c r="K72" s="263">
        <v>45951</v>
      </c>
      <c r="L72" s="250" t="s">
        <v>25</v>
      </c>
      <c r="M72" s="251" t="s">
        <v>24</v>
      </c>
      <c r="N72" s="251" t="s">
        <v>24</v>
      </c>
      <c r="O72" s="258" t="s">
        <v>1292</v>
      </c>
      <c r="Q72" s="332">
        <f t="shared" si="1"/>
        <v>45959</v>
      </c>
      <c r="R72" s="337" t="s">
        <v>1297</v>
      </c>
      <c r="S72" s="338" t="s">
        <v>1296</v>
      </c>
      <c r="T72" s="159" t="s">
        <v>1705</v>
      </c>
    </row>
    <row r="73" spans="1:20" ht="19">
      <c r="A73">
        <v>67</v>
      </c>
      <c r="B73" s="264">
        <v>45960</v>
      </c>
      <c r="C73" s="259" t="s">
        <v>1294</v>
      </c>
      <c r="D73" s="259" t="s">
        <v>1295</v>
      </c>
      <c r="E73" s="285">
        <v>963517484</v>
      </c>
      <c r="F73" t="s">
        <v>1703</v>
      </c>
      <c r="G73" s="256">
        <v>111570003</v>
      </c>
      <c r="H73" s="137" t="str">
        <f t="shared" ref="H73:H104" si="5">VLOOKUP(G73,PROD,2,FALSE)</f>
        <v>COCINA GOURMET BBQ 4100 G SS</v>
      </c>
      <c r="I73" t="s">
        <v>1704</v>
      </c>
      <c r="J73" s="286" t="s">
        <v>1027</v>
      </c>
      <c r="K73" s="287">
        <v>45951</v>
      </c>
      <c r="L73" s="250" t="s">
        <v>25</v>
      </c>
      <c r="M73" s="251" t="s">
        <v>24</v>
      </c>
      <c r="N73" s="251" t="s">
        <v>24</v>
      </c>
      <c r="O73" s="258" t="s">
        <v>1293</v>
      </c>
      <c r="Q73" s="332">
        <f t="shared" si="1"/>
        <v>45959</v>
      </c>
      <c r="R73" s="337" t="s">
        <v>1297</v>
      </c>
      <c r="S73" s="338" t="s">
        <v>1296</v>
      </c>
      <c r="T73" s="159" t="s">
        <v>1705</v>
      </c>
    </row>
    <row r="74" spans="1:20" ht="19">
      <c r="A74">
        <v>68</v>
      </c>
      <c r="B74" s="143">
        <v>45961</v>
      </c>
      <c r="C74" s="144" t="s">
        <v>1271</v>
      </c>
      <c r="D74" s="144" t="s">
        <v>1272</v>
      </c>
      <c r="E74" s="138">
        <v>983275741</v>
      </c>
      <c r="F74" t="s">
        <v>1703</v>
      </c>
      <c r="G74" s="139">
        <v>112570128</v>
      </c>
      <c r="H74" s="137" t="str">
        <f t="shared" si="5"/>
        <v>JZC 96342 BBB BK (LAT) COCINA MIXTA GAS - INDUCCION</v>
      </c>
      <c r="I74" t="s">
        <v>1704</v>
      </c>
      <c r="J74" s="138" t="s">
        <v>1032</v>
      </c>
      <c r="K74" s="153">
        <v>45943</v>
      </c>
      <c r="L74" s="250" t="s">
        <v>25</v>
      </c>
      <c r="M74" s="251" t="s">
        <v>24</v>
      </c>
      <c r="N74" s="251" t="s">
        <v>24</v>
      </c>
      <c r="O74" s="138" t="s">
        <v>1269</v>
      </c>
      <c r="Q74" s="332">
        <f t="shared" ref="Q74:Q138" si="6">B74-1</f>
        <v>45960</v>
      </c>
      <c r="R74" s="339" t="s">
        <v>1274</v>
      </c>
      <c r="S74" s="340" t="s">
        <v>1273</v>
      </c>
      <c r="T74" s="159" t="s">
        <v>1705</v>
      </c>
    </row>
    <row r="75" spans="1:20" ht="19">
      <c r="A75">
        <v>69</v>
      </c>
      <c r="B75" s="143">
        <v>45961</v>
      </c>
      <c r="C75" s="144" t="s">
        <v>1271</v>
      </c>
      <c r="D75" s="144" t="s">
        <v>1272</v>
      </c>
      <c r="E75" s="138">
        <v>983275741</v>
      </c>
      <c r="F75" t="s">
        <v>1703</v>
      </c>
      <c r="G75" s="139">
        <v>111030002</v>
      </c>
      <c r="H75" s="137" t="str">
        <f t="shared" si="5"/>
        <v>HLB 760 G SS HORNO A GAS</v>
      </c>
      <c r="I75" t="s">
        <v>1704</v>
      </c>
      <c r="J75" s="138" t="s">
        <v>1032</v>
      </c>
      <c r="K75" s="153">
        <v>45943</v>
      </c>
      <c r="L75" s="250" t="s">
        <v>25</v>
      </c>
      <c r="M75" s="251" t="s">
        <v>24</v>
      </c>
      <c r="N75" s="251" t="s">
        <v>24</v>
      </c>
      <c r="O75" s="138" t="s">
        <v>1270</v>
      </c>
      <c r="Q75" s="332">
        <f t="shared" si="6"/>
        <v>45960</v>
      </c>
      <c r="R75" s="339" t="s">
        <v>1274</v>
      </c>
      <c r="S75" s="340" t="s">
        <v>1273</v>
      </c>
      <c r="T75" s="159" t="s">
        <v>1705</v>
      </c>
    </row>
    <row r="76" spans="1:20" ht="19">
      <c r="A76">
        <v>70</v>
      </c>
      <c r="B76" s="143">
        <v>45961</v>
      </c>
      <c r="C76" s="144" t="s">
        <v>1279</v>
      </c>
      <c r="D76" s="144" t="s">
        <v>1280</v>
      </c>
      <c r="E76" s="138">
        <v>987512754</v>
      </c>
      <c r="F76" t="s">
        <v>1703</v>
      </c>
      <c r="G76" s="139">
        <v>112520025</v>
      </c>
      <c r="H76" s="137" t="str">
        <f t="shared" si="5"/>
        <v>IZC 64010 MSS COCINA INDUCCION</v>
      </c>
      <c r="I76" t="s">
        <v>1704</v>
      </c>
      <c r="J76" s="138" t="s">
        <v>1032</v>
      </c>
      <c r="K76" s="153">
        <v>45932</v>
      </c>
      <c r="L76" s="250" t="s">
        <v>25</v>
      </c>
      <c r="M76" s="251" t="s">
        <v>24</v>
      </c>
      <c r="N76" s="251" t="s">
        <v>24</v>
      </c>
      <c r="O76" s="138" t="s">
        <v>1276</v>
      </c>
      <c r="Q76" s="332">
        <f t="shared" si="6"/>
        <v>45960</v>
      </c>
      <c r="R76" s="339" t="s">
        <v>1282</v>
      </c>
      <c r="S76" s="340" t="s">
        <v>1281</v>
      </c>
      <c r="T76" s="159" t="s">
        <v>1705</v>
      </c>
    </row>
    <row r="77" spans="1:20" ht="19">
      <c r="A77">
        <v>71</v>
      </c>
      <c r="B77" s="143">
        <v>45961</v>
      </c>
      <c r="C77" s="144" t="s">
        <v>1288</v>
      </c>
      <c r="D77" s="144" t="s">
        <v>1289</v>
      </c>
      <c r="E77" s="138">
        <v>986363298</v>
      </c>
      <c r="F77" t="s">
        <v>1703</v>
      </c>
      <c r="G77" s="139">
        <v>112950021</v>
      </c>
      <c r="H77" s="137" t="str">
        <f t="shared" si="5"/>
        <v>DVN 94030 TCL BK CAMPANA (110V-60HZ) C/KIT</v>
      </c>
      <c r="I77" t="s">
        <v>1704</v>
      </c>
      <c r="J77" s="138" t="s">
        <v>1220</v>
      </c>
      <c r="K77" s="153">
        <v>45626</v>
      </c>
      <c r="L77" s="250" t="s">
        <v>25</v>
      </c>
      <c r="M77" s="251" t="s">
        <v>24</v>
      </c>
      <c r="N77" s="251" t="s">
        <v>24</v>
      </c>
      <c r="O77" s="138" t="s">
        <v>1285</v>
      </c>
      <c r="Q77" s="332">
        <f t="shared" si="6"/>
        <v>45960</v>
      </c>
      <c r="R77" s="339" t="s">
        <v>1291</v>
      </c>
      <c r="S77" s="340" t="s">
        <v>1290</v>
      </c>
      <c r="T77" s="159" t="s">
        <v>1705</v>
      </c>
    </row>
    <row r="78" spans="1:20" ht="19">
      <c r="A78">
        <v>72</v>
      </c>
      <c r="B78" s="143">
        <v>45961</v>
      </c>
      <c r="C78" s="144" t="s">
        <v>1288</v>
      </c>
      <c r="D78" s="144" t="s">
        <v>1289</v>
      </c>
      <c r="E78" s="138">
        <v>986363298</v>
      </c>
      <c r="F78" t="s">
        <v>1703</v>
      </c>
      <c r="G78" s="139">
        <v>111020071</v>
      </c>
      <c r="H78" s="137" t="str">
        <f t="shared" si="5"/>
        <v>HBB 510 BK 220-240  50/60 HORNO ELEC</v>
      </c>
      <c r="I78" t="s">
        <v>1704</v>
      </c>
      <c r="J78" s="138" t="s">
        <v>1220</v>
      </c>
      <c r="K78" s="153">
        <v>45626</v>
      </c>
      <c r="L78" s="250" t="s">
        <v>25</v>
      </c>
      <c r="M78" s="251" t="s">
        <v>24</v>
      </c>
      <c r="N78" s="251" t="s">
        <v>24</v>
      </c>
      <c r="O78" s="138" t="s">
        <v>1286</v>
      </c>
      <c r="Q78" s="332">
        <f t="shared" si="6"/>
        <v>45960</v>
      </c>
      <c r="R78" s="339" t="s">
        <v>1291</v>
      </c>
      <c r="S78" s="340" t="s">
        <v>1290</v>
      </c>
      <c r="T78" s="159" t="s">
        <v>1705</v>
      </c>
    </row>
    <row r="79" spans="1:20" ht="19">
      <c r="A79">
        <v>73</v>
      </c>
      <c r="B79" s="143">
        <v>45961</v>
      </c>
      <c r="C79" s="144" t="s">
        <v>1288</v>
      </c>
      <c r="D79" s="144" t="s">
        <v>1289</v>
      </c>
      <c r="E79" s="138">
        <v>986363298</v>
      </c>
      <c r="F79" t="s">
        <v>1703</v>
      </c>
      <c r="G79" s="139">
        <v>40584202</v>
      </c>
      <c r="H79" s="137" t="str">
        <f t="shared" si="5"/>
        <v>ML 820 BIS - MICROONDAS</v>
      </c>
      <c r="I79" t="s">
        <v>1704</v>
      </c>
      <c r="J79" s="138" t="s">
        <v>1220</v>
      </c>
      <c r="K79" s="153">
        <v>45626</v>
      </c>
      <c r="L79" s="250" t="s">
        <v>25</v>
      </c>
      <c r="M79" s="251" t="s">
        <v>24</v>
      </c>
      <c r="N79" s="251" t="s">
        <v>24</v>
      </c>
      <c r="O79" s="138" t="s">
        <v>1287</v>
      </c>
      <c r="Q79" s="332">
        <f t="shared" si="6"/>
        <v>45960</v>
      </c>
      <c r="R79" s="339" t="s">
        <v>1291</v>
      </c>
      <c r="S79" s="340" t="s">
        <v>1290</v>
      </c>
      <c r="T79" s="159" t="s">
        <v>1705</v>
      </c>
    </row>
    <row r="80" spans="1:20" ht="19">
      <c r="A80">
        <v>74</v>
      </c>
      <c r="B80" s="199">
        <v>45961</v>
      </c>
      <c r="C80" s="265" t="s">
        <v>1332</v>
      </c>
      <c r="D80" s="265" t="s">
        <v>1142</v>
      </c>
      <c r="E80" s="266">
        <v>995834108</v>
      </c>
      <c r="F80" t="s">
        <v>1703</v>
      </c>
      <c r="G80" s="198">
        <v>40782128</v>
      </c>
      <c r="H80" s="137" t="str">
        <f t="shared" si="5"/>
        <v>DW8 57 FIM-D LAVAVAJILLAS</v>
      </c>
      <c r="I80" t="s">
        <v>1704</v>
      </c>
      <c r="J80" s="265" t="s">
        <v>1241</v>
      </c>
      <c r="K80" s="267">
        <v>45926</v>
      </c>
      <c r="L80" s="250" t="s">
        <v>25</v>
      </c>
      <c r="M80" s="251" t="s">
        <v>24</v>
      </c>
      <c r="N80" s="251" t="s">
        <v>24</v>
      </c>
      <c r="O80" s="266" t="s">
        <v>1331</v>
      </c>
      <c r="Q80" s="332">
        <f t="shared" si="6"/>
        <v>45960</v>
      </c>
      <c r="R80" s="341" t="s">
        <v>1334</v>
      </c>
      <c r="S80" s="334" t="s">
        <v>1333</v>
      </c>
      <c r="T80" s="159" t="s">
        <v>1705</v>
      </c>
    </row>
    <row r="81" spans="1:20" ht="19">
      <c r="A81">
        <v>75</v>
      </c>
      <c r="B81" s="199">
        <v>45961</v>
      </c>
      <c r="C81" s="265" t="s">
        <v>1337</v>
      </c>
      <c r="D81" s="265" t="s">
        <v>1338</v>
      </c>
      <c r="E81" s="266">
        <v>968697049</v>
      </c>
      <c r="F81" t="s">
        <v>1703</v>
      </c>
      <c r="G81" s="198">
        <v>112580058</v>
      </c>
      <c r="H81" s="137" t="str">
        <f t="shared" si="5"/>
        <v>GBC 95030 KBB BK COCINA GAS</v>
      </c>
      <c r="I81" t="s">
        <v>1704</v>
      </c>
      <c r="J81" s="265" t="s">
        <v>1252</v>
      </c>
      <c r="K81" s="267">
        <v>45957</v>
      </c>
      <c r="L81" s="250" t="s">
        <v>25</v>
      </c>
      <c r="M81" s="251" t="s">
        <v>24</v>
      </c>
      <c r="N81" s="251" t="s">
        <v>24</v>
      </c>
      <c r="O81" s="266" t="s">
        <v>1336</v>
      </c>
      <c r="Q81" s="332">
        <f t="shared" si="6"/>
        <v>45960</v>
      </c>
      <c r="R81" s="341" t="s">
        <v>1340</v>
      </c>
      <c r="S81" s="334" t="s">
        <v>1339</v>
      </c>
      <c r="T81" s="159" t="s">
        <v>1705</v>
      </c>
    </row>
    <row r="82" spans="1:20" ht="19">
      <c r="A82">
        <v>76</v>
      </c>
      <c r="B82" s="199">
        <v>45961</v>
      </c>
      <c r="C82" s="265" t="s">
        <v>1343</v>
      </c>
      <c r="D82" s="265" t="s">
        <v>1344</v>
      </c>
      <c r="E82" s="266">
        <v>968897796</v>
      </c>
      <c r="F82" t="s">
        <v>1703</v>
      </c>
      <c r="G82" s="198">
        <v>112580058</v>
      </c>
      <c r="H82" s="137" t="str">
        <f t="shared" si="5"/>
        <v>GBC 95030 KBB BK COCINA GAS</v>
      </c>
      <c r="I82" t="s">
        <v>1704</v>
      </c>
      <c r="J82" s="265" t="s">
        <v>1032</v>
      </c>
      <c r="K82" s="267">
        <v>45939</v>
      </c>
      <c r="L82" s="250" t="s">
        <v>25</v>
      </c>
      <c r="M82" s="251" t="s">
        <v>24</v>
      </c>
      <c r="N82" s="251" t="s">
        <v>24</v>
      </c>
      <c r="O82" s="266" t="s">
        <v>1342</v>
      </c>
      <c r="Q82" s="332">
        <f t="shared" si="6"/>
        <v>45960</v>
      </c>
      <c r="R82" s="341" t="s">
        <v>1346</v>
      </c>
      <c r="S82" s="334" t="s">
        <v>1345</v>
      </c>
      <c r="T82" s="159" t="s">
        <v>1705</v>
      </c>
    </row>
    <row r="83" spans="1:20" ht="19">
      <c r="A83">
        <v>77</v>
      </c>
      <c r="B83" s="199">
        <v>45961</v>
      </c>
      <c r="C83" s="266" t="s">
        <v>1349</v>
      </c>
      <c r="D83" s="266" t="s">
        <v>1350</v>
      </c>
      <c r="E83" s="266">
        <v>994485055</v>
      </c>
      <c r="F83" t="s">
        <v>1703</v>
      </c>
      <c r="G83" s="198">
        <v>113120010</v>
      </c>
      <c r="H83" s="288" t="str">
        <f t="shared" si="5"/>
        <v>GFI 97350 ECS IX 110/60 CAMPANA</v>
      </c>
      <c r="I83" t="s">
        <v>1704</v>
      </c>
      <c r="J83" s="266" t="s">
        <v>1220</v>
      </c>
      <c r="K83" s="267">
        <v>45925</v>
      </c>
      <c r="L83" s="250" t="s">
        <v>25</v>
      </c>
      <c r="M83" s="251" t="s">
        <v>24</v>
      </c>
      <c r="N83" s="251" t="s">
        <v>24</v>
      </c>
      <c r="O83" s="266" t="s">
        <v>1348</v>
      </c>
      <c r="Q83" s="332">
        <f t="shared" si="6"/>
        <v>45960</v>
      </c>
      <c r="R83" s="348" t="s">
        <v>1352</v>
      </c>
      <c r="S83" s="334" t="s">
        <v>1351</v>
      </c>
      <c r="T83" s="159" t="s">
        <v>1705</v>
      </c>
    </row>
    <row r="84" spans="1:20" ht="20">
      <c r="A84">
        <v>78</v>
      </c>
      <c r="B84" s="289">
        <v>45961</v>
      </c>
      <c r="C84" s="290" t="s">
        <v>1321</v>
      </c>
      <c r="D84" s="290" t="s">
        <v>1322</v>
      </c>
      <c r="E84" s="291" t="s">
        <v>1323</v>
      </c>
      <c r="F84" t="s">
        <v>1703</v>
      </c>
      <c r="G84" s="292">
        <v>113120010</v>
      </c>
      <c r="H84" s="293" t="str">
        <f t="shared" si="5"/>
        <v>GFI 97350 ECS IX 110/60 CAMPANA</v>
      </c>
      <c r="I84" t="s">
        <v>1704</v>
      </c>
      <c r="J84" s="294" t="s">
        <v>1027</v>
      </c>
      <c r="K84" s="295">
        <v>45961</v>
      </c>
      <c r="L84" s="250" t="s">
        <v>25</v>
      </c>
      <c r="M84" s="251" t="s">
        <v>24</v>
      </c>
      <c r="N84" s="251" t="s">
        <v>24</v>
      </c>
      <c r="O84" s="296" t="s">
        <v>1320</v>
      </c>
      <c r="Q84" s="332">
        <f t="shared" si="6"/>
        <v>45960</v>
      </c>
      <c r="R84" s="349" t="s">
        <v>1719</v>
      </c>
      <c r="S84" s="350" t="s">
        <v>1719</v>
      </c>
      <c r="T84" s="210" t="s">
        <v>1551</v>
      </c>
    </row>
    <row r="85" spans="1:20" ht="19">
      <c r="A85">
        <v>79</v>
      </c>
      <c r="B85" s="143">
        <v>45961</v>
      </c>
      <c r="C85" s="144" t="s">
        <v>1279</v>
      </c>
      <c r="D85" s="144" t="s">
        <v>1280</v>
      </c>
      <c r="E85" s="138">
        <v>987512754</v>
      </c>
      <c r="F85" t="s">
        <v>1703</v>
      </c>
      <c r="G85" s="139">
        <v>40584012</v>
      </c>
      <c r="H85" s="137" t="str">
        <f t="shared" si="5"/>
        <v>MS 620 BIS - MICROONDAS</v>
      </c>
      <c r="I85" t="s">
        <v>1704</v>
      </c>
      <c r="J85" s="138" t="s">
        <v>1032</v>
      </c>
      <c r="K85" s="153">
        <v>45937</v>
      </c>
      <c r="L85" s="250" t="s">
        <v>25</v>
      </c>
      <c r="M85" s="251" t="s">
        <v>24</v>
      </c>
      <c r="N85" s="251" t="s">
        <v>24</v>
      </c>
      <c r="O85" s="138" t="s">
        <v>1277</v>
      </c>
      <c r="Q85" s="332">
        <f t="shared" si="6"/>
        <v>45960</v>
      </c>
      <c r="R85" s="339" t="s">
        <v>1282</v>
      </c>
      <c r="S85" s="340" t="s">
        <v>1281</v>
      </c>
      <c r="T85" s="159" t="s">
        <v>1705</v>
      </c>
    </row>
    <row r="86" spans="1:20" ht="19">
      <c r="A86">
        <v>80</v>
      </c>
      <c r="B86" s="143">
        <v>45966</v>
      </c>
      <c r="C86" s="144" t="s">
        <v>1302</v>
      </c>
      <c r="D86" s="144" t="s">
        <v>1303</v>
      </c>
      <c r="E86" s="138">
        <v>984553983</v>
      </c>
      <c r="F86" t="s">
        <v>1703</v>
      </c>
      <c r="G86" s="139">
        <v>41596006</v>
      </c>
      <c r="H86" s="137" t="str">
        <f t="shared" si="5"/>
        <v>HLF 824 G SS HORNO A GAS</v>
      </c>
      <c r="I86" t="s">
        <v>1704</v>
      </c>
      <c r="J86" s="138" t="s">
        <v>1032</v>
      </c>
      <c r="K86" s="153">
        <v>45897</v>
      </c>
      <c r="L86" s="250" t="s">
        <v>25</v>
      </c>
      <c r="M86" s="251" t="s">
        <v>24</v>
      </c>
      <c r="N86" s="251" t="s">
        <v>24</v>
      </c>
      <c r="O86" s="138" t="s">
        <v>1299</v>
      </c>
      <c r="Q86" s="332">
        <f t="shared" si="6"/>
        <v>45965</v>
      </c>
      <c r="R86" s="339" t="s">
        <v>1305</v>
      </c>
      <c r="S86" s="340" t="s">
        <v>1304</v>
      </c>
      <c r="T86" s="159" t="s">
        <v>1705</v>
      </c>
    </row>
    <row r="87" spans="1:20" ht="19">
      <c r="A87">
        <v>81</v>
      </c>
      <c r="B87" s="143">
        <v>45966</v>
      </c>
      <c r="C87" s="144" t="s">
        <v>1302</v>
      </c>
      <c r="D87" s="144" t="s">
        <v>1303</v>
      </c>
      <c r="E87" s="138">
        <v>984553983</v>
      </c>
      <c r="F87" t="s">
        <v>1703</v>
      </c>
      <c r="G87" s="139">
        <v>40467305</v>
      </c>
      <c r="H87" s="137" t="str">
        <f t="shared" si="5"/>
        <v>C 710 NEGRA CAMPANA (110V-60HZ) C/KIT</v>
      </c>
      <c r="I87" t="s">
        <v>1704</v>
      </c>
      <c r="J87" s="138" t="s">
        <v>1032</v>
      </c>
      <c r="K87" s="153">
        <v>45891</v>
      </c>
      <c r="L87" s="250" t="s">
        <v>25</v>
      </c>
      <c r="M87" s="251" t="s">
        <v>24</v>
      </c>
      <c r="N87" s="251" t="s">
        <v>24</v>
      </c>
      <c r="O87" s="188" t="s">
        <v>1300</v>
      </c>
      <c r="Q87" s="332">
        <f t="shared" si="6"/>
        <v>45965</v>
      </c>
      <c r="R87" s="339" t="s">
        <v>1305</v>
      </c>
      <c r="S87" s="340" t="s">
        <v>1304</v>
      </c>
      <c r="T87" s="159" t="s">
        <v>1705</v>
      </c>
    </row>
    <row r="88" spans="1:20" ht="19">
      <c r="A88">
        <v>82</v>
      </c>
      <c r="B88" s="143">
        <v>45966</v>
      </c>
      <c r="C88" s="144" t="s">
        <v>1302</v>
      </c>
      <c r="D88" s="144" t="s">
        <v>1303</v>
      </c>
      <c r="E88" s="138">
        <v>984553983</v>
      </c>
      <c r="F88" t="s">
        <v>1703</v>
      </c>
      <c r="G88" s="139">
        <v>112570093</v>
      </c>
      <c r="H88" s="137" t="str">
        <f t="shared" si="5"/>
        <v>GZC 75330 XBB CRISTAL COCINA GAS</v>
      </c>
      <c r="I88" t="s">
        <v>1704</v>
      </c>
      <c r="J88" s="138" t="s">
        <v>1032</v>
      </c>
      <c r="K88" s="153">
        <v>45891</v>
      </c>
      <c r="L88" s="250" t="s">
        <v>25</v>
      </c>
      <c r="M88" s="251" t="s">
        <v>24</v>
      </c>
      <c r="N88" s="251" t="s">
        <v>24</v>
      </c>
      <c r="O88" s="138" t="s">
        <v>1301</v>
      </c>
      <c r="Q88" s="332">
        <f t="shared" si="6"/>
        <v>45965</v>
      </c>
      <c r="R88" s="339" t="s">
        <v>1305</v>
      </c>
      <c r="S88" s="340" t="s">
        <v>1304</v>
      </c>
      <c r="T88" s="159" t="s">
        <v>1705</v>
      </c>
    </row>
    <row r="89" spans="1:20" ht="19">
      <c r="A89">
        <v>83</v>
      </c>
      <c r="B89" s="264">
        <v>45966</v>
      </c>
      <c r="C89" s="259" t="s">
        <v>1310</v>
      </c>
      <c r="D89" s="259" t="s">
        <v>1311</v>
      </c>
      <c r="E89" s="260">
        <v>989790921</v>
      </c>
      <c r="F89" t="s">
        <v>1703</v>
      </c>
      <c r="G89" s="256">
        <v>111570003</v>
      </c>
      <c r="H89" s="137" t="str">
        <f t="shared" si="5"/>
        <v>COCINA GOURMET BBQ 4100 G SS</v>
      </c>
      <c r="I89" t="s">
        <v>1704</v>
      </c>
      <c r="J89" s="259" t="s">
        <v>1033</v>
      </c>
      <c r="K89" s="263">
        <v>45874</v>
      </c>
      <c r="L89" s="250" t="s">
        <v>25</v>
      </c>
      <c r="M89" s="251" t="s">
        <v>24</v>
      </c>
      <c r="N89" s="251" t="s">
        <v>24</v>
      </c>
      <c r="O89" s="258" t="s">
        <v>1309</v>
      </c>
      <c r="Q89" s="332">
        <f t="shared" si="6"/>
        <v>45965</v>
      </c>
      <c r="R89" s="337" t="s">
        <v>1313</v>
      </c>
      <c r="S89" s="338" t="s">
        <v>1312</v>
      </c>
      <c r="T89" s="159" t="s">
        <v>1705</v>
      </c>
    </row>
    <row r="90" spans="1:20" ht="19">
      <c r="A90">
        <v>84</v>
      </c>
      <c r="B90" s="264">
        <v>45966</v>
      </c>
      <c r="C90" s="259" t="s">
        <v>1316</v>
      </c>
      <c r="D90" s="259" t="s">
        <v>1317</v>
      </c>
      <c r="E90" s="260">
        <v>998869255</v>
      </c>
      <c r="F90" t="s">
        <v>1703</v>
      </c>
      <c r="G90" s="256">
        <v>111570003</v>
      </c>
      <c r="H90" s="137" t="str">
        <f t="shared" si="5"/>
        <v>COCINA GOURMET BBQ 4100 G SS</v>
      </c>
      <c r="I90" t="s">
        <v>1704</v>
      </c>
      <c r="J90" s="259" t="s">
        <v>1033</v>
      </c>
      <c r="K90" s="263">
        <v>45926</v>
      </c>
      <c r="L90" s="250" t="s">
        <v>25</v>
      </c>
      <c r="M90" s="251" t="s">
        <v>24</v>
      </c>
      <c r="N90" s="251" t="s">
        <v>24</v>
      </c>
      <c r="O90" s="258" t="s">
        <v>1315</v>
      </c>
      <c r="Q90" s="332">
        <f t="shared" si="6"/>
        <v>45965</v>
      </c>
      <c r="R90" s="337" t="s">
        <v>1319</v>
      </c>
      <c r="S90" s="338" t="s">
        <v>1318</v>
      </c>
      <c r="T90" s="159" t="s">
        <v>1705</v>
      </c>
    </row>
    <row r="91" spans="1:20" ht="19">
      <c r="A91">
        <v>85</v>
      </c>
      <c r="B91" s="154">
        <v>45967</v>
      </c>
      <c r="C91" s="297" t="s">
        <v>1359</v>
      </c>
      <c r="D91" s="297" t="s">
        <v>1360</v>
      </c>
      <c r="E91" s="298">
        <v>984150756</v>
      </c>
      <c r="F91" t="s">
        <v>1703</v>
      </c>
      <c r="G91" s="139">
        <v>41560074</v>
      </c>
      <c r="H91" s="137" t="str">
        <f t="shared" si="5"/>
        <v>HLB 840 INOX HORNO ELEC</v>
      </c>
      <c r="I91" t="s">
        <v>1704</v>
      </c>
      <c r="J91" s="138" t="s">
        <v>1033</v>
      </c>
      <c r="K91" s="153">
        <v>45833</v>
      </c>
      <c r="L91" s="250" t="s">
        <v>25</v>
      </c>
      <c r="M91" s="251" t="s">
        <v>24</v>
      </c>
      <c r="N91" s="251" t="s">
        <v>24</v>
      </c>
      <c r="O91" s="138" t="s">
        <v>1354</v>
      </c>
      <c r="Q91" s="332">
        <f t="shared" si="6"/>
        <v>45966</v>
      </c>
      <c r="R91" s="351" t="s">
        <v>1362</v>
      </c>
      <c r="S91" s="352" t="s">
        <v>1361</v>
      </c>
      <c r="T91" s="159" t="s">
        <v>1705</v>
      </c>
    </row>
    <row r="92" spans="1:20" ht="19">
      <c r="A92">
        <v>86</v>
      </c>
      <c r="B92" s="154">
        <v>45967</v>
      </c>
      <c r="C92" s="297" t="s">
        <v>1359</v>
      </c>
      <c r="D92" s="297" t="s">
        <v>1360</v>
      </c>
      <c r="E92" s="298">
        <v>984150756</v>
      </c>
      <c r="F92" t="s">
        <v>1703</v>
      </c>
      <c r="G92" s="139">
        <v>40584305</v>
      </c>
      <c r="H92" s="137" t="str">
        <f t="shared" si="5"/>
        <v>ML 822 BIS - MICROONDAS (112030008)</v>
      </c>
      <c r="I92" t="s">
        <v>1704</v>
      </c>
      <c r="J92" s="138" t="s">
        <v>1033</v>
      </c>
      <c r="K92" s="153">
        <v>45833</v>
      </c>
      <c r="L92" s="250" t="s">
        <v>25</v>
      </c>
      <c r="M92" s="251" t="s">
        <v>24</v>
      </c>
      <c r="N92" s="251" t="s">
        <v>24</v>
      </c>
      <c r="O92" s="188" t="s">
        <v>1355</v>
      </c>
      <c r="Q92" s="332">
        <f t="shared" si="6"/>
        <v>45966</v>
      </c>
      <c r="R92" s="351" t="s">
        <v>1362</v>
      </c>
      <c r="S92" s="352" t="s">
        <v>1361</v>
      </c>
      <c r="T92" s="159" t="s">
        <v>1705</v>
      </c>
    </row>
    <row r="93" spans="1:20" ht="19">
      <c r="A93">
        <v>87</v>
      </c>
      <c r="B93" s="154">
        <v>45967</v>
      </c>
      <c r="C93" s="297" t="s">
        <v>1359</v>
      </c>
      <c r="D93" s="297" t="s">
        <v>1360</v>
      </c>
      <c r="E93" s="298">
        <v>984150756</v>
      </c>
      <c r="F93" t="s">
        <v>1703</v>
      </c>
      <c r="G93" s="139">
        <v>112570124</v>
      </c>
      <c r="H93" s="137" t="str">
        <f t="shared" si="5"/>
        <v>JZC 64322 ABB BK (LAT) COCINA MIXTA GAS - INDUCCION</v>
      </c>
      <c r="I93" t="s">
        <v>1704</v>
      </c>
      <c r="J93" s="138" t="s">
        <v>1033</v>
      </c>
      <c r="K93" s="153">
        <v>45833</v>
      </c>
      <c r="L93" s="250" t="s">
        <v>25</v>
      </c>
      <c r="M93" s="251" t="s">
        <v>24</v>
      </c>
      <c r="N93" s="251" t="s">
        <v>24</v>
      </c>
      <c r="O93" s="138" t="s">
        <v>1356</v>
      </c>
      <c r="Q93" s="332">
        <f t="shared" si="6"/>
        <v>45966</v>
      </c>
      <c r="R93" s="351" t="s">
        <v>1362</v>
      </c>
      <c r="S93" s="352" t="s">
        <v>1361</v>
      </c>
      <c r="T93" s="159" t="s">
        <v>1705</v>
      </c>
    </row>
    <row r="94" spans="1:20" ht="19">
      <c r="A94">
        <v>88</v>
      </c>
      <c r="B94" s="154">
        <v>45967</v>
      </c>
      <c r="C94" s="297" t="s">
        <v>1359</v>
      </c>
      <c r="D94" s="297" t="s">
        <v>1360</v>
      </c>
      <c r="E94" s="298">
        <v>984150756</v>
      </c>
      <c r="F94" t="s">
        <v>1703</v>
      </c>
      <c r="G94" s="139">
        <v>113100004</v>
      </c>
      <c r="H94" s="137" t="str">
        <f t="shared" si="5"/>
        <v>CAMPANA DHT 97670 ROS WH</v>
      </c>
      <c r="I94" t="s">
        <v>1704</v>
      </c>
      <c r="J94" s="138" t="s">
        <v>1033</v>
      </c>
      <c r="K94" s="153">
        <v>45833</v>
      </c>
      <c r="L94" s="250" t="s">
        <v>25</v>
      </c>
      <c r="M94" s="251" t="s">
        <v>24</v>
      </c>
      <c r="N94" s="251" t="s">
        <v>24</v>
      </c>
      <c r="O94" s="138" t="s">
        <v>1357</v>
      </c>
      <c r="Q94" s="332">
        <f t="shared" si="6"/>
        <v>45966</v>
      </c>
      <c r="R94" s="351" t="s">
        <v>1362</v>
      </c>
      <c r="S94" s="352" t="s">
        <v>1361</v>
      </c>
      <c r="T94" s="159" t="s">
        <v>1705</v>
      </c>
    </row>
    <row r="95" spans="1:20" ht="19">
      <c r="A95">
        <v>89</v>
      </c>
      <c r="B95" s="143">
        <v>45967</v>
      </c>
      <c r="C95" s="144" t="s">
        <v>1370</v>
      </c>
      <c r="D95" s="144" t="s">
        <v>1371</v>
      </c>
      <c r="E95" s="138">
        <v>5726697</v>
      </c>
      <c r="F95" t="s">
        <v>1703</v>
      </c>
      <c r="G95" s="139">
        <v>40466241</v>
      </c>
      <c r="H95" s="137" t="str">
        <f t="shared" si="5"/>
        <v>C 9310 INOX CAMPANA (110V-60HZ) C/KIT</v>
      </c>
      <c r="I95" t="s">
        <v>1704</v>
      </c>
      <c r="J95" s="138" t="s">
        <v>1363</v>
      </c>
      <c r="K95" s="153">
        <v>45933</v>
      </c>
      <c r="L95" s="250" t="s">
        <v>25</v>
      </c>
      <c r="M95" s="251" t="s">
        <v>24</v>
      </c>
      <c r="N95" s="251" t="s">
        <v>24</v>
      </c>
      <c r="O95" s="138" t="s">
        <v>1369</v>
      </c>
      <c r="Q95" s="332">
        <f t="shared" si="6"/>
        <v>45966</v>
      </c>
      <c r="R95" s="339" t="s">
        <v>1373</v>
      </c>
      <c r="S95" s="340" t="s">
        <v>1372</v>
      </c>
      <c r="T95" s="159" t="s">
        <v>1705</v>
      </c>
    </row>
    <row r="96" spans="1:20" ht="19">
      <c r="A96">
        <v>90</v>
      </c>
      <c r="B96" s="143">
        <v>45967</v>
      </c>
      <c r="C96" s="144" t="s">
        <v>1370</v>
      </c>
      <c r="D96" s="144" t="s">
        <v>1371</v>
      </c>
      <c r="E96" s="138">
        <v>5726697</v>
      </c>
      <c r="F96" t="s">
        <v>1703</v>
      </c>
      <c r="G96" s="139">
        <v>112610067</v>
      </c>
      <c r="H96" s="137" t="str">
        <f t="shared" si="5"/>
        <v>GSC 96320 XBA IX (LAT) COCINA INOX</v>
      </c>
      <c r="I96" t="s">
        <v>1704</v>
      </c>
      <c r="J96" s="138" t="s">
        <v>1363</v>
      </c>
      <c r="K96" s="153">
        <v>45933</v>
      </c>
      <c r="L96" s="250" t="s">
        <v>25</v>
      </c>
      <c r="M96" s="251" t="s">
        <v>24</v>
      </c>
      <c r="N96" s="251" t="s">
        <v>24</v>
      </c>
      <c r="O96" s="138" t="s">
        <v>1368</v>
      </c>
      <c r="Q96" s="332">
        <f t="shared" si="6"/>
        <v>45966</v>
      </c>
      <c r="R96" s="339" t="s">
        <v>1373</v>
      </c>
      <c r="S96" s="340" t="s">
        <v>1372</v>
      </c>
      <c r="T96" s="159" t="s">
        <v>1705</v>
      </c>
    </row>
    <row r="97" spans="1:20" ht="19">
      <c r="A97">
        <v>91</v>
      </c>
      <c r="B97" s="143">
        <v>45967</v>
      </c>
      <c r="C97" s="144" t="s">
        <v>1370</v>
      </c>
      <c r="D97" s="144" t="s">
        <v>1371</v>
      </c>
      <c r="E97" s="138">
        <v>5726697</v>
      </c>
      <c r="F97" t="s">
        <v>1703</v>
      </c>
      <c r="G97" s="139">
        <v>40584105</v>
      </c>
      <c r="H97" s="137" t="str">
        <f t="shared" si="5"/>
        <v>MS 622 BIS - MICROONDAS</v>
      </c>
      <c r="I97" t="s">
        <v>1704</v>
      </c>
      <c r="J97" s="138" t="s">
        <v>1363</v>
      </c>
      <c r="K97" s="153">
        <v>45933</v>
      </c>
      <c r="L97" s="250" t="s">
        <v>25</v>
      </c>
      <c r="M97" s="251" t="s">
        <v>24</v>
      </c>
      <c r="N97" s="251" t="s">
        <v>24</v>
      </c>
      <c r="O97" s="138" t="s">
        <v>1367</v>
      </c>
      <c r="Q97" s="332">
        <f t="shared" si="6"/>
        <v>45966</v>
      </c>
      <c r="R97" s="339" t="s">
        <v>1373</v>
      </c>
      <c r="S97" s="340" t="s">
        <v>1372</v>
      </c>
      <c r="T97" s="159" t="s">
        <v>1705</v>
      </c>
    </row>
    <row r="98" spans="1:20" ht="19">
      <c r="A98">
        <v>92</v>
      </c>
      <c r="B98" s="143">
        <v>45967</v>
      </c>
      <c r="C98" s="144" t="s">
        <v>1370</v>
      </c>
      <c r="D98" s="144" t="s">
        <v>1371</v>
      </c>
      <c r="E98" s="138">
        <v>5726697</v>
      </c>
      <c r="F98" t="s">
        <v>1703</v>
      </c>
      <c r="G98" s="139">
        <v>111010028</v>
      </c>
      <c r="H98" s="137" t="str">
        <f t="shared" si="5"/>
        <v>HSB 646 "AIRFRY" - HORNO ELEC</v>
      </c>
      <c r="I98" t="s">
        <v>1704</v>
      </c>
      <c r="J98" s="138" t="s">
        <v>1363</v>
      </c>
      <c r="K98" s="153">
        <v>45933</v>
      </c>
      <c r="L98" s="250" t="s">
        <v>25</v>
      </c>
      <c r="M98" s="251" t="s">
        <v>24</v>
      </c>
      <c r="N98" s="251" t="s">
        <v>24</v>
      </c>
      <c r="O98" s="138" t="s">
        <v>1366</v>
      </c>
      <c r="Q98" s="332">
        <f t="shared" si="6"/>
        <v>45966</v>
      </c>
      <c r="R98" s="339" t="s">
        <v>1373</v>
      </c>
      <c r="S98" s="340" t="s">
        <v>1372</v>
      </c>
      <c r="T98" s="159" t="s">
        <v>1705</v>
      </c>
    </row>
    <row r="99" spans="1:20" ht="19">
      <c r="A99">
        <v>93</v>
      </c>
      <c r="B99" s="143">
        <v>45967</v>
      </c>
      <c r="C99" s="144" t="s">
        <v>1370</v>
      </c>
      <c r="D99" s="144" t="s">
        <v>1371</v>
      </c>
      <c r="E99" s="138">
        <v>5726697</v>
      </c>
      <c r="F99" t="s">
        <v>1703</v>
      </c>
      <c r="G99" s="139">
        <v>114270008</v>
      </c>
      <c r="H99" s="137" t="str">
        <f t="shared" si="5"/>
        <v>LAVAVAJILLAS DFI 46900 120 60 WH</v>
      </c>
      <c r="I99" t="s">
        <v>1704</v>
      </c>
      <c r="J99" s="138" t="s">
        <v>1363</v>
      </c>
      <c r="K99" s="153">
        <v>45933</v>
      </c>
      <c r="L99" s="250" t="s">
        <v>25</v>
      </c>
      <c r="M99" s="251" t="s">
        <v>24</v>
      </c>
      <c r="N99" s="251" t="s">
        <v>24</v>
      </c>
      <c r="O99" s="138" t="s">
        <v>1365</v>
      </c>
      <c r="Q99" s="332">
        <f t="shared" si="6"/>
        <v>45966</v>
      </c>
      <c r="R99" s="339" t="s">
        <v>1373</v>
      </c>
      <c r="S99" s="340" t="s">
        <v>1372</v>
      </c>
      <c r="T99" s="159" t="s">
        <v>1705</v>
      </c>
    </row>
    <row r="100" spans="1:20" ht="19">
      <c r="A100">
        <v>94</v>
      </c>
      <c r="B100" s="143">
        <v>45967</v>
      </c>
      <c r="C100" s="144" t="s">
        <v>1379</v>
      </c>
      <c r="D100" s="144" t="s">
        <v>1380</v>
      </c>
      <c r="E100" s="138">
        <v>983473000</v>
      </c>
      <c r="F100" t="s">
        <v>1703</v>
      </c>
      <c r="G100" s="139">
        <v>41560142</v>
      </c>
      <c r="H100" s="137" t="str">
        <f t="shared" si="5"/>
        <v>HSB 635 INOX HORNO ELEC (41521810)</v>
      </c>
      <c r="I100" t="s">
        <v>1704</v>
      </c>
      <c r="J100" s="138" t="s">
        <v>1252</v>
      </c>
      <c r="K100" s="153">
        <v>45920</v>
      </c>
      <c r="L100" s="250" t="s">
        <v>25</v>
      </c>
      <c r="M100" s="251" t="s">
        <v>24</v>
      </c>
      <c r="N100" s="251" t="s">
        <v>24</v>
      </c>
      <c r="O100" s="138" t="s">
        <v>1375</v>
      </c>
      <c r="Q100" s="332">
        <f t="shared" si="6"/>
        <v>45966</v>
      </c>
      <c r="R100" s="339" t="s">
        <v>1382</v>
      </c>
      <c r="S100" s="340" t="s">
        <v>1381</v>
      </c>
      <c r="T100" s="159" t="s">
        <v>1705</v>
      </c>
    </row>
    <row r="101" spans="1:20" ht="19">
      <c r="A101">
        <v>95</v>
      </c>
      <c r="B101" s="143">
        <v>45967</v>
      </c>
      <c r="C101" s="144" t="s">
        <v>1379</v>
      </c>
      <c r="D101" s="144" t="s">
        <v>1380</v>
      </c>
      <c r="E101" s="138">
        <v>983473000</v>
      </c>
      <c r="F101" t="s">
        <v>1703</v>
      </c>
      <c r="G101" s="139">
        <v>112510036</v>
      </c>
      <c r="H101" s="137" t="str">
        <f t="shared" si="5"/>
        <v>IZC 32310 MSP BK COCINA MODULAR INDUCCION</v>
      </c>
      <c r="I101" t="s">
        <v>1704</v>
      </c>
      <c r="J101" s="138" t="s">
        <v>1252</v>
      </c>
      <c r="K101" s="153">
        <v>45920</v>
      </c>
      <c r="L101" s="250" t="s">
        <v>25</v>
      </c>
      <c r="M101" s="251" t="s">
        <v>24</v>
      </c>
      <c r="N101" s="251" t="s">
        <v>24</v>
      </c>
      <c r="O101" s="138" t="s">
        <v>1376</v>
      </c>
      <c r="Q101" s="332">
        <f t="shared" si="6"/>
        <v>45966</v>
      </c>
      <c r="R101" s="339" t="s">
        <v>1382</v>
      </c>
      <c r="S101" s="340" t="s">
        <v>1381</v>
      </c>
      <c r="T101" s="159" t="s">
        <v>1705</v>
      </c>
    </row>
    <row r="102" spans="1:20" ht="19">
      <c r="A102">
        <v>96</v>
      </c>
      <c r="B102" s="143">
        <v>45967</v>
      </c>
      <c r="C102" s="144" t="s">
        <v>1379</v>
      </c>
      <c r="D102" s="144" t="s">
        <v>1380</v>
      </c>
      <c r="E102" s="138">
        <v>983473000</v>
      </c>
      <c r="F102" t="s">
        <v>1703</v>
      </c>
      <c r="G102" s="139">
        <v>112580017</v>
      </c>
      <c r="H102" s="137" t="str">
        <f t="shared" si="5"/>
        <v>GBC 64000 KBB CRISTAL COCINA GAS</v>
      </c>
      <c r="I102" t="s">
        <v>1704</v>
      </c>
      <c r="J102" s="138" t="s">
        <v>1252</v>
      </c>
      <c r="K102" s="153">
        <v>45920</v>
      </c>
      <c r="L102" s="250" t="s">
        <v>25</v>
      </c>
      <c r="M102" s="251" t="s">
        <v>24</v>
      </c>
      <c r="N102" s="251" t="s">
        <v>24</v>
      </c>
      <c r="O102" s="138" t="s">
        <v>1377</v>
      </c>
      <c r="Q102" s="332">
        <f t="shared" si="6"/>
        <v>45966</v>
      </c>
      <c r="R102" s="339" t="s">
        <v>1382</v>
      </c>
      <c r="S102" s="340" t="s">
        <v>1381</v>
      </c>
      <c r="T102" s="159" t="s">
        <v>1705</v>
      </c>
    </row>
    <row r="103" spans="1:20" ht="19">
      <c r="A103">
        <v>97</v>
      </c>
      <c r="B103" s="143">
        <v>45967</v>
      </c>
      <c r="C103" s="144" t="s">
        <v>1379</v>
      </c>
      <c r="D103" s="144" t="s">
        <v>1380</v>
      </c>
      <c r="E103" s="138">
        <v>983473000</v>
      </c>
      <c r="F103" t="s">
        <v>1703</v>
      </c>
      <c r="G103" s="198">
        <v>40584012</v>
      </c>
      <c r="H103" s="137" t="str">
        <f t="shared" si="5"/>
        <v>MS 620 BIS - MICROONDAS</v>
      </c>
      <c r="I103" t="s">
        <v>1704</v>
      </c>
      <c r="J103" s="138" t="s">
        <v>1252</v>
      </c>
      <c r="K103" s="153">
        <v>45920</v>
      </c>
      <c r="L103" s="250" t="s">
        <v>25</v>
      </c>
      <c r="M103" s="251" t="s">
        <v>24</v>
      </c>
      <c r="N103" s="251" t="s">
        <v>24</v>
      </c>
      <c r="O103" s="266" t="s">
        <v>1378</v>
      </c>
      <c r="Q103" s="332">
        <f t="shared" si="6"/>
        <v>45966</v>
      </c>
      <c r="R103" s="339" t="s">
        <v>1382</v>
      </c>
      <c r="S103" s="340" t="s">
        <v>1381</v>
      </c>
      <c r="T103" s="159" t="s">
        <v>1705</v>
      </c>
    </row>
    <row r="104" spans="1:20" ht="19">
      <c r="A104">
        <v>98</v>
      </c>
      <c r="B104" s="199">
        <v>45967</v>
      </c>
      <c r="C104" s="266" t="s">
        <v>1391</v>
      </c>
      <c r="D104" s="266" t="s">
        <v>1063</v>
      </c>
      <c r="E104" s="266">
        <v>999188245</v>
      </c>
      <c r="F104" t="s">
        <v>1703</v>
      </c>
      <c r="G104" s="198">
        <v>112580058</v>
      </c>
      <c r="H104" s="288" t="str">
        <f t="shared" si="5"/>
        <v>GBC 95030 KBB BK COCINA GAS</v>
      </c>
      <c r="I104" t="s">
        <v>1704</v>
      </c>
      <c r="J104" s="266" t="s">
        <v>1032</v>
      </c>
      <c r="K104" s="267">
        <v>45921</v>
      </c>
      <c r="L104" s="250" t="s">
        <v>25</v>
      </c>
      <c r="M104" s="251" t="s">
        <v>24</v>
      </c>
      <c r="N104" s="251" t="s">
        <v>24</v>
      </c>
      <c r="O104" s="266" t="s">
        <v>1390</v>
      </c>
      <c r="Q104" s="332">
        <f t="shared" si="6"/>
        <v>45966</v>
      </c>
      <c r="R104" s="339" t="s">
        <v>1393</v>
      </c>
      <c r="S104" s="340" t="s">
        <v>1392</v>
      </c>
      <c r="T104" s="159" t="s">
        <v>1705</v>
      </c>
    </row>
    <row r="105" spans="1:20" ht="19">
      <c r="A105">
        <v>99</v>
      </c>
      <c r="B105" s="199">
        <v>45967</v>
      </c>
      <c r="C105" s="265" t="s">
        <v>1396</v>
      </c>
      <c r="D105" s="265" t="s">
        <v>1397</v>
      </c>
      <c r="E105" s="266">
        <v>992727517</v>
      </c>
      <c r="F105" t="s">
        <v>1703</v>
      </c>
      <c r="G105" s="198">
        <v>113430051</v>
      </c>
      <c r="H105" s="288" t="str">
        <f t="shared" ref="H105:H137" si="7">VLOOKUP(G105,PROD,2,FALSE)</f>
        <v>RMF 77960 GBK MX REFRIGERADORA</v>
      </c>
      <c r="I105" t="s">
        <v>1704</v>
      </c>
      <c r="J105" s="266" t="s">
        <v>1032</v>
      </c>
      <c r="K105" s="267">
        <v>45961</v>
      </c>
      <c r="L105" s="250" t="s">
        <v>25</v>
      </c>
      <c r="M105" s="251" t="s">
        <v>24</v>
      </c>
      <c r="N105" s="251" t="s">
        <v>24</v>
      </c>
      <c r="O105" s="266" t="s">
        <v>1395</v>
      </c>
      <c r="Q105" s="332">
        <f t="shared" si="6"/>
        <v>45966</v>
      </c>
      <c r="R105" s="341" t="s">
        <v>1399</v>
      </c>
      <c r="S105" s="334" t="s">
        <v>1398</v>
      </c>
      <c r="T105" s="159" t="s">
        <v>1705</v>
      </c>
    </row>
    <row r="106" spans="1:20" ht="19">
      <c r="A106">
        <v>100</v>
      </c>
      <c r="B106" s="199">
        <v>45967</v>
      </c>
      <c r="C106" s="266" t="s">
        <v>1401</v>
      </c>
      <c r="D106" s="266" t="s">
        <v>1402</v>
      </c>
      <c r="E106" s="266">
        <v>5726891</v>
      </c>
      <c r="F106" t="s">
        <v>1703</v>
      </c>
      <c r="G106" s="198">
        <v>115890043</v>
      </c>
      <c r="H106" s="288" t="str">
        <f t="shared" si="7"/>
        <v>TRITURADOR TRS 520</v>
      </c>
      <c r="I106" t="s">
        <v>1704</v>
      </c>
      <c r="J106" s="266" t="s">
        <v>1363</v>
      </c>
      <c r="K106" s="267">
        <v>45964</v>
      </c>
      <c r="L106" s="250" t="s">
        <v>25</v>
      </c>
      <c r="M106" s="251" t="s">
        <v>24</v>
      </c>
      <c r="N106" s="251" t="s">
        <v>24</v>
      </c>
      <c r="O106" s="266">
        <v>8434778029604</v>
      </c>
      <c r="Q106" s="332">
        <f t="shared" si="6"/>
        <v>45966</v>
      </c>
      <c r="R106" s="348" t="s">
        <v>1403</v>
      </c>
      <c r="S106" s="353">
        <v>909708646</v>
      </c>
      <c r="T106" s="159" t="s">
        <v>1705</v>
      </c>
    </row>
    <row r="107" spans="1:20" ht="19">
      <c r="A107">
        <v>101</v>
      </c>
      <c r="B107" s="264">
        <v>45967</v>
      </c>
      <c r="C107" s="259" t="s">
        <v>1385</v>
      </c>
      <c r="D107" s="259" t="s">
        <v>1386</v>
      </c>
      <c r="E107" s="260">
        <v>4115526</v>
      </c>
      <c r="F107" t="s">
        <v>1703</v>
      </c>
      <c r="G107" s="256">
        <v>111570003</v>
      </c>
      <c r="H107" s="137" t="str">
        <f t="shared" si="7"/>
        <v>COCINA GOURMET BBQ 4100 G SS</v>
      </c>
      <c r="I107" t="s">
        <v>1704</v>
      </c>
      <c r="J107" s="259" t="s">
        <v>1032</v>
      </c>
      <c r="K107" s="263">
        <v>45965</v>
      </c>
      <c r="L107" s="250" t="s">
        <v>25</v>
      </c>
      <c r="M107" s="251" t="s">
        <v>24</v>
      </c>
      <c r="N107" s="251" t="s">
        <v>24</v>
      </c>
      <c r="O107" s="258" t="s">
        <v>1384</v>
      </c>
      <c r="Q107" s="332">
        <f t="shared" si="6"/>
        <v>45966</v>
      </c>
      <c r="R107" s="337" t="s">
        <v>1388</v>
      </c>
      <c r="S107" s="338" t="s">
        <v>1387</v>
      </c>
      <c r="T107" s="159" t="s">
        <v>1705</v>
      </c>
    </row>
    <row r="108" spans="1:20" ht="21">
      <c r="A108">
        <v>102</v>
      </c>
      <c r="B108" s="199">
        <v>45968</v>
      </c>
      <c r="C108" s="266" t="s">
        <v>1409</v>
      </c>
      <c r="D108" s="266" t="s">
        <v>1410</v>
      </c>
      <c r="E108" s="266">
        <v>998284291</v>
      </c>
      <c r="F108" t="s">
        <v>1703</v>
      </c>
      <c r="G108" s="198">
        <v>111010028</v>
      </c>
      <c r="H108" s="137" t="str">
        <f t="shared" si="7"/>
        <v>HSB 646 "AIRFRY" - HORNO ELEC</v>
      </c>
      <c r="I108" t="s">
        <v>1704</v>
      </c>
      <c r="J108" s="266" t="s">
        <v>1363</v>
      </c>
      <c r="K108" s="299">
        <v>45798</v>
      </c>
      <c r="L108" s="250" t="s">
        <v>25</v>
      </c>
      <c r="M108" s="251" t="s">
        <v>24</v>
      </c>
      <c r="N108" s="251" t="s">
        <v>24</v>
      </c>
      <c r="O108" s="266" t="s">
        <v>1405</v>
      </c>
      <c r="Q108" s="332">
        <f t="shared" si="6"/>
        <v>45967</v>
      </c>
      <c r="R108" s="339" t="s">
        <v>1412</v>
      </c>
      <c r="S108" s="340" t="s">
        <v>1411</v>
      </c>
      <c r="T108" s="159" t="s">
        <v>1705</v>
      </c>
    </row>
    <row r="109" spans="1:20" ht="21">
      <c r="A109">
        <v>103</v>
      </c>
      <c r="B109" s="199">
        <v>45968</v>
      </c>
      <c r="C109" s="266" t="s">
        <v>1409</v>
      </c>
      <c r="D109" s="266" t="s">
        <v>1410</v>
      </c>
      <c r="E109" s="266">
        <v>998284291</v>
      </c>
      <c r="F109" t="s">
        <v>1703</v>
      </c>
      <c r="G109" s="198">
        <v>40466241</v>
      </c>
      <c r="H109" s="137" t="str">
        <f t="shared" si="7"/>
        <v>C 9310 INOX CAMPANA (110V-60HZ) C/KIT</v>
      </c>
      <c r="I109" t="s">
        <v>1704</v>
      </c>
      <c r="J109" s="266" t="s">
        <v>1363</v>
      </c>
      <c r="K109" s="299">
        <v>45798</v>
      </c>
      <c r="L109" s="250" t="s">
        <v>25</v>
      </c>
      <c r="M109" s="251" t="s">
        <v>24</v>
      </c>
      <c r="N109" s="251" t="s">
        <v>24</v>
      </c>
      <c r="O109" s="266" t="s">
        <v>1406</v>
      </c>
      <c r="Q109" s="332">
        <f t="shared" si="6"/>
        <v>45967</v>
      </c>
      <c r="R109" s="339" t="s">
        <v>1412</v>
      </c>
      <c r="S109" s="340" t="s">
        <v>1411</v>
      </c>
      <c r="T109" s="159" t="s">
        <v>1705</v>
      </c>
    </row>
    <row r="110" spans="1:20" ht="21">
      <c r="A110">
        <v>104</v>
      </c>
      <c r="B110" s="199">
        <v>45968</v>
      </c>
      <c r="C110" s="266" t="s">
        <v>1409</v>
      </c>
      <c r="D110" s="266" t="s">
        <v>1410</v>
      </c>
      <c r="E110" s="266">
        <v>998284291</v>
      </c>
      <c r="F110" t="s">
        <v>1703</v>
      </c>
      <c r="G110" s="139">
        <v>112610067</v>
      </c>
      <c r="H110" s="137" t="str">
        <f t="shared" si="7"/>
        <v>GSC 96320 XBA IX (LAT) COCINA INOX</v>
      </c>
      <c r="I110" t="s">
        <v>1704</v>
      </c>
      <c r="J110" s="266" t="s">
        <v>1363</v>
      </c>
      <c r="K110" s="299">
        <v>45798</v>
      </c>
      <c r="L110" s="250" t="s">
        <v>25</v>
      </c>
      <c r="M110" s="251" t="s">
        <v>24</v>
      </c>
      <c r="N110" s="251" t="s">
        <v>24</v>
      </c>
      <c r="O110" s="138" t="s">
        <v>1407</v>
      </c>
      <c r="Q110" s="332">
        <f t="shared" si="6"/>
        <v>45967</v>
      </c>
      <c r="R110" s="339" t="s">
        <v>1412</v>
      </c>
      <c r="S110" s="340" t="s">
        <v>1411</v>
      </c>
      <c r="T110" s="159" t="s">
        <v>1705</v>
      </c>
    </row>
    <row r="111" spans="1:20" ht="21">
      <c r="A111">
        <v>105</v>
      </c>
      <c r="B111" s="199">
        <v>45968</v>
      </c>
      <c r="C111" s="266" t="s">
        <v>1409</v>
      </c>
      <c r="D111" s="266" t="s">
        <v>1410</v>
      </c>
      <c r="E111" s="266">
        <v>998284291</v>
      </c>
      <c r="F111" t="s">
        <v>1703</v>
      </c>
      <c r="G111" s="139">
        <v>40782127</v>
      </c>
      <c r="H111" s="137" t="str">
        <f t="shared" si="7"/>
        <v>DW8 57 FIM PANELABLE LAVAVAJILLAS</v>
      </c>
      <c r="I111" t="s">
        <v>1704</v>
      </c>
      <c r="J111" s="266" t="s">
        <v>1363</v>
      </c>
      <c r="K111" s="299">
        <v>45708</v>
      </c>
      <c r="L111" s="250" t="s">
        <v>25</v>
      </c>
      <c r="M111" s="251" t="s">
        <v>24</v>
      </c>
      <c r="N111" s="251" t="s">
        <v>24</v>
      </c>
      <c r="O111" s="138" t="s">
        <v>1408</v>
      </c>
      <c r="Q111" s="332">
        <f t="shared" si="6"/>
        <v>45967</v>
      </c>
      <c r="R111" s="339" t="s">
        <v>1412</v>
      </c>
      <c r="S111" s="340" t="s">
        <v>1411</v>
      </c>
      <c r="T111" s="159" t="s">
        <v>1705</v>
      </c>
    </row>
    <row r="112" spans="1:20" ht="19">
      <c r="A112">
        <v>106</v>
      </c>
      <c r="B112" s="143">
        <v>45968</v>
      </c>
      <c r="C112" s="144" t="s">
        <v>1416</v>
      </c>
      <c r="D112" s="144" t="s">
        <v>1417</v>
      </c>
      <c r="E112" s="138">
        <v>998484504</v>
      </c>
      <c r="F112" t="s">
        <v>1703</v>
      </c>
      <c r="G112" s="139">
        <v>40584202</v>
      </c>
      <c r="H112" s="137" t="str">
        <f t="shared" si="7"/>
        <v>ML 820 BIS - MICROONDAS</v>
      </c>
      <c r="I112" t="s">
        <v>1704</v>
      </c>
      <c r="J112" s="138" t="s">
        <v>1032</v>
      </c>
      <c r="K112" s="153">
        <v>45751</v>
      </c>
      <c r="L112" s="250" t="s">
        <v>25</v>
      </c>
      <c r="M112" s="251" t="s">
        <v>24</v>
      </c>
      <c r="N112" s="251" t="s">
        <v>24</v>
      </c>
      <c r="O112" s="138" t="s">
        <v>1415</v>
      </c>
      <c r="Q112" s="332">
        <f t="shared" si="6"/>
        <v>45967</v>
      </c>
      <c r="R112" s="339" t="s">
        <v>1419</v>
      </c>
      <c r="S112" s="340" t="s">
        <v>1418</v>
      </c>
      <c r="T112" s="159" t="s">
        <v>1705</v>
      </c>
    </row>
    <row r="113" spans="1:20" ht="19">
      <c r="A113">
        <v>107</v>
      </c>
      <c r="B113" s="143">
        <v>45968</v>
      </c>
      <c r="C113" s="144" t="s">
        <v>1416</v>
      </c>
      <c r="D113" s="144" t="s">
        <v>1417</v>
      </c>
      <c r="E113" s="138">
        <v>998484504</v>
      </c>
      <c r="F113" t="s">
        <v>1703</v>
      </c>
      <c r="G113" s="139">
        <v>111000051</v>
      </c>
      <c r="H113" s="137" t="str">
        <f t="shared" si="7"/>
        <v>HLB 8416 "AIR FRY" - HORNO ELEC</v>
      </c>
      <c r="I113" t="s">
        <v>1704</v>
      </c>
      <c r="J113" s="138" t="s">
        <v>1032</v>
      </c>
      <c r="K113" s="153">
        <v>45751</v>
      </c>
      <c r="L113" s="250" t="s">
        <v>25</v>
      </c>
      <c r="M113" s="251" t="s">
        <v>24</v>
      </c>
      <c r="N113" s="251" t="s">
        <v>24</v>
      </c>
      <c r="O113" s="138" t="s">
        <v>1420</v>
      </c>
      <c r="Q113" s="332">
        <f t="shared" si="6"/>
        <v>45967</v>
      </c>
      <c r="R113" s="339" t="s">
        <v>1419</v>
      </c>
      <c r="S113" s="340" t="s">
        <v>1418</v>
      </c>
      <c r="T113" s="159" t="s">
        <v>1705</v>
      </c>
    </row>
    <row r="114" spans="1:20" ht="19">
      <c r="A114">
        <v>108</v>
      </c>
      <c r="B114" s="143">
        <v>45968</v>
      </c>
      <c r="C114" s="144" t="s">
        <v>1416</v>
      </c>
      <c r="D114" s="144" t="s">
        <v>1417</v>
      </c>
      <c r="E114" s="138">
        <v>998484504</v>
      </c>
      <c r="F114" t="s">
        <v>1703</v>
      </c>
      <c r="G114" s="139">
        <v>112580058</v>
      </c>
      <c r="H114" s="137" t="str">
        <f t="shared" si="7"/>
        <v>GBC 95030 KBB BK COCINA GAS</v>
      </c>
      <c r="I114" t="s">
        <v>1704</v>
      </c>
      <c r="J114" s="138" t="s">
        <v>1032</v>
      </c>
      <c r="K114" s="153">
        <v>45751</v>
      </c>
      <c r="L114" s="250" t="s">
        <v>25</v>
      </c>
      <c r="M114" s="251" t="s">
        <v>24</v>
      </c>
      <c r="N114" s="251" t="s">
        <v>24</v>
      </c>
      <c r="O114" s="138" t="s">
        <v>1421</v>
      </c>
      <c r="Q114" s="332">
        <f t="shared" si="6"/>
        <v>45967</v>
      </c>
      <c r="R114" s="339" t="s">
        <v>1419</v>
      </c>
      <c r="S114" s="340" t="s">
        <v>1418</v>
      </c>
      <c r="T114" s="159" t="s">
        <v>1705</v>
      </c>
    </row>
    <row r="115" spans="1:20" ht="19">
      <c r="A115">
        <v>109</v>
      </c>
      <c r="B115" s="199">
        <v>45968</v>
      </c>
      <c r="C115" s="266" t="s">
        <v>1424</v>
      </c>
      <c r="D115" s="266" t="s">
        <v>1425</v>
      </c>
      <c r="E115" s="266">
        <v>980244514</v>
      </c>
      <c r="F115" t="s">
        <v>1703</v>
      </c>
      <c r="G115" s="198">
        <v>111030002</v>
      </c>
      <c r="H115" s="288" t="str">
        <f t="shared" si="7"/>
        <v>HLB 760 G SS HORNO A GAS</v>
      </c>
      <c r="I115" t="s">
        <v>1704</v>
      </c>
      <c r="J115" s="266" t="s">
        <v>1032</v>
      </c>
      <c r="K115" s="267">
        <v>45961</v>
      </c>
      <c r="L115" s="250" t="s">
        <v>25</v>
      </c>
      <c r="M115" s="251" t="s">
        <v>24</v>
      </c>
      <c r="N115" s="251" t="s">
        <v>24</v>
      </c>
      <c r="O115" s="266" t="s">
        <v>1428</v>
      </c>
      <c r="Q115" s="332">
        <f t="shared" si="6"/>
        <v>45967</v>
      </c>
      <c r="R115" s="348" t="s">
        <v>1427</v>
      </c>
      <c r="S115" s="353">
        <v>150307247</v>
      </c>
      <c r="T115" s="159" t="s">
        <v>1705</v>
      </c>
    </row>
    <row r="116" spans="1:20" ht="19">
      <c r="A116">
        <v>110</v>
      </c>
      <c r="B116" s="202">
        <v>45968</v>
      </c>
      <c r="C116" s="300" t="s">
        <v>1431</v>
      </c>
      <c r="D116" s="300" t="s">
        <v>1432</v>
      </c>
      <c r="E116" s="300">
        <v>984464515</v>
      </c>
      <c r="F116" t="s">
        <v>1703</v>
      </c>
      <c r="G116" s="203">
        <v>40461506</v>
      </c>
      <c r="H116" s="301" t="str">
        <f t="shared" si="7"/>
        <v>C 610 BLANCA CAMPANA (110V-60HZ) C/KIT</v>
      </c>
      <c r="I116" t="s">
        <v>1704</v>
      </c>
      <c r="J116" s="300" t="s">
        <v>1033</v>
      </c>
      <c r="K116" s="302">
        <v>45960</v>
      </c>
      <c r="L116" s="250" t="s">
        <v>25</v>
      </c>
      <c r="M116" s="251" t="s">
        <v>24</v>
      </c>
      <c r="N116" s="251" t="s">
        <v>24</v>
      </c>
      <c r="O116" s="300" t="s">
        <v>1430</v>
      </c>
      <c r="Q116" s="332">
        <f t="shared" si="6"/>
        <v>45967</v>
      </c>
      <c r="R116" s="354" t="s">
        <v>1434</v>
      </c>
      <c r="S116" s="355" t="s">
        <v>1433</v>
      </c>
      <c r="T116" s="159" t="s">
        <v>1705</v>
      </c>
    </row>
    <row r="117" spans="1:20" ht="19">
      <c r="A117">
        <v>111</v>
      </c>
      <c r="B117" s="264">
        <v>45968</v>
      </c>
      <c r="C117" s="259" t="s">
        <v>1424</v>
      </c>
      <c r="D117" s="259" t="s">
        <v>1425</v>
      </c>
      <c r="E117" s="260">
        <v>980244514</v>
      </c>
      <c r="F117" t="s">
        <v>1703</v>
      </c>
      <c r="G117" s="256">
        <v>111570002</v>
      </c>
      <c r="H117" s="137" t="str">
        <f t="shared" si="7"/>
        <v>COCINA GOURMET BBQ 3100 G BK-SS</v>
      </c>
      <c r="I117" t="s">
        <v>1704</v>
      </c>
      <c r="J117" s="259" t="s">
        <v>1032</v>
      </c>
      <c r="K117" s="263">
        <v>45961</v>
      </c>
      <c r="L117" s="250" t="s">
        <v>25</v>
      </c>
      <c r="M117" s="251" t="s">
        <v>24</v>
      </c>
      <c r="N117" s="251" t="s">
        <v>24</v>
      </c>
      <c r="O117" s="258" t="s">
        <v>1423</v>
      </c>
      <c r="Q117" s="332">
        <f t="shared" si="6"/>
        <v>45967</v>
      </c>
      <c r="R117" s="337" t="s">
        <v>1427</v>
      </c>
      <c r="S117" s="338" t="s">
        <v>1426</v>
      </c>
      <c r="T117" s="159" t="s">
        <v>1705</v>
      </c>
    </row>
    <row r="118" spans="1:20" ht="22" customHeight="1">
      <c r="A118">
        <v>112</v>
      </c>
      <c r="B118" s="200">
        <v>45968</v>
      </c>
      <c r="C118" s="270" t="s">
        <v>1141</v>
      </c>
      <c r="D118" s="259" t="s">
        <v>1142</v>
      </c>
      <c r="E118" s="271">
        <v>997439434</v>
      </c>
      <c r="F118" t="s">
        <v>1707</v>
      </c>
      <c r="G118" s="201">
        <v>114270008</v>
      </c>
      <c r="H118" s="272" t="str">
        <f t="shared" si="7"/>
        <v>LAVAVAJILLAS DFI 46900 120 60 WH</v>
      </c>
      <c r="I118" t="s">
        <v>1708</v>
      </c>
      <c r="J118" s="259" t="s">
        <v>1033</v>
      </c>
      <c r="K118" s="273">
        <v>45949</v>
      </c>
      <c r="L118" s="250" t="s">
        <v>25</v>
      </c>
      <c r="M118" s="251" t="s">
        <v>24</v>
      </c>
      <c r="N118" s="251" t="s">
        <v>24</v>
      </c>
      <c r="O118" s="270" t="s">
        <v>1140</v>
      </c>
      <c r="Q118" s="332">
        <f t="shared" si="6"/>
        <v>45967</v>
      </c>
      <c r="R118" s="342" t="s">
        <v>1181</v>
      </c>
      <c r="S118" s="343" t="s">
        <v>1143</v>
      </c>
      <c r="T118" s="210" t="s">
        <v>1582</v>
      </c>
    </row>
    <row r="119" spans="1:20" ht="19">
      <c r="A119">
        <v>113</v>
      </c>
      <c r="B119" s="143">
        <v>45971</v>
      </c>
      <c r="C119" s="144" t="s">
        <v>1440</v>
      </c>
      <c r="D119" s="144" t="s">
        <v>1447</v>
      </c>
      <c r="E119" s="138">
        <v>987109638</v>
      </c>
      <c r="F119" t="s">
        <v>1703</v>
      </c>
      <c r="G119" s="139">
        <v>111010028</v>
      </c>
      <c r="H119" s="137" t="str">
        <f t="shared" si="7"/>
        <v>HSB 646 "AIRFRY" - HORNO ELEC</v>
      </c>
      <c r="I119" t="s">
        <v>1704</v>
      </c>
      <c r="J119" s="138" t="s">
        <v>1067</v>
      </c>
      <c r="K119" s="153">
        <v>45625</v>
      </c>
      <c r="L119" s="250" t="s">
        <v>25</v>
      </c>
      <c r="M119" s="251" t="s">
        <v>24</v>
      </c>
      <c r="N119" s="251" t="s">
        <v>24</v>
      </c>
      <c r="O119" s="138" t="s">
        <v>1436</v>
      </c>
      <c r="Q119" s="332">
        <f t="shared" si="6"/>
        <v>45970</v>
      </c>
      <c r="R119" s="339" t="s">
        <v>1468</v>
      </c>
      <c r="S119" s="340" t="s">
        <v>1441</v>
      </c>
      <c r="T119" s="159" t="s">
        <v>1705</v>
      </c>
    </row>
    <row r="120" spans="1:20" ht="19">
      <c r="A120">
        <v>114</v>
      </c>
      <c r="B120" s="143">
        <v>45971</v>
      </c>
      <c r="C120" s="144" t="s">
        <v>1440</v>
      </c>
      <c r="D120" s="144" t="s">
        <v>1447</v>
      </c>
      <c r="E120" s="138">
        <v>987109638</v>
      </c>
      <c r="F120" t="s">
        <v>1703</v>
      </c>
      <c r="G120" s="139">
        <v>40584105</v>
      </c>
      <c r="H120" s="137" t="str">
        <f t="shared" si="7"/>
        <v>MS 622 BIS - MICROONDAS</v>
      </c>
      <c r="I120" t="s">
        <v>1704</v>
      </c>
      <c r="J120" s="138" t="s">
        <v>1067</v>
      </c>
      <c r="K120" s="153">
        <v>45625</v>
      </c>
      <c r="L120" s="250" t="s">
        <v>25</v>
      </c>
      <c r="M120" s="251" t="s">
        <v>24</v>
      </c>
      <c r="N120" s="251" t="s">
        <v>24</v>
      </c>
      <c r="O120" s="138" t="s">
        <v>1437</v>
      </c>
      <c r="Q120" s="332">
        <f t="shared" si="6"/>
        <v>45970</v>
      </c>
      <c r="R120" s="339" t="s">
        <v>1468</v>
      </c>
      <c r="S120" s="340" t="s">
        <v>1441</v>
      </c>
      <c r="T120" s="159" t="s">
        <v>1705</v>
      </c>
    </row>
    <row r="121" spans="1:20" ht="19">
      <c r="A121">
        <v>115</v>
      </c>
      <c r="B121" s="204">
        <v>45971</v>
      </c>
      <c r="C121" s="283" t="s">
        <v>1440</v>
      </c>
      <c r="D121" s="283" t="s">
        <v>1447</v>
      </c>
      <c r="E121" s="284">
        <v>987109638</v>
      </c>
      <c r="F121" t="s">
        <v>1703</v>
      </c>
      <c r="G121" s="205">
        <v>112570128</v>
      </c>
      <c r="H121" s="303" t="str">
        <f t="shared" si="7"/>
        <v>JZC 96342 BBB BK (LAT) COCINA MIXTA GAS - INDUCCION</v>
      </c>
      <c r="I121" t="s">
        <v>1704</v>
      </c>
      <c r="J121" s="284" t="s">
        <v>1067</v>
      </c>
      <c r="K121" s="250">
        <v>45625</v>
      </c>
      <c r="L121" s="250" t="s">
        <v>25</v>
      </c>
      <c r="M121" s="251" t="s">
        <v>24</v>
      </c>
      <c r="N121" s="251" t="s">
        <v>24</v>
      </c>
      <c r="O121" s="284" t="s">
        <v>1438</v>
      </c>
      <c r="Q121" s="332">
        <f t="shared" si="6"/>
        <v>45970</v>
      </c>
      <c r="R121" s="356" t="s">
        <v>1468</v>
      </c>
      <c r="S121" s="357" t="s">
        <v>1441</v>
      </c>
      <c r="T121" s="159" t="s">
        <v>1705</v>
      </c>
    </row>
    <row r="122" spans="1:20" ht="19">
      <c r="A122">
        <v>116</v>
      </c>
      <c r="B122" s="204">
        <v>45971</v>
      </c>
      <c r="C122" s="283" t="s">
        <v>1440</v>
      </c>
      <c r="D122" s="283" t="s">
        <v>1447</v>
      </c>
      <c r="E122" s="284">
        <v>987109638</v>
      </c>
      <c r="F122" t="s">
        <v>1703</v>
      </c>
      <c r="G122" s="205">
        <v>40480301</v>
      </c>
      <c r="H122" s="303" t="str">
        <f t="shared" si="7"/>
        <v>CC 40 ISLA INOX CAMPANA NC:40480321</v>
      </c>
      <c r="I122" t="s">
        <v>1704</v>
      </c>
      <c r="J122" s="284" t="s">
        <v>1067</v>
      </c>
      <c r="K122" s="250">
        <v>45625</v>
      </c>
      <c r="L122" s="250" t="s">
        <v>25</v>
      </c>
      <c r="M122" s="251" t="s">
        <v>24</v>
      </c>
      <c r="N122" s="251" t="s">
        <v>24</v>
      </c>
      <c r="O122" s="284" t="s">
        <v>1439</v>
      </c>
      <c r="Q122" s="332">
        <f t="shared" si="6"/>
        <v>45970</v>
      </c>
      <c r="R122" s="356" t="s">
        <v>1468</v>
      </c>
      <c r="S122" s="357" t="s">
        <v>1441</v>
      </c>
      <c r="T122" s="159" t="s">
        <v>1705</v>
      </c>
    </row>
    <row r="123" spans="1:20" ht="19">
      <c r="A123">
        <v>117</v>
      </c>
      <c r="B123" s="204">
        <v>45971</v>
      </c>
      <c r="C123" s="283" t="s">
        <v>1446</v>
      </c>
      <c r="D123" s="283" t="s">
        <v>1448</v>
      </c>
      <c r="E123" s="284">
        <v>980744307</v>
      </c>
      <c r="F123" t="s">
        <v>1703</v>
      </c>
      <c r="G123" s="205">
        <v>111910000</v>
      </c>
      <c r="H123" s="303" t="str">
        <f t="shared" si="7"/>
        <v>MLH 845 SS - MICROONDAS</v>
      </c>
      <c r="I123" t="s">
        <v>1704</v>
      </c>
      <c r="J123" s="284" t="s">
        <v>1067</v>
      </c>
      <c r="K123" s="250">
        <v>45927</v>
      </c>
      <c r="L123" s="250" t="s">
        <v>25</v>
      </c>
      <c r="M123" s="251" t="s">
        <v>24</v>
      </c>
      <c r="N123" s="251" t="s">
        <v>24</v>
      </c>
      <c r="O123" s="284" t="s">
        <v>1444</v>
      </c>
      <c r="Q123" s="332">
        <f t="shared" si="6"/>
        <v>45970</v>
      </c>
      <c r="R123" s="356" t="s">
        <v>1450</v>
      </c>
      <c r="S123" s="357" t="s">
        <v>1449</v>
      </c>
      <c r="T123" s="159" t="s">
        <v>1705</v>
      </c>
    </row>
    <row r="124" spans="1:20" ht="19">
      <c r="A124">
        <v>118</v>
      </c>
      <c r="B124" s="204">
        <v>45971</v>
      </c>
      <c r="C124" s="283" t="s">
        <v>1446</v>
      </c>
      <c r="D124" s="283" t="s">
        <v>1448</v>
      </c>
      <c r="E124" s="284">
        <v>980744307</v>
      </c>
      <c r="F124" t="s">
        <v>1703</v>
      </c>
      <c r="G124" s="205">
        <v>111010041</v>
      </c>
      <c r="H124" s="303" t="str">
        <f t="shared" si="7"/>
        <v>HSB 630 NEGRO HORNO ELEC</v>
      </c>
      <c r="I124" t="s">
        <v>1704</v>
      </c>
      <c r="J124" s="284" t="s">
        <v>1067</v>
      </c>
      <c r="K124" s="250">
        <v>45927</v>
      </c>
      <c r="L124" s="250" t="s">
        <v>25</v>
      </c>
      <c r="M124" s="251" t="s">
        <v>24</v>
      </c>
      <c r="N124" s="251" t="s">
        <v>24</v>
      </c>
      <c r="O124" s="284" t="s">
        <v>1445</v>
      </c>
      <c r="Q124" s="332">
        <f t="shared" si="6"/>
        <v>45970</v>
      </c>
      <c r="R124" s="356" t="s">
        <v>1450</v>
      </c>
      <c r="S124" s="357" t="s">
        <v>1449</v>
      </c>
      <c r="T124" s="159" t="s">
        <v>1705</v>
      </c>
    </row>
    <row r="125" spans="1:20" ht="19">
      <c r="A125">
        <v>119</v>
      </c>
      <c r="B125" s="204">
        <v>45971</v>
      </c>
      <c r="C125" s="283" t="s">
        <v>1456</v>
      </c>
      <c r="D125" s="283" t="s">
        <v>1457</v>
      </c>
      <c r="E125" s="284">
        <v>9887111791</v>
      </c>
      <c r="F125" t="s">
        <v>1703</v>
      </c>
      <c r="G125" s="205">
        <v>112030019</v>
      </c>
      <c r="H125" s="303" t="str">
        <f t="shared" si="7"/>
        <v>ML 8220 BIS FBK- MICROONDAS</v>
      </c>
      <c r="I125" t="s">
        <v>1704</v>
      </c>
      <c r="J125" s="284" t="s">
        <v>1252</v>
      </c>
      <c r="K125" s="250">
        <v>45897</v>
      </c>
      <c r="L125" s="250" t="s">
        <v>25</v>
      </c>
      <c r="M125" s="251" t="s">
        <v>24</v>
      </c>
      <c r="N125" s="251" t="s">
        <v>24</v>
      </c>
      <c r="O125" s="284" t="s">
        <v>1452</v>
      </c>
      <c r="Q125" s="332">
        <f t="shared" si="6"/>
        <v>45970</v>
      </c>
      <c r="R125" s="356" t="s">
        <v>1459</v>
      </c>
      <c r="S125" s="357" t="s">
        <v>1458</v>
      </c>
      <c r="T125" s="159" t="s">
        <v>1705</v>
      </c>
    </row>
    <row r="126" spans="1:20" ht="19">
      <c r="A126">
        <v>120</v>
      </c>
      <c r="B126" s="204">
        <v>45971</v>
      </c>
      <c r="C126" s="283" t="s">
        <v>1456</v>
      </c>
      <c r="D126" s="283" t="s">
        <v>1457</v>
      </c>
      <c r="E126" s="284">
        <v>9887111791</v>
      </c>
      <c r="F126" t="s">
        <v>1703</v>
      </c>
      <c r="G126" s="205">
        <v>111000051</v>
      </c>
      <c r="H126" s="303" t="str">
        <f t="shared" si="7"/>
        <v>HLB 8416 "AIR FRY" - HORNO ELEC</v>
      </c>
      <c r="I126" t="s">
        <v>1704</v>
      </c>
      <c r="J126" s="284" t="s">
        <v>1252</v>
      </c>
      <c r="K126" s="250">
        <v>45897</v>
      </c>
      <c r="L126" s="250" t="s">
        <v>25</v>
      </c>
      <c r="M126" s="251" t="s">
        <v>24</v>
      </c>
      <c r="N126" s="251" t="s">
        <v>24</v>
      </c>
      <c r="O126" s="284" t="s">
        <v>1453</v>
      </c>
      <c r="Q126" s="332">
        <f t="shared" si="6"/>
        <v>45970</v>
      </c>
      <c r="R126" s="356" t="s">
        <v>1459</v>
      </c>
      <c r="S126" s="357" t="s">
        <v>1458</v>
      </c>
      <c r="T126" s="159" t="s">
        <v>1705</v>
      </c>
    </row>
    <row r="127" spans="1:20" ht="19">
      <c r="A127">
        <v>121</v>
      </c>
      <c r="B127" s="204">
        <v>45971</v>
      </c>
      <c r="C127" s="283" t="s">
        <v>1456</v>
      </c>
      <c r="D127" s="283" t="s">
        <v>1457</v>
      </c>
      <c r="E127" s="284">
        <v>9887111791</v>
      </c>
      <c r="F127" t="s">
        <v>1703</v>
      </c>
      <c r="G127" s="205">
        <v>112930047</v>
      </c>
      <c r="H127" s="303" t="str">
        <f t="shared" si="7"/>
        <v>DVT 98660 TRL BK</v>
      </c>
      <c r="I127" t="s">
        <v>1704</v>
      </c>
      <c r="J127" s="284" t="s">
        <v>1252</v>
      </c>
      <c r="K127" s="250">
        <v>45897</v>
      </c>
      <c r="L127" s="250" t="s">
        <v>25</v>
      </c>
      <c r="M127" s="251" t="s">
        <v>24</v>
      </c>
      <c r="N127" s="251" t="s">
        <v>24</v>
      </c>
      <c r="O127" s="284" t="s">
        <v>1454</v>
      </c>
      <c r="Q127" s="332">
        <f t="shared" si="6"/>
        <v>45970</v>
      </c>
      <c r="R127" s="356" t="s">
        <v>1459</v>
      </c>
      <c r="S127" s="357" t="s">
        <v>1458</v>
      </c>
      <c r="T127" s="159" t="s">
        <v>1705</v>
      </c>
    </row>
    <row r="128" spans="1:20" ht="19">
      <c r="A128">
        <v>122</v>
      </c>
      <c r="B128" s="204">
        <v>45971</v>
      </c>
      <c r="C128" s="283" t="s">
        <v>1456</v>
      </c>
      <c r="D128" s="283" t="s">
        <v>1457</v>
      </c>
      <c r="E128" s="284">
        <v>9887111791</v>
      </c>
      <c r="F128" t="s">
        <v>1703</v>
      </c>
      <c r="G128" s="205">
        <v>112570073</v>
      </c>
      <c r="H128" s="303" t="str">
        <f t="shared" si="7"/>
        <v>GZC 96310 XBB CRISTAL COCINA GAS</v>
      </c>
      <c r="I128" t="s">
        <v>1704</v>
      </c>
      <c r="J128" s="284" t="s">
        <v>1252</v>
      </c>
      <c r="K128" s="250">
        <v>45897</v>
      </c>
      <c r="L128" s="250" t="s">
        <v>25</v>
      </c>
      <c r="M128" s="251" t="s">
        <v>24</v>
      </c>
      <c r="N128" s="251" t="s">
        <v>24</v>
      </c>
      <c r="O128" s="284" t="s">
        <v>1455</v>
      </c>
      <c r="Q128" s="332">
        <f t="shared" si="6"/>
        <v>45970</v>
      </c>
      <c r="R128" s="356" t="s">
        <v>1459</v>
      </c>
      <c r="S128" s="357" t="s">
        <v>1458</v>
      </c>
      <c r="T128" s="159" t="s">
        <v>1705</v>
      </c>
    </row>
    <row r="129" spans="1:20" ht="19">
      <c r="A129">
        <v>123</v>
      </c>
      <c r="B129" s="204">
        <v>45971</v>
      </c>
      <c r="C129" s="283" t="s">
        <v>1464</v>
      </c>
      <c r="D129" s="283" t="s">
        <v>1465</v>
      </c>
      <c r="E129" s="284">
        <v>992206605</v>
      </c>
      <c r="F129" t="s">
        <v>1703</v>
      </c>
      <c r="G129" s="205">
        <v>40446712</v>
      </c>
      <c r="H129" s="303" t="str">
        <f t="shared" si="7"/>
        <v>GFH 73 INOX CAMPANA (110V-60HZ) C/KIT</v>
      </c>
      <c r="I129" t="s">
        <v>1704</v>
      </c>
      <c r="J129" s="284" t="s">
        <v>1033</v>
      </c>
      <c r="K129" s="250">
        <v>45929</v>
      </c>
      <c r="L129" s="250" t="s">
        <v>25</v>
      </c>
      <c r="M129" s="251" t="s">
        <v>24</v>
      </c>
      <c r="N129" s="251" t="s">
        <v>24</v>
      </c>
      <c r="O129" s="284" t="s">
        <v>1461</v>
      </c>
      <c r="Q129" s="332">
        <f t="shared" si="6"/>
        <v>45970</v>
      </c>
      <c r="R129" s="356" t="s">
        <v>1467</v>
      </c>
      <c r="S129" s="357" t="s">
        <v>1466</v>
      </c>
      <c r="T129" s="159" t="s">
        <v>1705</v>
      </c>
    </row>
    <row r="130" spans="1:20" ht="19">
      <c r="A130">
        <v>124</v>
      </c>
      <c r="B130" s="204">
        <v>45971</v>
      </c>
      <c r="C130" s="283" t="s">
        <v>1464</v>
      </c>
      <c r="D130" s="283" t="s">
        <v>1465</v>
      </c>
      <c r="E130" s="284">
        <v>992206605</v>
      </c>
      <c r="F130" t="s">
        <v>1703</v>
      </c>
      <c r="G130" s="205">
        <v>112610069</v>
      </c>
      <c r="H130" s="303" t="str">
        <f t="shared" si="7"/>
        <v>GSC 75330 XBA IX (LAT) COCINA INOX</v>
      </c>
      <c r="I130" t="s">
        <v>1704</v>
      </c>
      <c r="J130" s="284" t="s">
        <v>1033</v>
      </c>
      <c r="K130" s="250">
        <v>45929</v>
      </c>
      <c r="L130" s="250" t="s">
        <v>25</v>
      </c>
      <c r="M130" s="251" t="s">
        <v>24</v>
      </c>
      <c r="N130" s="251" t="s">
        <v>24</v>
      </c>
      <c r="O130" s="284" t="s">
        <v>1462</v>
      </c>
      <c r="Q130" s="332">
        <f t="shared" si="6"/>
        <v>45970</v>
      </c>
      <c r="R130" s="356" t="s">
        <v>1467</v>
      </c>
      <c r="S130" s="357" t="s">
        <v>1466</v>
      </c>
      <c r="T130" s="159" t="s">
        <v>1705</v>
      </c>
    </row>
    <row r="131" spans="1:20" ht="19">
      <c r="A131">
        <v>125</v>
      </c>
      <c r="B131" s="204">
        <v>45971</v>
      </c>
      <c r="C131" s="283" t="s">
        <v>1464</v>
      </c>
      <c r="D131" s="283" t="s">
        <v>1465</v>
      </c>
      <c r="E131" s="284">
        <v>992206605</v>
      </c>
      <c r="F131" t="s">
        <v>1703</v>
      </c>
      <c r="G131" s="205">
        <v>111000051</v>
      </c>
      <c r="H131" s="303" t="str">
        <f t="shared" si="7"/>
        <v>HLB 8416 "AIR FRY" - HORNO ELEC</v>
      </c>
      <c r="I131" t="s">
        <v>1704</v>
      </c>
      <c r="J131" s="284" t="s">
        <v>1033</v>
      </c>
      <c r="K131" s="250">
        <v>45929</v>
      </c>
      <c r="L131" s="250" t="s">
        <v>25</v>
      </c>
      <c r="M131" s="251" t="s">
        <v>24</v>
      </c>
      <c r="N131" s="251" t="s">
        <v>24</v>
      </c>
      <c r="O131" s="284" t="s">
        <v>1463</v>
      </c>
      <c r="Q131" s="332">
        <f t="shared" si="6"/>
        <v>45970</v>
      </c>
      <c r="R131" s="356" t="s">
        <v>1467</v>
      </c>
      <c r="S131" s="357" t="s">
        <v>1466</v>
      </c>
      <c r="T131" s="159" t="s">
        <v>1705</v>
      </c>
    </row>
    <row r="132" spans="1:20" ht="19">
      <c r="A132">
        <v>126</v>
      </c>
      <c r="B132" s="204">
        <v>45971</v>
      </c>
      <c r="C132" s="283" t="s">
        <v>1473</v>
      </c>
      <c r="D132" s="283" t="s">
        <v>1474</v>
      </c>
      <c r="E132" s="284">
        <v>995190646</v>
      </c>
      <c r="F132" t="s">
        <v>1703</v>
      </c>
      <c r="G132" s="205">
        <v>112610067</v>
      </c>
      <c r="H132" s="303" t="str">
        <f t="shared" si="7"/>
        <v>GSC 96320 XBA IX (LAT) COCINA INOX</v>
      </c>
      <c r="I132" t="s">
        <v>1704</v>
      </c>
      <c r="J132" s="284" t="s">
        <v>1033</v>
      </c>
      <c r="K132" s="250">
        <v>45872</v>
      </c>
      <c r="L132" s="250" t="s">
        <v>25</v>
      </c>
      <c r="M132" s="251" t="s">
        <v>24</v>
      </c>
      <c r="N132" s="251" t="s">
        <v>24</v>
      </c>
      <c r="O132" s="284" t="s">
        <v>1470</v>
      </c>
      <c r="Q132" s="332">
        <f t="shared" si="6"/>
        <v>45970</v>
      </c>
      <c r="R132" s="356" t="s">
        <v>1476</v>
      </c>
      <c r="S132" s="357" t="s">
        <v>1475</v>
      </c>
      <c r="T132" s="159" t="s">
        <v>1705</v>
      </c>
    </row>
    <row r="133" spans="1:20" ht="19">
      <c r="A133">
        <v>127</v>
      </c>
      <c r="B133" s="204">
        <v>45971</v>
      </c>
      <c r="C133" s="283" t="s">
        <v>1473</v>
      </c>
      <c r="D133" s="283" t="s">
        <v>1474</v>
      </c>
      <c r="E133" s="284">
        <v>995190646</v>
      </c>
      <c r="F133" t="s">
        <v>1703</v>
      </c>
      <c r="G133" s="205">
        <v>111010028</v>
      </c>
      <c r="H133" s="303" t="str">
        <f t="shared" si="7"/>
        <v>HSB 646 "AIRFRY" - HORNO ELEC</v>
      </c>
      <c r="I133" t="s">
        <v>1704</v>
      </c>
      <c r="J133" s="284" t="s">
        <v>1033</v>
      </c>
      <c r="K133" s="250">
        <v>45872</v>
      </c>
      <c r="L133" s="250" t="s">
        <v>25</v>
      </c>
      <c r="M133" s="251" t="s">
        <v>24</v>
      </c>
      <c r="N133" s="251" t="s">
        <v>24</v>
      </c>
      <c r="O133" s="284" t="s">
        <v>1471</v>
      </c>
      <c r="Q133" s="332">
        <f t="shared" si="6"/>
        <v>45970</v>
      </c>
      <c r="R133" s="356" t="s">
        <v>1476</v>
      </c>
      <c r="S133" s="357" t="s">
        <v>1475</v>
      </c>
      <c r="T133" s="159" t="s">
        <v>1705</v>
      </c>
    </row>
    <row r="134" spans="1:20" ht="19">
      <c r="A134">
        <v>128</v>
      </c>
      <c r="B134" s="204">
        <v>45971</v>
      </c>
      <c r="C134" s="283" t="s">
        <v>1473</v>
      </c>
      <c r="D134" s="283" t="s">
        <v>1474</v>
      </c>
      <c r="E134" s="284">
        <v>995190646</v>
      </c>
      <c r="F134" t="s">
        <v>1703</v>
      </c>
      <c r="G134" s="205">
        <v>40466241</v>
      </c>
      <c r="H134" s="303" t="str">
        <f t="shared" si="7"/>
        <v>C 9310 INOX CAMPANA (110V-60HZ) C/KIT</v>
      </c>
      <c r="I134" t="s">
        <v>1704</v>
      </c>
      <c r="J134" s="284" t="s">
        <v>1033</v>
      </c>
      <c r="K134" s="250">
        <v>45872</v>
      </c>
      <c r="L134" s="250" t="s">
        <v>25</v>
      </c>
      <c r="M134" s="251" t="s">
        <v>24</v>
      </c>
      <c r="N134" s="251" t="s">
        <v>24</v>
      </c>
      <c r="O134" s="284" t="s">
        <v>1472</v>
      </c>
      <c r="Q134" s="332">
        <f t="shared" si="6"/>
        <v>45970</v>
      </c>
      <c r="R134" s="356" t="s">
        <v>1476</v>
      </c>
      <c r="S134" s="357" t="s">
        <v>1475</v>
      </c>
      <c r="T134" s="159" t="s">
        <v>1705</v>
      </c>
    </row>
    <row r="135" spans="1:20" ht="19">
      <c r="A135">
        <v>129</v>
      </c>
      <c r="B135" s="204">
        <v>45971</v>
      </c>
      <c r="C135" s="283" t="s">
        <v>1759</v>
      </c>
      <c r="D135" s="283" t="s">
        <v>1447</v>
      </c>
      <c r="E135" s="284">
        <v>980913525</v>
      </c>
      <c r="F135" t="s">
        <v>1707</v>
      </c>
      <c r="G135" s="205">
        <v>112500047</v>
      </c>
      <c r="H135" s="303" t="str">
        <f t="shared" si="7"/>
        <v>IZF 99700 MST COCINA INDUCCION</v>
      </c>
      <c r="I135" t="s">
        <v>1708</v>
      </c>
      <c r="J135" s="284" t="s">
        <v>1241</v>
      </c>
      <c r="K135" s="250">
        <v>45381</v>
      </c>
      <c r="L135" s="250" t="s">
        <v>25</v>
      </c>
      <c r="M135" s="251" t="s">
        <v>24</v>
      </c>
      <c r="N135" s="251" t="s">
        <v>24</v>
      </c>
      <c r="O135" s="284" t="s">
        <v>1758</v>
      </c>
      <c r="Q135" s="332">
        <f t="shared" si="6"/>
        <v>45970</v>
      </c>
      <c r="R135" s="356" t="s">
        <v>1476</v>
      </c>
      <c r="S135" s="357" t="s">
        <v>1475</v>
      </c>
      <c r="T135" s="159" t="s">
        <v>1705</v>
      </c>
    </row>
    <row r="136" spans="1:20" ht="19">
      <c r="A136">
        <v>130</v>
      </c>
      <c r="B136" s="191">
        <v>45971</v>
      </c>
      <c r="C136" s="189" t="s">
        <v>1479</v>
      </c>
      <c r="D136" s="189" t="s">
        <v>1480</v>
      </c>
      <c r="E136" s="189">
        <v>992149174</v>
      </c>
      <c r="F136" t="s">
        <v>1703</v>
      </c>
      <c r="G136" s="190">
        <v>112580058</v>
      </c>
      <c r="H136" s="304" t="str">
        <f t="shared" si="7"/>
        <v>GBC 95030 KBB BK COCINA GAS</v>
      </c>
      <c r="I136" t="s">
        <v>1704</v>
      </c>
      <c r="J136" s="189" t="s">
        <v>1032</v>
      </c>
      <c r="K136" s="305">
        <v>45969</v>
      </c>
      <c r="L136" s="250" t="s">
        <v>25</v>
      </c>
      <c r="M136" s="251" t="s">
        <v>24</v>
      </c>
      <c r="N136" s="251" t="s">
        <v>24</v>
      </c>
      <c r="O136" s="189" t="s">
        <v>1478</v>
      </c>
      <c r="Q136" s="332">
        <f t="shared" si="6"/>
        <v>45970</v>
      </c>
      <c r="R136" s="192" t="s">
        <v>1776</v>
      </c>
      <c r="S136" s="359" t="s">
        <v>1761</v>
      </c>
      <c r="T136" s="159" t="s">
        <v>1777</v>
      </c>
    </row>
    <row r="137" spans="1:20" ht="19">
      <c r="A137">
        <v>131</v>
      </c>
      <c r="B137" s="191">
        <v>45971</v>
      </c>
      <c r="C137" s="189" t="s">
        <v>1485</v>
      </c>
      <c r="D137" s="189" t="s">
        <v>1410</v>
      </c>
      <c r="E137" s="189">
        <v>999083269</v>
      </c>
      <c r="F137" t="s">
        <v>1703</v>
      </c>
      <c r="G137" s="190">
        <v>112610067</v>
      </c>
      <c r="H137" s="304" t="str">
        <f t="shared" si="7"/>
        <v>GSC 96320 XBA IX (LAT) COCINA INOX</v>
      </c>
      <c r="I137" t="s">
        <v>1704</v>
      </c>
      <c r="J137" s="189" t="s">
        <v>1033</v>
      </c>
      <c r="K137" s="305">
        <v>45919</v>
      </c>
      <c r="L137" s="250" t="s">
        <v>25</v>
      </c>
      <c r="M137" s="251" t="s">
        <v>24</v>
      </c>
      <c r="N137" s="251" t="s">
        <v>24</v>
      </c>
      <c r="O137" s="189" t="s">
        <v>1484</v>
      </c>
      <c r="Q137" s="332">
        <f t="shared" si="6"/>
        <v>45970</v>
      </c>
      <c r="R137" s="358" t="s">
        <v>1487</v>
      </c>
      <c r="S137" s="359" t="s">
        <v>1486</v>
      </c>
      <c r="T137" s="159" t="s">
        <v>1705</v>
      </c>
    </row>
    <row r="138" spans="1:20" ht="19">
      <c r="A138">
        <v>132</v>
      </c>
      <c r="B138" s="191">
        <v>45971</v>
      </c>
      <c r="C138" s="189" t="s">
        <v>1490</v>
      </c>
      <c r="D138" s="189" t="s">
        <v>1410</v>
      </c>
      <c r="E138" s="189">
        <v>99889251</v>
      </c>
      <c r="F138" t="s">
        <v>1703</v>
      </c>
      <c r="G138" s="190">
        <v>112580058</v>
      </c>
      <c r="H138" s="304" t="str">
        <f t="shared" ref="H138:H170" si="8">VLOOKUP(G138,PROD,2,FALSE)</f>
        <v>GBC 95030 KBB BK COCINA GAS</v>
      </c>
      <c r="I138" t="s">
        <v>1704</v>
      </c>
      <c r="J138" s="189" t="s">
        <v>1033</v>
      </c>
      <c r="K138" s="305">
        <v>45932</v>
      </c>
      <c r="L138" s="250" t="s">
        <v>25</v>
      </c>
      <c r="M138" s="251" t="s">
        <v>24</v>
      </c>
      <c r="N138" s="251" t="s">
        <v>24</v>
      </c>
      <c r="O138" s="189" t="s">
        <v>1489</v>
      </c>
      <c r="Q138" s="332">
        <f t="shared" si="6"/>
        <v>45970</v>
      </c>
      <c r="R138" s="358" t="s">
        <v>1492</v>
      </c>
      <c r="S138" s="359" t="s">
        <v>1491</v>
      </c>
      <c r="T138" s="159" t="s">
        <v>1705</v>
      </c>
    </row>
    <row r="139" spans="1:20" ht="19">
      <c r="A139">
        <v>133</v>
      </c>
      <c r="B139" s="204">
        <v>45972</v>
      </c>
      <c r="C139" s="283" t="s">
        <v>1503</v>
      </c>
      <c r="D139" s="283" t="s">
        <v>1504</v>
      </c>
      <c r="E139" s="284">
        <v>999685842</v>
      </c>
      <c r="F139" t="s">
        <v>1703</v>
      </c>
      <c r="G139" s="205">
        <v>112580017</v>
      </c>
      <c r="H139" s="303" t="str">
        <f t="shared" si="8"/>
        <v>GBC 64000 KBB CRISTAL COCINA GAS</v>
      </c>
      <c r="I139" t="s">
        <v>1704</v>
      </c>
      <c r="J139" s="284" t="s">
        <v>1033</v>
      </c>
      <c r="K139" s="250">
        <v>45943</v>
      </c>
      <c r="L139" s="250" t="s">
        <v>25</v>
      </c>
      <c r="M139" s="251" t="s">
        <v>24</v>
      </c>
      <c r="N139" s="251" t="s">
        <v>24</v>
      </c>
      <c r="O139" s="284" t="s">
        <v>1500</v>
      </c>
      <c r="Q139" s="332">
        <f t="shared" ref="Q139:Q187" si="9">B139-1</f>
        <v>45971</v>
      </c>
      <c r="R139" s="356" t="s">
        <v>1506</v>
      </c>
      <c r="S139" s="357" t="s">
        <v>1505</v>
      </c>
      <c r="T139" s="159" t="s">
        <v>1705</v>
      </c>
    </row>
    <row r="140" spans="1:20" ht="19">
      <c r="A140">
        <v>134</v>
      </c>
      <c r="B140" s="204">
        <v>45972</v>
      </c>
      <c r="C140" s="283" t="s">
        <v>1503</v>
      </c>
      <c r="D140" s="283" t="s">
        <v>1504</v>
      </c>
      <c r="E140" s="284">
        <v>999685842</v>
      </c>
      <c r="F140" t="s">
        <v>1703</v>
      </c>
      <c r="G140" s="205">
        <v>111040006</v>
      </c>
      <c r="H140" s="303" t="str">
        <f t="shared" si="8"/>
        <v>HSB 750 G SS HORNO A GAS</v>
      </c>
      <c r="I140" t="s">
        <v>1704</v>
      </c>
      <c r="J140" s="284" t="s">
        <v>1033</v>
      </c>
      <c r="K140" s="250">
        <v>45943</v>
      </c>
      <c r="L140" s="250" t="s">
        <v>25</v>
      </c>
      <c r="M140" s="251" t="s">
        <v>24</v>
      </c>
      <c r="N140" s="251" t="s">
        <v>24</v>
      </c>
      <c r="O140" s="284" t="s">
        <v>1501</v>
      </c>
      <c r="Q140" s="332">
        <f t="shared" si="9"/>
        <v>45971</v>
      </c>
      <c r="R140" s="356" t="s">
        <v>1506</v>
      </c>
      <c r="S140" s="357" t="s">
        <v>1505</v>
      </c>
      <c r="T140" s="159" t="s">
        <v>1705</v>
      </c>
    </row>
    <row r="141" spans="1:20" ht="19">
      <c r="A141">
        <v>135</v>
      </c>
      <c r="B141" s="204">
        <v>45972</v>
      </c>
      <c r="C141" s="283" t="s">
        <v>1503</v>
      </c>
      <c r="D141" s="283" t="s">
        <v>1504</v>
      </c>
      <c r="E141" s="284">
        <v>999685842</v>
      </c>
      <c r="F141" t="s">
        <v>1703</v>
      </c>
      <c r="G141" s="205">
        <v>111910000</v>
      </c>
      <c r="H141" s="303" t="str">
        <f t="shared" si="8"/>
        <v>MLH 845 SS - MICROONDAS</v>
      </c>
      <c r="I141" t="s">
        <v>1704</v>
      </c>
      <c r="J141" s="284" t="s">
        <v>1033</v>
      </c>
      <c r="K141" s="250">
        <v>45943</v>
      </c>
      <c r="L141" s="250" t="s">
        <v>25</v>
      </c>
      <c r="M141" s="251" t="s">
        <v>24</v>
      </c>
      <c r="N141" s="251" t="s">
        <v>24</v>
      </c>
      <c r="O141" s="306" t="s">
        <v>1502</v>
      </c>
      <c r="Q141" s="332">
        <f t="shared" si="9"/>
        <v>45971</v>
      </c>
      <c r="R141" s="339" t="s">
        <v>1506</v>
      </c>
      <c r="S141" s="340" t="s">
        <v>1505</v>
      </c>
      <c r="T141" s="159" t="s">
        <v>1705</v>
      </c>
    </row>
    <row r="142" spans="1:20" ht="19">
      <c r="A142">
        <v>136</v>
      </c>
      <c r="B142" s="204">
        <v>45972</v>
      </c>
      <c r="C142" s="283" t="s">
        <v>1512</v>
      </c>
      <c r="D142" s="283" t="s">
        <v>1513</v>
      </c>
      <c r="E142" s="284">
        <v>984412139</v>
      </c>
      <c r="F142" t="s">
        <v>1703</v>
      </c>
      <c r="G142" s="205">
        <v>112570211</v>
      </c>
      <c r="H142" s="303" t="str">
        <f t="shared" si="8"/>
        <v>GBC 75-G1 GBA BM COCINA GAS</v>
      </c>
      <c r="I142" t="s">
        <v>1704</v>
      </c>
      <c r="J142" s="284" t="s">
        <v>1032</v>
      </c>
      <c r="K142" s="250">
        <v>45815</v>
      </c>
      <c r="L142" s="250" t="s">
        <v>25</v>
      </c>
      <c r="M142" s="251" t="s">
        <v>24</v>
      </c>
      <c r="N142" s="251" t="s">
        <v>24</v>
      </c>
      <c r="O142" s="284" t="s">
        <v>1509</v>
      </c>
      <c r="Q142" s="332">
        <f t="shared" si="9"/>
        <v>45971</v>
      </c>
      <c r="R142" s="356" t="s">
        <v>1515</v>
      </c>
      <c r="S142" s="357" t="s">
        <v>1514</v>
      </c>
      <c r="T142" s="159" t="s">
        <v>1705</v>
      </c>
    </row>
    <row r="143" spans="1:20" ht="19">
      <c r="A143">
        <v>137</v>
      </c>
      <c r="B143" s="204">
        <v>45972</v>
      </c>
      <c r="C143" s="283" t="s">
        <v>1512</v>
      </c>
      <c r="D143" s="283" t="s">
        <v>1513</v>
      </c>
      <c r="E143" s="284">
        <v>984412139</v>
      </c>
      <c r="F143" t="s">
        <v>1703</v>
      </c>
      <c r="G143" s="205">
        <v>40466241</v>
      </c>
      <c r="H143" s="303" t="str">
        <f t="shared" si="8"/>
        <v>C 9310 INOX CAMPANA (110V-60HZ) C/KIT</v>
      </c>
      <c r="I143" t="s">
        <v>1704</v>
      </c>
      <c r="J143" s="284" t="s">
        <v>1032</v>
      </c>
      <c r="K143" s="250">
        <v>45941</v>
      </c>
      <c r="L143" s="250" t="s">
        <v>25</v>
      </c>
      <c r="M143" s="251" t="s">
        <v>24</v>
      </c>
      <c r="N143" s="251" t="s">
        <v>24</v>
      </c>
      <c r="O143" s="284" t="s">
        <v>1510</v>
      </c>
      <c r="Q143" s="332">
        <f t="shared" si="9"/>
        <v>45971</v>
      </c>
      <c r="R143" s="356" t="s">
        <v>1515</v>
      </c>
      <c r="S143" s="357" t="s">
        <v>1514</v>
      </c>
      <c r="T143" s="159" t="s">
        <v>1705</v>
      </c>
    </row>
    <row r="144" spans="1:20" ht="19">
      <c r="A144">
        <v>138</v>
      </c>
      <c r="B144" s="204">
        <v>45972</v>
      </c>
      <c r="C144" s="283" t="s">
        <v>1512</v>
      </c>
      <c r="D144" s="283" t="s">
        <v>1513</v>
      </c>
      <c r="E144" s="284">
        <v>984412139</v>
      </c>
      <c r="F144" t="s">
        <v>1703</v>
      </c>
      <c r="G144" s="205">
        <v>111030002</v>
      </c>
      <c r="H144" s="303" t="str">
        <f t="shared" si="8"/>
        <v>HLB 760 G SS HORNO A GAS</v>
      </c>
      <c r="I144" t="s">
        <v>1704</v>
      </c>
      <c r="J144" s="284" t="s">
        <v>1032</v>
      </c>
      <c r="K144" s="250">
        <v>45815</v>
      </c>
      <c r="L144" s="250" t="s">
        <v>25</v>
      </c>
      <c r="M144" s="251" t="s">
        <v>24</v>
      </c>
      <c r="N144" s="251" t="s">
        <v>24</v>
      </c>
      <c r="O144" s="284" t="s">
        <v>1511</v>
      </c>
      <c r="Q144" s="332">
        <f t="shared" si="9"/>
        <v>45971</v>
      </c>
      <c r="R144" s="356" t="s">
        <v>1515</v>
      </c>
      <c r="S144" s="357" t="s">
        <v>1514</v>
      </c>
      <c r="T144" s="159" t="s">
        <v>1705</v>
      </c>
    </row>
    <row r="145" spans="1:20" ht="19">
      <c r="A145">
        <v>139</v>
      </c>
      <c r="B145" s="204">
        <v>45972</v>
      </c>
      <c r="C145" s="283" t="s">
        <v>1518</v>
      </c>
      <c r="D145" s="283" t="s">
        <v>1519</v>
      </c>
      <c r="E145" s="284">
        <v>987408848</v>
      </c>
      <c r="F145" t="s">
        <v>1703</v>
      </c>
      <c r="G145" s="205">
        <v>111000051</v>
      </c>
      <c r="H145" s="307" t="str">
        <f t="shared" si="8"/>
        <v>HLB 8416 "AIR FRY" - HORNO ELEC</v>
      </c>
      <c r="I145" t="s">
        <v>1704</v>
      </c>
      <c r="J145" s="284" t="s">
        <v>1032</v>
      </c>
      <c r="K145" s="250">
        <v>45964</v>
      </c>
      <c r="L145" s="250" t="s">
        <v>25</v>
      </c>
      <c r="M145" s="251" t="s">
        <v>24</v>
      </c>
      <c r="N145" s="251" t="s">
        <v>24</v>
      </c>
      <c r="O145" s="284" t="s">
        <v>1517</v>
      </c>
      <c r="Q145" s="332">
        <f t="shared" si="9"/>
        <v>45971</v>
      </c>
      <c r="R145" s="356" t="s">
        <v>1521</v>
      </c>
      <c r="S145" s="357" t="s">
        <v>1520</v>
      </c>
      <c r="T145" s="159" t="s">
        <v>1705</v>
      </c>
    </row>
    <row r="146" spans="1:20" ht="19">
      <c r="A146">
        <v>140</v>
      </c>
      <c r="B146" s="204">
        <v>45972</v>
      </c>
      <c r="C146" s="283" t="s">
        <v>1518</v>
      </c>
      <c r="D146" s="283" t="s">
        <v>1519</v>
      </c>
      <c r="E146" s="284">
        <v>987408848</v>
      </c>
      <c r="F146" t="s">
        <v>1703</v>
      </c>
      <c r="G146" s="205">
        <v>112580027</v>
      </c>
      <c r="H146" s="303" t="str">
        <f t="shared" si="8"/>
        <v>GBC 75030 KBB CRISTAL COCINA GAS</v>
      </c>
      <c r="I146" t="s">
        <v>1704</v>
      </c>
      <c r="J146" s="284" t="s">
        <v>1033</v>
      </c>
      <c r="K146" s="250">
        <v>45864</v>
      </c>
      <c r="L146" s="250" t="s">
        <v>25</v>
      </c>
      <c r="M146" s="251" t="s">
        <v>24</v>
      </c>
      <c r="N146" s="251" t="s">
        <v>24</v>
      </c>
      <c r="O146" s="284" t="s">
        <v>1523</v>
      </c>
      <c r="Q146" s="332">
        <f t="shared" si="9"/>
        <v>45971</v>
      </c>
      <c r="R146" s="356" t="s">
        <v>1521</v>
      </c>
      <c r="S146" s="357" t="s">
        <v>1520</v>
      </c>
      <c r="T146" s="159" t="s">
        <v>1705</v>
      </c>
    </row>
    <row r="147" spans="1:20" ht="19">
      <c r="A147">
        <v>141</v>
      </c>
      <c r="B147" s="191">
        <v>45972</v>
      </c>
      <c r="C147" s="189" t="s">
        <v>1495</v>
      </c>
      <c r="D147" s="189" t="s">
        <v>1496</v>
      </c>
      <c r="E147" s="189">
        <v>999325975</v>
      </c>
      <c r="F147" t="s">
        <v>1703</v>
      </c>
      <c r="G147" s="190">
        <v>111000051</v>
      </c>
      <c r="H147" s="304" t="str">
        <f t="shared" si="8"/>
        <v>HLB 8416 "AIR FRY" - HORNO ELEC</v>
      </c>
      <c r="I147" t="s">
        <v>1704</v>
      </c>
      <c r="J147" s="189" t="s">
        <v>1033</v>
      </c>
      <c r="K147" s="305">
        <v>45968</v>
      </c>
      <c r="L147" s="250" t="s">
        <v>25</v>
      </c>
      <c r="M147" s="251" t="s">
        <v>24</v>
      </c>
      <c r="N147" s="251" t="s">
        <v>24</v>
      </c>
      <c r="O147" s="189" t="s">
        <v>1494</v>
      </c>
      <c r="Q147" s="332">
        <f t="shared" si="9"/>
        <v>45971</v>
      </c>
      <c r="R147" s="358" t="s">
        <v>1498</v>
      </c>
      <c r="S147" s="359" t="s">
        <v>1497</v>
      </c>
      <c r="T147" s="159" t="s">
        <v>1705</v>
      </c>
    </row>
    <row r="148" spans="1:20" ht="19">
      <c r="A148">
        <v>142</v>
      </c>
      <c r="B148" s="204">
        <v>45973</v>
      </c>
      <c r="C148" s="283" t="s">
        <v>1556</v>
      </c>
      <c r="D148" s="283" t="s">
        <v>1557</v>
      </c>
      <c r="E148" s="284">
        <v>987668294</v>
      </c>
      <c r="F148" t="s">
        <v>1703</v>
      </c>
      <c r="G148" s="205">
        <v>112500046</v>
      </c>
      <c r="H148" s="303" t="str">
        <f t="shared" si="8"/>
        <v>IZF 88700 MST COCINA INDUCCION</v>
      </c>
      <c r="I148" t="s">
        <v>1704</v>
      </c>
      <c r="J148" s="284" t="s">
        <v>1067</v>
      </c>
      <c r="K148" s="250">
        <v>45964</v>
      </c>
      <c r="L148" s="250" t="s">
        <v>25</v>
      </c>
      <c r="M148" s="251" t="s">
        <v>24</v>
      </c>
      <c r="N148" s="251" t="s">
        <v>24</v>
      </c>
      <c r="O148" s="284" t="s">
        <v>1553</v>
      </c>
      <c r="Q148" s="332">
        <f t="shared" si="9"/>
        <v>45972</v>
      </c>
      <c r="R148" s="356" t="s">
        <v>1559</v>
      </c>
      <c r="S148" s="357" t="s">
        <v>1558</v>
      </c>
      <c r="T148" s="159" t="s">
        <v>1705</v>
      </c>
    </row>
    <row r="149" spans="1:20" ht="19">
      <c r="A149">
        <v>143</v>
      </c>
      <c r="B149" s="204">
        <v>45973</v>
      </c>
      <c r="C149" s="283" t="s">
        <v>1556</v>
      </c>
      <c r="D149" s="283" t="s">
        <v>1557</v>
      </c>
      <c r="E149" s="284">
        <v>987668294</v>
      </c>
      <c r="F149" t="s">
        <v>1703</v>
      </c>
      <c r="G149" s="205">
        <v>112930047</v>
      </c>
      <c r="H149" s="303" t="str">
        <f t="shared" si="8"/>
        <v>DVT 98660 TRL BK</v>
      </c>
      <c r="I149" t="s">
        <v>1704</v>
      </c>
      <c r="J149" s="284" t="s">
        <v>1067</v>
      </c>
      <c r="K149" s="250">
        <v>45964</v>
      </c>
      <c r="L149" s="250" t="s">
        <v>25</v>
      </c>
      <c r="M149" s="251" t="s">
        <v>24</v>
      </c>
      <c r="N149" s="251" t="s">
        <v>24</v>
      </c>
      <c r="O149" s="284" t="s">
        <v>1554</v>
      </c>
      <c r="Q149" s="332">
        <f t="shared" si="9"/>
        <v>45972</v>
      </c>
      <c r="R149" s="356" t="s">
        <v>1559</v>
      </c>
      <c r="S149" s="357" t="s">
        <v>1558</v>
      </c>
      <c r="T149" s="159" t="s">
        <v>1705</v>
      </c>
    </row>
    <row r="150" spans="1:20" ht="19">
      <c r="A150">
        <v>144</v>
      </c>
      <c r="B150" s="204">
        <v>45973</v>
      </c>
      <c r="C150" s="283" t="s">
        <v>1556</v>
      </c>
      <c r="D150" s="283" t="s">
        <v>1557</v>
      </c>
      <c r="E150" s="284">
        <v>987668294</v>
      </c>
      <c r="F150" t="s">
        <v>1703</v>
      </c>
      <c r="G150" s="205">
        <v>111000050</v>
      </c>
      <c r="H150" s="303" t="str">
        <f t="shared" si="8"/>
        <v>HLB 8510 P "MAESTRO PIZZA"</v>
      </c>
      <c r="I150" t="s">
        <v>1704</v>
      </c>
      <c r="J150" s="284" t="s">
        <v>1067</v>
      </c>
      <c r="K150" s="250">
        <v>45964</v>
      </c>
      <c r="L150" s="250" t="s">
        <v>25</v>
      </c>
      <c r="M150" s="251" t="s">
        <v>24</v>
      </c>
      <c r="N150" s="251" t="s">
        <v>24</v>
      </c>
      <c r="O150" s="284" t="s">
        <v>1555</v>
      </c>
      <c r="Q150" s="332">
        <f t="shared" si="9"/>
        <v>45972</v>
      </c>
      <c r="R150" s="356" t="s">
        <v>1559</v>
      </c>
      <c r="S150" s="357" t="s">
        <v>1558</v>
      </c>
      <c r="T150" s="159" t="s">
        <v>1705</v>
      </c>
    </row>
    <row r="151" spans="1:20" ht="19">
      <c r="A151">
        <v>145</v>
      </c>
      <c r="B151" s="204">
        <v>45973</v>
      </c>
      <c r="C151" s="283" t="s">
        <v>1563</v>
      </c>
      <c r="D151" s="283" t="s">
        <v>1564</v>
      </c>
      <c r="E151" s="284">
        <v>92174485</v>
      </c>
      <c r="F151" t="s">
        <v>1703</v>
      </c>
      <c r="G151" s="205">
        <v>113120010</v>
      </c>
      <c r="H151" s="303" t="str">
        <f t="shared" si="8"/>
        <v>GFI 97350 ECS IX 110/60 CAMPANA</v>
      </c>
      <c r="I151" t="s">
        <v>1704</v>
      </c>
      <c r="J151" s="284" t="s">
        <v>1033</v>
      </c>
      <c r="K151" s="250">
        <v>45964</v>
      </c>
      <c r="L151" s="250" t="s">
        <v>25</v>
      </c>
      <c r="M151" s="251" t="s">
        <v>24</v>
      </c>
      <c r="N151" s="251" t="s">
        <v>24</v>
      </c>
      <c r="O151" s="284" t="s">
        <v>1560</v>
      </c>
      <c r="Q151" s="332">
        <f t="shared" si="9"/>
        <v>45972</v>
      </c>
      <c r="R151" s="356" t="s">
        <v>1566</v>
      </c>
      <c r="S151" s="357" t="s">
        <v>1565</v>
      </c>
      <c r="T151" s="159" t="s">
        <v>1705</v>
      </c>
    </row>
    <row r="152" spans="1:20" ht="19">
      <c r="A152">
        <v>146</v>
      </c>
      <c r="B152" s="204">
        <v>45973</v>
      </c>
      <c r="C152" s="283" t="s">
        <v>1563</v>
      </c>
      <c r="D152" s="283" t="s">
        <v>1564</v>
      </c>
      <c r="E152" s="284">
        <v>92174485</v>
      </c>
      <c r="F152" t="s">
        <v>1703</v>
      </c>
      <c r="G152" s="205">
        <v>111000051</v>
      </c>
      <c r="H152" s="303" t="str">
        <f t="shared" si="8"/>
        <v>HLB 8416 "AIR FRY" - HORNO ELEC</v>
      </c>
      <c r="I152" t="s">
        <v>1704</v>
      </c>
      <c r="J152" s="284" t="s">
        <v>1033</v>
      </c>
      <c r="K152" s="250">
        <v>45964</v>
      </c>
      <c r="L152" s="250" t="s">
        <v>25</v>
      </c>
      <c r="M152" s="251" t="s">
        <v>24</v>
      </c>
      <c r="N152" s="251" t="s">
        <v>24</v>
      </c>
      <c r="O152" s="284" t="s">
        <v>1561</v>
      </c>
      <c r="Q152" s="332">
        <f t="shared" si="9"/>
        <v>45972</v>
      </c>
      <c r="R152" s="356" t="s">
        <v>1566</v>
      </c>
      <c r="S152" s="357" t="s">
        <v>1565</v>
      </c>
      <c r="T152" s="159" t="s">
        <v>1705</v>
      </c>
    </row>
    <row r="153" spans="1:20" ht="19">
      <c r="A153">
        <v>147</v>
      </c>
      <c r="B153" s="204">
        <v>45973</v>
      </c>
      <c r="C153" s="283" t="s">
        <v>1563</v>
      </c>
      <c r="D153" s="283" t="s">
        <v>1564</v>
      </c>
      <c r="E153" s="284">
        <v>92174485</v>
      </c>
      <c r="F153" t="s">
        <v>1703</v>
      </c>
      <c r="G153" s="205">
        <v>112030019</v>
      </c>
      <c r="H153" s="303" t="str">
        <f t="shared" si="8"/>
        <v>ML 8220 BIS FBK- MICROONDAS</v>
      </c>
      <c r="I153" t="s">
        <v>1704</v>
      </c>
      <c r="J153" s="284" t="s">
        <v>1033</v>
      </c>
      <c r="K153" s="250">
        <v>45964</v>
      </c>
      <c r="L153" s="250" t="s">
        <v>25</v>
      </c>
      <c r="M153" s="251" t="s">
        <v>24</v>
      </c>
      <c r="N153" s="251" t="s">
        <v>24</v>
      </c>
      <c r="O153" s="284" t="s">
        <v>1562</v>
      </c>
      <c r="Q153" s="332">
        <f t="shared" si="9"/>
        <v>45972</v>
      </c>
      <c r="R153" s="356" t="s">
        <v>1566</v>
      </c>
      <c r="S153" s="357" t="s">
        <v>1565</v>
      </c>
      <c r="T153" s="159" t="s">
        <v>1705</v>
      </c>
    </row>
    <row r="154" spans="1:20" ht="19">
      <c r="A154">
        <v>148</v>
      </c>
      <c r="B154" s="194">
        <v>45973</v>
      </c>
      <c r="C154" s="308" t="s">
        <v>1571</v>
      </c>
      <c r="D154" s="308" t="s">
        <v>1457</v>
      </c>
      <c r="E154" s="309">
        <v>93998609</v>
      </c>
      <c r="F154" t="s">
        <v>1703</v>
      </c>
      <c r="G154" s="195">
        <v>40484203</v>
      </c>
      <c r="H154" s="137" t="str">
        <f t="shared" si="8"/>
        <v>DSH 785 INOX CAMPANA (110V-60HZ) C/KIT</v>
      </c>
      <c r="I154" t="s">
        <v>1704</v>
      </c>
      <c r="J154" s="309" t="s">
        <v>1252</v>
      </c>
      <c r="K154" s="135">
        <v>45962</v>
      </c>
      <c r="L154" s="250" t="s">
        <v>25</v>
      </c>
      <c r="M154" s="251" t="s">
        <v>24</v>
      </c>
      <c r="N154" s="251" t="s">
        <v>24</v>
      </c>
      <c r="O154" s="309" t="s">
        <v>1569</v>
      </c>
      <c r="Q154" s="332">
        <f t="shared" si="9"/>
        <v>45972</v>
      </c>
      <c r="R154" s="360" t="s">
        <v>1573</v>
      </c>
      <c r="S154" s="361" t="s">
        <v>1572</v>
      </c>
      <c r="T154" s="159" t="s">
        <v>1705</v>
      </c>
    </row>
    <row r="155" spans="1:20" ht="19">
      <c r="A155">
        <v>149</v>
      </c>
      <c r="B155" s="194">
        <v>45973</v>
      </c>
      <c r="C155" s="308" t="s">
        <v>1571</v>
      </c>
      <c r="D155" s="308" t="s">
        <v>1457</v>
      </c>
      <c r="E155" s="309">
        <v>93998609</v>
      </c>
      <c r="F155" t="s">
        <v>1703</v>
      </c>
      <c r="G155" s="195">
        <v>112510035</v>
      </c>
      <c r="H155" s="137" t="str">
        <f t="shared" si="8"/>
        <v>IZF 64440 MSP BK COCINA INDUCCION</v>
      </c>
      <c r="I155" t="s">
        <v>1704</v>
      </c>
      <c r="J155" s="309" t="s">
        <v>1252</v>
      </c>
      <c r="K155" s="135">
        <v>45962</v>
      </c>
      <c r="L155" s="250" t="s">
        <v>25</v>
      </c>
      <c r="M155" s="251" t="s">
        <v>24</v>
      </c>
      <c r="N155" s="251" t="s">
        <v>24</v>
      </c>
      <c r="O155" s="309" t="s">
        <v>1570</v>
      </c>
      <c r="Q155" s="332">
        <f t="shared" si="9"/>
        <v>45972</v>
      </c>
      <c r="R155" s="360" t="s">
        <v>1573</v>
      </c>
      <c r="S155" s="361" t="s">
        <v>1572</v>
      </c>
      <c r="T155" s="159" t="s">
        <v>1705</v>
      </c>
    </row>
    <row r="156" spans="1:20" ht="19">
      <c r="A156">
        <v>150</v>
      </c>
      <c r="B156" s="253">
        <v>45973</v>
      </c>
      <c r="C156" s="254" t="s">
        <v>1575</v>
      </c>
      <c r="D156" s="254" t="s">
        <v>1576</v>
      </c>
      <c r="E156" s="255">
        <v>997437371</v>
      </c>
      <c r="F156" t="s">
        <v>1703</v>
      </c>
      <c r="G156" s="261">
        <v>111570003</v>
      </c>
      <c r="H156" s="137" t="str">
        <f t="shared" si="8"/>
        <v>COCINA GOURMET BBQ 4100 G SS</v>
      </c>
      <c r="I156" t="s">
        <v>1704</v>
      </c>
      <c r="J156" s="254" t="s">
        <v>1033</v>
      </c>
      <c r="K156" s="257">
        <v>45972</v>
      </c>
      <c r="L156" s="250" t="s">
        <v>25</v>
      </c>
      <c r="M156" s="251" t="s">
        <v>24</v>
      </c>
      <c r="N156" s="251" t="s">
        <v>24</v>
      </c>
      <c r="O156" s="310" t="s">
        <v>1084</v>
      </c>
      <c r="Q156" s="332">
        <f t="shared" si="9"/>
        <v>45972</v>
      </c>
      <c r="R156" s="362" t="s">
        <v>1578</v>
      </c>
      <c r="S156" s="363" t="s">
        <v>1577</v>
      </c>
      <c r="T156" s="159" t="s">
        <v>1705</v>
      </c>
    </row>
    <row r="157" spans="1:20" ht="19">
      <c r="A157">
        <v>151</v>
      </c>
      <c r="B157" s="194">
        <v>45974</v>
      </c>
      <c r="C157" s="308" t="s">
        <v>1596</v>
      </c>
      <c r="D157" s="308" t="s">
        <v>1597</v>
      </c>
      <c r="E157" s="309">
        <v>984995210</v>
      </c>
      <c r="F157" t="s">
        <v>1703</v>
      </c>
      <c r="G157" s="195">
        <v>112570238</v>
      </c>
      <c r="H157" s="137" t="str">
        <f t="shared" si="8"/>
        <v>GBC 95-G1 GBA BM COCINA GAS</v>
      </c>
      <c r="I157" t="s">
        <v>1704</v>
      </c>
      <c r="J157" s="309" t="s">
        <v>1032</v>
      </c>
      <c r="K157" s="135">
        <v>45752</v>
      </c>
      <c r="L157" s="250" t="s">
        <v>25</v>
      </c>
      <c r="M157" s="251" t="s">
        <v>24</v>
      </c>
      <c r="N157" s="251" t="s">
        <v>24</v>
      </c>
      <c r="O157" s="309" t="s">
        <v>1595</v>
      </c>
      <c r="Q157" s="332">
        <f t="shared" si="9"/>
        <v>45973</v>
      </c>
      <c r="R157" s="360" t="s">
        <v>1599</v>
      </c>
      <c r="S157" s="361" t="s">
        <v>1598</v>
      </c>
      <c r="T157" s="159" t="s">
        <v>1705</v>
      </c>
    </row>
    <row r="158" spans="1:20" ht="19">
      <c r="A158">
        <v>152</v>
      </c>
      <c r="B158" s="194">
        <v>45974</v>
      </c>
      <c r="C158" s="308" t="s">
        <v>1596</v>
      </c>
      <c r="D158" s="308" t="s">
        <v>1597</v>
      </c>
      <c r="E158" s="309">
        <v>984995210</v>
      </c>
      <c r="F158" t="s">
        <v>1703</v>
      </c>
      <c r="G158" s="195">
        <v>40483182</v>
      </c>
      <c r="H158" s="137" t="str">
        <f t="shared" si="8"/>
        <v>CUERPO DPL ISLA 1180</v>
      </c>
      <c r="I158" t="s">
        <v>1704</v>
      </c>
      <c r="J158" s="309" t="s">
        <v>1032</v>
      </c>
      <c r="K158" s="135">
        <v>45752</v>
      </c>
      <c r="L158" s="250" t="s">
        <v>25</v>
      </c>
      <c r="M158" s="251" t="s">
        <v>24</v>
      </c>
      <c r="N158" s="251" t="s">
        <v>24</v>
      </c>
      <c r="O158" s="309" t="s">
        <v>1594</v>
      </c>
      <c r="Q158" s="332">
        <f t="shared" si="9"/>
        <v>45973</v>
      </c>
      <c r="R158" s="360" t="s">
        <v>1599</v>
      </c>
      <c r="S158" s="361" t="s">
        <v>1598</v>
      </c>
      <c r="T158" s="159" t="s">
        <v>1705</v>
      </c>
    </row>
    <row r="159" spans="1:20" ht="19">
      <c r="A159">
        <v>153</v>
      </c>
      <c r="B159" s="194">
        <v>45974</v>
      </c>
      <c r="C159" s="308" t="s">
        <v>1596</v>
      </c>
      <c r="D159" s="308" t="s">
        <v>1597</v>
      </c>
      <c r="E159" s="309">
        <v>984995210</v>
      </c>
      <c r="F159" t="s">
        <v>1703</v>
      </c>
      <c r="G159" s="195">
        <v>111030002</v>
      </c>
      <c r="H159" s="137" t="str">
        <f t="shared" si="8"/>
        <v>HLB 760 G SS HORNO A GAS</v>
      </c>
      <c r="I159" t="s">
        <v>1704</v>
      </c>
      <c r="J159" s="309" t="s">
        <v>1032</v>
      </c>
      <c r="K159" s="135">
        <v>45752</v>
      </c>
      <c r="L159" s="250" t="s">
        <v>25</v>
      </c>
      <c r="M159" s="251" t="s">
        <v>24</v>
      </c>
      <c r="N159" s="251" t="s">
        <v>24</v>
      </c>
      <c r="O159" s="309" t="s">
        <v>1593</v>
      </c>
      <c r="Q159" s="332">
        <f t="shared" si="9"/>
        <v>45973</v>
      </c>
      <c r="R159" s="360" t="s">
        <v>1599</v>
      </c>
      <c r="S159" s="361" t="s">
        <v>1598</v>
      </c>
      <c r="T159" s="159" t="s">
        <v>1705</v>
      </c>
    </row>
    <row r="160" spans="1:20" ht="19">
      <c r="A160">
        <v>154</v>
      </c>
      <c r="B160" s="194">
        <v>45974</v>
      </c>
      <c r="C160" s="308" t="s">
        <v>1596</v>
      </c>
      <c r="D160" s="308" t="s">
        <v>1597</v>
      </c>
      <c r="E160" s="309">
        <v>984995210</v>
      </c>
      <c r="F160" t="s">
        <v>1703</v>
      </c>
      <c r="G160" s="195">
        <v>113430051</v>
      </c>
      <c r="H160" s="137" t="str">
        <f t="shared" si="8"/>
        <v>RMF 77960 GBK MX REFRIGERADORA</v>
      </c>
      <c r="I160" t="s">
        <v>1704</v>
      </c>
      <c r="J160" s="309" t="s">
        <v>1032</v>
      </c>
      <c r="K160" s="135">
        <v>45752</v>
      </c>
      <c r="L160" s="250" t="s">
        <v>25</v>
      </c>
      <c r="M160" s="251" t="s">
        <v>24</v>
      </c>
      <c r="N160" s="251" t="s">
        <v>24</v>
      </c>
      <c r="O160" s="309" t="s">
        <v>1592</v>
      </c>
      <c r="Q160" s="332">
        <f t="shared" si="9"/>
        <v>45973</v>
      </c>
      <c r="R160" s="360" t="s">
        <v>1599</v>
      </c>
      <c r="S160" s="361" t="s">
        <v>1598</v>
      </c>
      <c r="T160" s="159" t="s">
        <v>1705</v>
      </c>
    </row>
    <row r="161" spans="1:20" ht="19">
      <c r="A161">
        <v>155</v>
      </c>
      <c r="B161" s="194">
        <v>45974</v>
      </c>
      <c r="C161" s="308" t="s">
        <v>1604</v>
      </c>
      <c r="D161" s="308" t="s">
        <v>1605</v>
      </c>
      <c r="E161" s="309">
        <v>984881377</v>
      </c>
      <c r="F161" t="s">
        <v>1703</v>
      </c>
      <c r="G161" s="195">
        <v>111000051</v>
      </c>
      <c r="H161" s="137" t="str">
        <f t="shared" si="8"/>
        <v>HLB 8416 "AIR FRY" - HORNO ELEC</v>
      </c>
      <c r="I161" t="s">
        <v>1704</v>
      </c>
      <c r="J161" s="309" t="s">
        <v>1032</v>
      </c>
      <c r="K161" s="135">
        <v>45786</v>
      </c>
      <c r="L161" s="250" t="s">
        <v>25</v>
      </c>
      <c r="M161" s="251" t="s">
        <v>24</v>
      </c>
      <c r="N161" s="251" t="s">
        <v>24</v>
      </c>
      <c r="O161" s="309" t="s">
        <v>1601</v>
      </c>
      <c r="Q161" s="332">
        <f t="shared" si="9"/>
        <v>45973</v>
      </c>
      <c r="R161" s="360" t="s">
        <v>1607</v>
      </c>
      <c r="S161" s="361" t="s">
        <v>1606</v>
      </c>
      <c r="T161" s="159" t="s">
        <v>1705</v>
      </c>
    </row>
    <row r="162" spans="1:20" ht="19">
      <c r="A162">
        <v>156</v>
      </c>
      <c r="B162" s="194">
        <v>45974</v>
      </c>
      <c r="C162" s="308" t="s">
        <v>1604</v>
      </c>
      <c r="D162" s="308" t="s">
        <v>1605</v>
      </c>
      <c r="E162" s="311">
        <v>984881377</v>
      </c>
      <c r="F162" t="s">
        <v>1703</v>
      </c>
      <c r="G162" s="195">
        <v>112580058</v>
      </c>
      <c r="H162" s="137" t="str">
        <f t="shared" si="8"/>
        <v>GBC 95030 KBB BK COCINA GAS</v>
      </c>
      <c r="I162" t="s">
        <v>1704</v>
      </c>
      <c r="J162" s="309" t="s">
        <v>1032</v>
      </c>
      <c r="K162" s="135">
        <v>45786</v>
      </c>
      <c r="L162" s="250" t="s">
        <v>25</v>
      </c>
      <c r="M162" s="251" t="s">
        <v>24</v>
      </c>
      <c r="N162" s="251" t="s">
        <v>24</v>
      </c>
      <c r="O162" s="309" t="s">
        <v>1602</v>
      </c>
      <c r="Q162" s="332">
        <f t="shared" si="9"/>
        <v>45973</v>
      </c>
      <c r="R162" s="360" t="s">
        <v>1607</v>
      </c>
      <c r="S162" s="361" t="s">
        <v>1606</v>
      </c>
      <c r="T162" s="159" t="s">
        <v>1705</v>
      </c>
    </row>
    <row r="163" spans="1:20" ht="19">
      <c r="A163">
        <v>157</v>
      </c>
      <c r="B163" s="194">
        <v>45974</v>
      </c>
      <c r="C163" s="308" t="s">
        <v>1604</v>
      </c>
      <c r="D163" s="308" t="s">
        <v>1605</v>
      </c>
      <c r="E163" s="311">
        <v>984881377</v>
      </c>
      <c r="F163" t="s">
        <v>1703</v>
      </c>
      <c r="G163" s="195">
        <v>112950021</v>
      </c>
      <c r="H163" s="137" t="str">
        <f t="shared" si="8"/>
        <v>DVN 94030 TCL BK CAMPANA (110V-60HZ) C/KIT</v>
      </c>
      <c r="I163" t="s">
        <v>1704</v>
      </c>
      <c r="J163" s="312" t="s">
        <v>1032</v>
      </c>
      <c r="K163" s="135">
        <v>45786</v>
      </c>
      <c r="L163" s="250" t="s">
        <v>25</v>
      </c>
      <c r="M163" s="251" t="s">
        <v>24</v>
      </c>
      <c r="N163" s="251" t="s">
        <v>24</v>
      </c>
      <c r="O163" s="309" t="s">
        <v>1603</v>
      </c>
      <c r="Q163" s="332">
        <f t="shared" si="9"/>
        <v>45973</v>
      </c>
      <c r="R163" s="360" t="s">
        <v>1607</v>
      </c>
      <c r="S163" s="361" t="s">
        <v>1606</v>
      </c>
      <c r="T163" s="159" t="s">
        <v>1705</v>
      </c>
    </row>
    <row r="164" spans="1:20" ht="19">
      <c r="A164">
        <v>158</v>
      </c>
      <c r="B164" s="207">
        <v>45974</v>
      </c>
      <c r="C164" s="313" t="s">
        <v>1614</v>
      </c>
      <c r="D164" s="313" t="s">
        <v>1615</v>
      </c>
      <c r="E164" s="313">
        <v>983370632</v>
      </c>
      <c r="F164" t="s">
        <v>1703</v>
      </c>
      <c r="G164" s="136">
        <v>112950021</v>
      </c>
      <c r="H164" s="288" t="str">
        <f t="shared" si="8"/>
        <v>DVN 94030 TCL BK CAMPANA (110V-60HZ) C/KIT</v>
      </c>
      <c r="I164" t="s">
        <v>1704</v>
      </c>
      <c r="J164" s="313" t="s">
        <v>1032</v>
      </c>
      <c r="K164" s="314">
        <v>45969</v>
      </c>
      <c r="L164" s="250" t="s">
        <v>25</v>
      </c>
      <c r="M164" s="251" t="s">
        <v>24</v>
      </c>
      <c r="N164" s="251" t="s">
        <v>24</v>
      </c>
      <c r="O164" s="313" t="s">
        <v>1613</v>
      </c>
      <c r="Q164" s="332">
        <f t="shared" si="9"/>
        <v>45973</v>
      </c>
      <c r="R164" s="364" t="s">
        <v>1617</v>
      </c>
      <c r="S164" s="365" t="s">
        <v>1616</v>
      </c>
      <c r="T164" s="159" t="s">
        <v>1705</v>
      </c>
    </row>
    <row r="165" spans="1:20" ht="19">
      <c r="A165">
        <v>159</v>
      </c>
      <c r="B165" s="207">
        <v>45974</v>
      </c>
      <c r="C165" s="313" t="s">
        <v>1620</v>
      </c>
      <c r="D165" s="313" t="s">
        <v>1621</v>
      </c>
      <c r="E165" s="313">
        <v>996647251</v>
      </c>
      <c r="F165" t="s">
        <v>1703</v>
      </c>
      <c r="G165" s="136">
        <v>41560061</v>
      </c>
      <c r="H165" s="288" t="str">
        <f t="shared" si="8"/>
        <v>HLB 830 INOX HORNO ELEC</v>
      </c>
      <c r="I165" t="s">
        <v>1704</v>
      </c>
      <c r="J165" s="313" t="s">
        <v>1033</v>
      </c>
      <c r="K165" s="314">
        <v>45968</v>
      </c>
      <c r="L165" s="250" t="s">
        <v>25</v>
      </c>
      <c r="M165" s="251" t="s">
        <v>24</v>
      </c>
      <c r="N165" s="251" t="s">
        <v>24</v>
      </c>
      <c r="O165" s="313" t="s">
        <v>1619</v>
      </c>
      <c r="Q165" s="332">
        <f t="shared" si="9"/>
        <v>45973</v>
      </c>
      <c r="R165" s="364" t="s">
        <v>1623</v>
      </c>
      <c r="S165" s="365" t="s">
        <v>1622</v>
      </c>
      <c r="T165" s="159" t="s">
        <v>1705</v>
      </c>
    </row>
    <row r="166" spans="1:20" ht="19">
      <c r="A166">
        <v>160</v>
      </c>
      <c r="B166" s="253">
        <v>45974</v>
      </c>
      <c r="C166" s="254" t="s">
        <v>1609</v>
      </c>
      <c r="D166" s="254" t="s">
        <v>1597</v>
      </c>
      <c r="E166" s="255">
        <v>984995210</v>
      </c>
      <c r="F166" t="s">
        <v>1703</v>
      </c>
      <c r="G166" s="261">
        <v>111570002</v>
      </c>
      <c r="H166" s="137" t="str">
        <f t="shared" si="8"/>
        <v>COCINA GOURMET BBQ 3100 G BK-SS</v>
      </c>
      <c r="I166" t="s">
        <v>1704</v>
      </c>
      <c r="J166" s="254" t="s">
        <v>1032</v>
      </c>
      <c r="K166" s="257">
        <v>45905</v>
      </c>
      <c r="L166" s="250" t="s">
        <v>25</v>
      </c>
      <c r="M166" s="251" t="s">
        <v>24</v>
      </c>
      <c r="N166" s="251" t="s">
        <v>24</v>
      </c>
      <c r="O166" s="310" t="s">
        <v>1608</v>
      </c>
      <c r="Q166" s="332">
        <f t="shared" si="9"/>
        <v>45973</v>
      </c>
      <c r="R166" s="362" t="s">
        <v>1611</v>
      </c>
      <c r="S166" s="363" t="s">
        <v>1610</v>
      </c>
      <c r="T166" s="159" t="s">
        <v>1705</v>
      </c>
    </row>
    <row r="167" spans="1:20" ht="19">
      <c r="A167">
        <v>161</v>
      </c>
      <c r="B167" s="194">
        <v>45975</v>
      </c>
      <c r="C167" s="308" t="s">
        <v>1634</v>
      </c>
      <c r="D167" s="308" t="s">
        <v>1142</v>
      </c>
      <c r="E167" s="309">
        <v>980835902</v>
      </c>
      <c r="F167" t="s">
        <v>1703</v>
      </c>
      <c r="G167" s="195">
        <v>111010028</v>
      </c>
      <c r="H167" s="137" t="str">
        <f t="shared" si="8"/>
        <v>HSB 646 "AIRFRY" - HORNO ELEC</v>
      </c>
      <c r="I167" t="s">
        <v>1704</v>
      </c>
      <c r="J167" s="309" t="s">
        <v>1241</v>
      </c>
      <c r="K167" s="135">
        <v>45827</v>
      </c>
      <c r="L167" s="250" t="s">
        <v>25</v>
      </c>
      <c r="M167" s="251" t="s">
        <v>24</v>
      </c>
      <c r="N167" s="251" t="s">
        <v>24</v>
      </c>
      <c r="O167" s="309" t="s">
        <v>1631</v>
      </c>
      <c r="Q167" s="332">
        <f t="shared" si="9"/>
        <v>45974</v>
      </c>
      <c r="R167" s="360" t="s">
        <v>1636</v>
      </c>
      <c r="S167" s="361" t="s">
        <v>1635</v>
      </c>
      <c r="T167" s="159" t="s">
        <v>1705</v>
      </c>
    </row>
    <row r="168" spans="1:20" ht="19">
      <c r="A168">
        <v>162</v>
      </c>
      <c r="B168" s="194">
        <v>45975</v>
      </c>
      <c r="C168" s="308" t="s">
        <v>1634</v>
      </c>
      <c r="D168" s="308" t="s">
        <v>1142</v>
      </c>
      <c r="E168" s="309">
        <v>980835902</v>
      </c>
      <c r="F168" t="s">
        <v>1703</v>
      </c>
      <c r="G168" s="195">
        <v>40584012</v>
      </c>
      <c r="H168" s="137" t="str">
        <f t="shared" si="8"/>
        <v>MS 620 BIS - MICROONDAS</v>
      </c>
      <c r="I168" t="s">
        <v>1704</v>
      </c>
      <c r="J168" s="309" t="s">
        <v>1241</v>
      </c>
      <c r="K168" s="135">
        <v>45827</v>
      </c>
      <c r="L168" s="250" t="s">
        <v>25</v>
      </c>
      <c r="M168" s="251" t="s">
        <v>24</v>
      </c>
      <c r="N168" s="251" t="s">
        <v>24</v>
      </c>
      <c r="O168" s="309" t="s">
        <v>1632</v>
      </c>
      <c r="Q168" s="332">
        <f t="shared" si="9"/>
        <v>45974</v>
      </c>
      <c r="R168" s="360" t="s">
        <v>1636</v>
      </c>
      <c r="S168" s="361" t="s">
        <v>1635</v>
      </c>
      <c r="T168" s="159" t="s">
        <v>1705</v>
      </c>
    </row>
    <row r="169" spans="1:20" ht="19">
      <c r="A169">
        <v>163</v>
      </c>
      <c r="B169" s="194">
        <v>45975</v>
      </c>
      <c r="C169" s="308" t="s">
        <v>1634</v>
      </c>
      <c r="D169" s="308" t="s">
        <v>1142</v>
      </c>
      <c r="E169" s="309">
        <v>980835902</v>
      </c>
      <c r="F169" t="s">
        <v>1703</v>
      </c>
      <c r="G169" s="195">
        <v>112570126</v>
      </c>
      <c r="H169" s="137" t="str">
        <f t="shared" si="8"/>
        <v>JZC 96324 ABB BK (LAT) COCINA MIXTA GAS - INDUCCION (40213042)</v>
      </c>
      <c r="I169" t="s">
        <v>1704</v>
      </c>
      <c r="J169" s="309" t="s">
        <v>1241</v>
      </c>
      <c r="K169" s="135">
        <v>45827</v>
      </c>
      <c r="L169" s="250" t="s">
        <v>25</v>
      </c>
      <c r="M169" s="251" t="s">
        <v>24</v>
      </c>
      <c r="N169" s="251" t="s">
        <v>24</v>
      </c>
      <c r="O169" s="309" t="s">
        <v>1633</v>
      </c>
      <c r="Q169" s="332">
        <f t="shared" si="9"/>
        <v>45974</v>
      </c>
      <c r="R169" s="360" t="s">
        <v>1636</v>
      </c>
      <c r="S169" s="361" t="s">
        <v>1635</v>
      </c>
      <c r="T169" s="159" t="s">
        <v>1705</v>
      </c>
    </row>
    <row r="170" spans="1:20" ht="19">
      <c r="A170">
        <v>164</v>
      </c>
      <c r="B170" s="194">
        <v>45975</v>
      </c>
      <c r="C170" s="308" t="s">
        <v>1766</v>
      </c>
      <c r="D170" s="308" t="s">
        <v>1142</v>
      </c>
      <c r="E170" s="309">
        <v>99340292</v>
      </c>
      <c r="F170" t="s">
        <v>1707</v>
      </c>
      <c r="G170" s="195">
        <v>112730000</v>
      </c>
      <c r="H170" s="137" t="str">
        <f t="shared" si="8"/>
        <v>AFF 87601 HOOD IN HOB</v>
      </c>
      <c r="I170" t="s">
        <v>1708</v>
      </c>
      <c r="J170" s="309" t="s">
        <v>1775</v>
      </c>
      <c r="K170" s="135">
        <v>45650</v>
      </c>
      <c r="L170" s="250" t="s">
        <v>25</v>
      </c>
      <c r="M170" s="251" t="s">
        <v>24</v>
      </c>
      <c r="N170" s="251" t="s">
        <v>24</v>
      </c>
      <c r="O170" s="309" t="s">
        <v>1765</v>
      </c>
      <c r="Q170" s="332">
        <f t="shared" si="9"/>
        <v>45974</v>
      </c>
      <c r="R170" s="360" t="s">
        <v>1636</v>
      </c>
      <c r="S170" s="361" t="s">
        <v>1779</v>
      </c>
      <c r="T170" s="159" t="s">
        <v>1705</v>
      </c>
    </row>
    <row r="171" spans="1:20" ht="19">
      <c r="A171">
        <v>165</v>
      </c>
      <c r="B171" s="194">
        <v>45975</v>
      </c>
      <c r="C171" s="308" t="s">
        <v>1640</v>
      </c>
      <c r="D171" s="308" t="s">
        <v>1641</v>
      </c>
      <c r="E171" s="309">
        <v>997618127</v>
      </c>
      <c r="F171" t="s">
        <v>1703</v>
      </c>
      <c r="G171" s="195">
        <v>112520025</v>
      </c>
      <c r="H171" s="137" t="str">
        <f t="shared" ref="H171:H187" si="10">VLOOKUP(G171,PROD,2,FALSE)</f>
        <v>IZC 64010 MSS COCINA INDUCCION</v>
      </c>
      <c r="I171" t="s">
        <v>1704</v>
      </c>
      <c r="J171" s="309" t="s">
        <v>1067</v>
      </c>
      <c r="K171" s="135">
        <v>45874</v>
      </c>
      <c r="L171" s="250" t="s">
        <v>25</v>
      </c>
      <c r="M171" s="251" t="s">
        <v>24</v>
      </c>
      <c r="N171" s="251" t="s">
        <v>24</v>
      </c>
      <c r="O171" s="309" t="s">
        <v>1638</v>
      </c>
      <c r="Q171" s="332">
        <f t="shared" si="9"/>
        <v>45974</v>
      </c>
      <c r="R171" s="360" t="s">
        <v>1643</v>
      </c>
      <c r="S171" s="361" t="s">
        <v>1642</v>
      </c>
      <c r="T171" s="159" t="s">
        <v>1705</v>
      </c>
    </row>
    <row r="172" spans="1:20" ht="19">
      <c r="A172">
        <v>166</v>
      </c>
      <c r="B172" s="194">
        <v>45975</v>
      </c>
      <c r="C172" s="308" t="s">
        <v>1640</v>
      </c>
      <c r="D172" s="308" t="s">
        <v>1641</v>
      </c>
      <c r="E172" s="309">
        <v>997618127</v>
      </c>
      <c r="F172" t="s">
        <v>1703</v>
      </c>
      <c r="G172" s="195">
        <v>40467305</v>
      </c>
      <c r="H172" s="137" t="str">
        <f t="shared" si="10"/>
        <v>C 710 NEGRA CAMPANA (110V-60HZ) C/KIT</v>
      </c>
      <c r="I172" t="s">
        <v>1704</v>
      </c>
      <c r="J172" s="309" t="s">
        <v>1067</v>
      </c>
      <c r="K172" s="135">
        <v>45874</v>
      </c>
      <c r="L172" s="250" t="s">
        <v>25</v>
      </c>
      <c r="M172" s="251" t="s">
        <v>24</v>
      </c>
      <c r="N172" s="251" t="s">
        <v>24</v>
      </c>
      <c r="O172" s="309" t="s">
        <v>1639</v>
      </c>
      <c r="Q172" s="332">
        <f t="shared" si="9"/>
        <v>45974</v>
      </c>
      <c r="R172" s="360" t="s">
        <v>1643</v>
      </c>
      <c r="S172" s="361" t="s">
        <v>1642</v>
      </c>
      <c r="T172" s="159" t="s">
        <v>1705</v>
      </c>
    </row>
    <row r="173" spans="1:20" ht="19">
      <c r="A173">
        <v>167</v>
      </c>
      <c r="B173" s="207">
        <v>45975</v>
      </c>
      <c r="C173" s="313" t="s">
        <v>1626</v>
      </c>
      <c r="D173" s="313" t="s">
        <v>1627</v>
      </c>
      <c r="E173" s="313">
        <v>985320347</v>
      </c>
      <c r="F173" t="s">
        <v>1703</v>
      </c>
      <c r="G173" s="136">
        <v>40466241</v>
      </c>
      <c r="H173" s="288" t="str">
        <f t="shared" si="10"/>
        <v>C 9310 INOX CAMPANA (110V-60HZ) C/KIT</v>
      </c>
      <c r="I173" t="s">
        <v>1704</v>
      </c>
      <c r="J173" s="313" t="s">
        <v>1033</v>
      </c>
      <c r="K173" s="314">
        <v>45969</v>
      </c>
      <c r="L173" s="250" t="s">
        <v>25</v>
      </c>
      <c r="M173" s="251" t="s">
        <v>24</v>
      </c>
      <c r="N173" s="251" t="s">
        <v>24</v>
      </c>
      <c r="O173" s="313" t="s">
        <v>1625</v>
      </c>
      <c r="Q173" s="332">
        <f t="shared" si="9"/>
        <v>45974</v>
      </c>
      <c r="R173" s="364" t="s">
        <v>1629</v>
      </c>
      <c r="S173" s="365" t="s">
        <v>1628</v>
      </c>
      <c r="T173" s="159" t="s">
        <v>1705</v>
      </c>
    </row>
    <row r="174" spans="1:20" ht="19">
      <c r="A174">
        <v>168</v>
      </c>
      <c r="B174" s="253">
        <v>45975</v>
      </c>
      <c r="C174" s="254" t="s">
        <v>1646</v>
      </c>
      <c r="D174" s="254" t="s">
        <v>1647</v>
      </c>
      <c r="E174" s="255">
        <v>962913522</v>
      </c>
      <c r="F174" t="s">
        <v>1703</v>
      </c>
      <c r="G174" s="261">
        <v>111570002</v>
      </c>
      <c r="H174" s="315" t="str">
        <f t="shared" si="10"/>
        <v>COCINA GOURMET BBQ 3100 G BK-SS</v>
      </c>
      <c r="I174" t="s">
        <v>1704</v>
      </c>
      <c r="J174" s="254" t="s">
        <v>1033</v>
      </c>
      <c r="K174" s="257">
        <v>45976</v>
      </c>
      <c r="L174" s="250" t="s">
        <v>25</v>
      </c>
      <c r="M174" s="251" t="s">
        <v>24</v>
      </c>
      <c r="N174" s="251" t="s">
        <v>24</v>
      </c>
      <c r="O174" s="310" t="s">
        <v>1645</v>
      </c>
      <c r="Q174" s="332">
        <f t="shared" si="9"/>
        <v>45974</v>
      </c>
      <c r="R174" s="366" t="s">
        <v>1649</v>
      </c>
      <c r="S174" s="367" t="s">
        <v>1648</v>
      </c>
      <c r="T174" s="198" t="s">
        <v>1705</v>
      </c>
    </row>
    <row r="175" spans="1:20" ht="19">
      <c r="A175">
        <v>169</v>
      </c>
      <c r="B175" s="264">
        <v>45975</v>
      </c>
      <c r="C175" s="259" t="s">
        <v>1651</v>
      </c>
      <c r="D175" s="316" t="s">
        <v>1652</v>
      </c>
      <c r="E175" s="317">
        <v>985539645</v>
      </c>
      <c r="F175" t="s">
        <v>1703</v>
      </c>
      <c r="G175" s="261">
        <v>111570002</v>
      </c>
      <c r="H175" s="318" t="str">
        <f t="shared" si="10"/>
        <v>COCINA GOURMET BBQ 3100 G BK-SS</v>
      </c>
      <c r="I175" t="s">
        <v>1704</v>
      </c>
      <c r="J175" s="316" t="s">
        <v>1027</v>
      </c>
      <c r="K175" s="319">
        <v>45962</v>
      </c>
      <c r="L175" s="250" t="s">
        <v>25</v>
      </c>
      <c r="M175" s="251" t="s">
        <v>24</v>
      </c>
      <c r="N175" s="251" t="s">
        <v>24</v>
      </c>
      <c r="O175" s="258" t="s">
        <v>1650</v>
      </c>
      <c r="Q175" s="332">
        <f t="shared" si="9"/>
        <v>45974</v>
      </c>
      <c r="R175" s="368" t="s">
        <v>1654</v>
      </c>
      <c r="S175" s="338" t="s">
        <v>1653</v>
      </c>
      <c r="T175" s="198" t="s">
        <v>1705</v>
      </c>
    </row>
    <row r="176" spans="1:20" ht="19">
      <c r="A176">
        <v>170</v>
      </c>
      <c r="B176" s="264">
        <v>45975</v>
      </c>
      <c r="C176" s="259" t="s">
        <v>1651</v>
      </c>
      <c r="D176" s="320" t="s">
        <v>1652</v>
      </c>
      <c r="E176" s="317">
        <v>985539645</v>
      </c>
      <c r="F176" t="s">
        <v>1703</v>
      </c>
      <c r="G176" s="256">
        <v>111570002</v>
      </c>
      <c r="H176" s="318" t="str">
        <f t="shared" si="10"/>
        <v>COCINA GOURMET BBQ 3100 G BK-SS</v>
      </c>
      <c r="I176" t="s">
        <v>1704</v>
      </c>
      <c r="J176" s="321" t="s">
        <v>1027</v>
      </c>
      <c r="K176" s="319">
        <v>45962</v>
      </c>
      <c r="L176" s="250" t="s">
        <v>25</v>
      </c>
      <c r="M176" s="251" t="s">
        <v>24</v>
      </c>
      <c r="N176" s="251" t="s">
        <v>24</v>
      </c>
      <c r="O176" s="258" t="s">
        <v>1650</v>
      </c>
      <c r="Q176" s="332">
        <f t="shared" si="9"/>
        <v>45974</v>
      </c>
      <c r="R176" s="368" t="s">
        <v>1654</v>
      </c>
      <c r="S176" s="338" t="s">
        <v>1653</v>
      </c>
      <c r="T176" s="198" t="s">
        <v>1705</v>
      </c>
    </row>
    <row r="177" spans="1:20" ht="19" customHeight="1">
      <c r="A177">
        <v>171</v>
      </c>
      <c r="B177" s="200">
        <v>45976</v>
      </c>
      <c r="C177" s="270" t="s">
        <v>1581</v>
      </c>
      <c r="D177" s="320" t="s">
        <v>1713</v>
      </c>
      <c r="E177" s="322">
        <v>996155115</v>
      </c>
      <c r="F177" t="s">
        <v>1707</v>
      </c>
      <c r="G177" s="201">
        <v>112570126</v>
      </c>
      <c r="H177" s="323" t="str">
        <f t="shared" si="10"/>
        <v>JZC 96324 ABB BK (LAT) COCINA MIXTA GAS - INDUCCION (40213042)</v>
      </c>
      <c r="I177" t="s">
        <v>1708</v>
      </c>
      <c r="J177" s="321" t="s">
        <v>1220</v>
      </c>
      <c r="K177" s="324">
        <v>45204</v>
      </c>
      <c r="L177" s="250" t="s">
        <v>25</v>
      </c>
      <c r="M177" s="251" t="s">
        <v>24</v>
      </c>
      <c r="N177" s="251" t="s">
        <v>24</v>
      </c>
      <c r="O177" s="270" t="s">
        <v>1580</v>
      </c>
      <c r="Q177" s="332">
        <f t="shared" si="9"/>
        <v>45975</v>
      </c>
      <c r="R177" s="369" t="s">
        <v>1584</v>
      </c>
      <c r="S177" s="343" t="s">
        <v>1583</v>
      </c>
      <c r="T177" s="325" t="s">
        <v>1588</v>
      </c>
    </row>
    <row r="178" spans="1:20" ht="20">
      <c r="A178">
        <v>172</v>
      </c>
      <c r="B178" s="200">
        <v>45976</v>
      </c>
      <c r="C178" s="270" t="s">
        <v>1349</v>
      </c>
      <c r="D178" s="320" t="s">
        <v>1714</v>
      </c>
      <c r="E178" s="322">
        <v>999486055</v>
      </c>
      <c r="F178" t="s">
        <v>1707</v>
      </c>
      <c r="G178" s="201">
        <v>112610067</v>
      </c>
      <c r="H178" s="323" t="str">
        <f t="shared" si="10"/>
        <v>GSC 96320 XBA IX (LAT) COCINA INOX</v>
      </c>
      <c r="I178" t="s">
        <v>1708</v>
      </c>
      <c r="J178" s="321" t="s">
        <v>1220</v>
      </c>
      <c r="K178" s="324">
        <v>45923</v>
      </c>
      <c r="L178" s="250" t="s">
        <v>25</v>
      </c>
      <c r="M178" s="251" t="s">
        <v>24</v>
      </c>
      <c r="N178" s="251" t="s">
        <v>24</v>
      </c>
      <c r="O178" s="270" t="s">
        <v>1587</v>
      </c>
      <c r="Q178" s="332">
        <f t="shared" si="9"/>
        <v>45975</v>
      </c>
      <c r="R178" s="369" t="s">
        <v>1589</v>
      </c>
      <c r="S178" s="343" t="s">
        <v>1351</v>
      </c>
      <c r="T178" s="325" t="s">
        <v>1679</v>
      </c>
    </row>
    <row r="179" spans="1:20" ht="20">
      <c r="A179">
        <v>173</v>
      </c>
      <c r="B179" s="200">
        <v>45976</v>
      </c>
      <c r="C179" s="270" t="s">
        <v>1678</v>
      </c>
      <c r="D179" s="320" t="s">
        <v>1715</v>
      </c>
      <c r="E179" s="322">
        <v>994058325</v>
      </c>
      <c r="F179" t="s">
        <v>1707</v>
      </c>
      <c r="G179" s="201">
        <v>113610005</v>
      </c>
      <c r="H179" s="323" t="str">
        <f t="shared" si="10"/>
        <v>RVF 10032 VINERA</v>
      </c>
      <c r="I179" t="s">
        <v>1708</v>
      </c>
      <c r="J179" s="321" t="s">
        <v>1032</v>
      </c>
      <c r="K179" s="324">
        <v>45512</v>
      </c>
      <c r="L179" s="250" t="s">
        <v>25</v>
      </c>
      <c r="M179" s="251" t="s">
        <v>24</v>
      </c>
      <c r="N179" s="251" t="s">
        <v>24</v>
      </c>
      <c r="O179" s="270" t="s">
        <v>1677</v>
      </c>
      <c r="Q179" s="332">
        <f t="shared" si="9"/>
        <v>45975</v>
      </c>
      <c r="R179" s="369" t="s">
        <v>1681</v>
      </c>
      <c r="S179" s="343" t="s">
        <v>1680</v>
      </c>
      <c r="T179" s="325" t="s">
        <v>1686</v>
      </c>
    </row>
    <row r="180" spans="1:20" ht="20">
      <c r="A180">
        <v>174</v>
      </c>
      <c r="B180" s="200">
        <v>45976</v>
      </c>
      <c r="C180" s="270" t="s">
        <v>1685</v>
      </c>
      <c r="D180" s="320" t="s">
        <v>1716</v>
      </c>
      <c r="E180" s="322">
        <v>987008849</v>
      </c>
      <c r="F180" t="s">
        <v>1707</v>
      </c>
      <c r="G180" s="201">
        <v>41560061</v>
      </c>
      <c r="H180" s="323" t="str">
        <f t="shared" si="10"/>
        <v>HLB 830 INOX HORNO ELEC</v>
      </c>
      <c r="I180" t="s">
        <v>1708</v>
      </c>
      <c r="J180" s="321" t="s">
        <v>1032</v>
      </c>
      <c r="K180" s="324">
        <v>45615</v>
      </c>
      <c r="L180" s="250" t="s">
        <v>25</v>
      </c>
      <c r="M180" s="251" t="s">
        <v>24</v>
      </c>
      <c r="N180" s="251" t="s">
        <v>24</v>
      </c>
      <c r="O180" s="270" t="s">
        <v>1684</v>
      </c>
      <c r="Q180" s="332">
        <f t="shared" si="9"/>
        <v>45975</v>
      </c>
      <c r="R180" s="369" t="s">
        <v>1688</v>
      </c>
      <c r="S180" s="343" t="s">
        <v>1687</v>
      </c>
      <c r="T180" s="325" t="s">
        <v>1693</v>
      </c>
    </row>
    <row r="181" spans="1:20" ht="20">
      <c r="A181">
        <v>175</v>
      </c>
      <c r="B181" s="200">
        <v>45977</v>
      </c>
      <c r="C181" s="270" t="s">
        <v>1692</v>
      </c>
      <c r="D181" s="320" t="s">
        <v>1717</v>
      </c>
      <c r="E181" s="322">
        <v>984616503</v>
      </c>
      <c r="F181" t="s">
        <v>1707</v>
      </c>
      <c r="G181" s="206">
        <v>111000051</v>
      </c>
      <c r="H181" s="323" t="str">
        <f t="shared" si="10"/>
        <v>HLB 8416 "AIR FRY" - HORNO ELEC</v>
      </c>
      <c r="I181" t="s">
        <v>1708</v>
      </c>
      <c r="J181" s="321" t="s">
        <v>1033</v>
      </c>
      <c r="K181" s="324">
        <v>45775</v>
      </c>
      <c r="L181" s="250" t="s">
        <v>25</v>
      </c>
      <c r="M181" s="251" t="s">
        <v>24</v>
      </c>
      <c r="N181" s="251" t="s">
        <v>24</v>
      </c>
      <c r="O181" s="270" t="s">
        <v>1691</v>
      </c>
      <c r="Q181" s="332">
        <f t="shared" si="9"/>
        <v>45976</v>
      </c>
      <c r="R181" s="369" t="s">
        <v>1695</v>
      </c>
      <c r="S181" s="343" t="s">
        <v>1694</v>
      </c>
      <c r="T181" s="325" t="s">
        <v>1699</v>
      </c>
    </row>
    <row r="182" spans="1:20" ht="20">
      <c r="A182">
        <v>176</v>
      </c>
      <c r="B182" s="200">
        <v>45977</v>
      </c>
      <c r="C182" s="270" t="s">
        <v>1129</v>
      </c>
      <c r="D182" s="320" t="s">
        <v>1718</v>
      </c>
      <c r="E182" s="322">
        <v>996123320</v>
      </c>
      <c r="F182" t="s">
        <v>1707</v>
      </c>
      <c r="G182" s="206">
        <v>112500049</v>
      </c>
      <c r="H182" s="323" t="str">
        <f t="shared" si="10"/>
        <v>IZS 86630 MST COCINA INDUCCION</v>
      </c>
      <c r="I182" t="s">
        <v>1708</v>
      </c>
      <c r="J182" s="321" t="s">
        <v>1363</v>
      </c>
      <c r="K182" s="324">
        <v>45919</v>
      </c>
      <c r="L182" s="250" t="s">
        <v>25</v>
      </c>
      <c r="M182" s="251" t="s">
        <v>24</v>
      </c>
      <c r="N182" s="251" t="s">
        <v>24</v>
      </c>
      <c r="O182" s="270" t="s">
        <v>1698</v>
      </c>
      <c r="Q182" s="332">
        <f t="shared" si="9"/>
        <v>45976</v>
      </c>
      <c r="R182" s="369" t="s">
        <v>1701</v>
      </c>
      <c r="S182" s="343" t="s">
        <v>1700</v>
      </c>
      <c r="T182" s="198" t="s">
        <v>1705</v>
      </c>
    </row>
    <row r="183" spans="1:20" ht="19">
      <c r="A183">
        <v>177</v>
      </c>
      <c r="B183" s="143">
        <v>45978</v>
      </c>
      <c r="C183" s="144" t="s">
        <v>1659</v>
      </c>
      <c r="D183" s="326" t="s">
        <v>1660</v>
      </c>
      <c r="E183" s="160">
        <v>995838071</v>
      </c>
      <c r="F183" t="s">
        <v>1703</v>
      </c>
      <c r="G183" s="195">
        <v>112950019</v>
      </c>
      <c r="H183" s="318" t="str">
        <f t="shared" si="10"/>
        <v>DVN 64030 TCL BK CAMPANA (110V-60HZ) C/KIT</v>
      </c>
      <c r="I183" t="s">
        <v>1704</v>
      </c>
      <c r="J183" s="327" t="s">
        <v>1032</v>
      </c>
      <c r="K183" s="252">
        <v>45913</v>
      </c>
      <c r="L183" s="250" t="s">
        <v>25</v>
      </c>
      <c r="M183" s="251" t="s">
        <v>24</v>
      </c>
      <c r="N183" s="251" t="s">
        <v>24</v>
      </c>
      <c r="O183" s="138" t="s">
        <v>1655</v>
      </c>
      <c r="Q183" s="332">
        <f t="shared" si="9"/>
        <v>45977</v>
      </c>
      <c r="R183" s="370" t="s">
        <v>1662</v>
      </c>
      <c r="S183" s="340" t="s">
        <v>1661</v>
      </c>
      <c r="T183" s="198" t="s">
        <v>1705</v>
      </c>
    </row>
    <row r="184" spans="1:20" ht="19">
      <c r="A184">
        <v>178</v>
      </c>
      <c r="B184" s="143">
        <v>45978</v>
      </c>
      <c r="C184" s="144" t="s">
        <v>1659</v>
      </c>
      <c r="D184" s="326" t="s">
        <v>1660</v>
      </c>
      <c r="E184" s="160">
        <v>995838071</v>
      </c>
      <c r="F184" t="s">
        <v>1703</v>
      </c>
      <c r="G184" s="139">
        <v>112580017</v>
      </c>
      <c r="H184" s="318" t="str">
        <f t="shared" si="10"/>
        <v>GBC 64000 KBB CRISTAL COCINA GAS</v>
      </c>
      <c r="I184" t="s">
        <v>1704</v>
      </c>
      <c r="J184" s="327" t="s">
        <v>1032</v>
      </c>
      <c r="K184" s="252">
        <v>45927</v>
      </c>
      <c r="L184" s="250" t="s">
        <v>25</v>
      </c>
      <c r="M184" s="251" t="s">
        <v>24</v>
      </c>
      <c r="N184" s="251" t="s">
        <v>24</v>
      </c>
      <c r="O184" s="138" t="s">
        <v>1656</v>
      </c>
      <c r="Q184" s="332">
        <f t="shared" si="9"/>
        <v>45977</v>
      </c>
      <c r="R184" s="370" t="s">
        <v>1662</v>
      </c>
      <c r="S184" s="340" t="s">
        <v>1661</v>
      </c>
      <c r="T184" s="198" t="s">
        <v>1705</v>
      </c>
    </row>
    <row r="185" spans="1:20" ht="19">
      <c r="A185">
        <v>179</v>
      </c>
      <c r="B185" s="143">
        <v>45978</v>
      </c>
      <c r="C185" s="144" t="s">
        <v>1666</v>
      </c>
      <c r="D185" s="326" t="s">
        <v>1667</v>
      </c>
      <c r="E185" s="160">
        <v>915034192</v>
      </c>
      <c r="F185" t="s">
        <v>1703</v>
      </c>
      <c r="G185" s="139">
        <v>40461507</v>
      </c>
      <c r="H185" s="318" t="str">
        <f t="shared" si="10"/>
        <v>C 610 NEGRA CAMPANA (110V-60HZ) C/KIT</v>
      </c>
      <c r="I185" t="s">
        <v>1704</v>
      </c>
      <c r="J185" s="327" t="s">
        <v>1032</v>
      </c>
      <c r="K185" s="252">
        <v>45924</v>
      </c>
      <c r="L185" s="250" t="s">
        <v>25</v>
      </c>
      <c r="M185" s="251" t="s">
        <v>24</v>
      </c>
      <c r="N185" s="251" t="s">
        <v>24</v>
      </c>
      <c r="O185" s="138" t="s">
        <v>1664</v>
      </c>
      <c r="Q185" s="332">
        <f t="shared" si="9"/>
        <v>45977</v>
      </c>
      <c r="R185" s="370" t="s">
        <v>1669</v>
      </c>
      <c r="S185" s="340" t="s">
        <v>1668</v>
      </c>
      <c r="T185" s="198" t="s">
        <v>1705</v>
      </c>
    </row>
    <row r="186" spans="1:20" ht="19">
      <c r="A186">
        <v>180</v>
      </c>
      <c r="B186" s="143">
        <v>45978</v>
      </c>
      <c r="C186" s="144" t="s">
        <v>1666</v>
      </c>
      <c r="D186" s="326" t="s">
        <v>1667</v>
      </c>
      <c r="E186" s="160">
        <v>915034192</v>
      </c>
      <c r="F186" t="s">
        <v>1703</v>
      </c>
      <c r="G186" s="139">
        <v>112580017</v>
      </c>
      <c r="H186" s="318" t="str">
        <f t="shared" si="10"/>
        <v>GBC 64000 KBB CRISTAL COCINA GAS</v>
      </c>
      <c r="I186" t="s">
        <v>1704</v>
      </c>
      <c r="J186" s="327" t="s">
        <v>1032</v>
      </c>
      <c r="K186" s="252">
        <v>45924</v>
      </c>
      <c r="L186" s="250" t="s">
        <v>25</v>
      </c>
      <c r="M186" s="251" t="s">
        <v>24</v>
      </c>
      <c r="N186" s="251" t="s">
        <v>24</v>
      </c>
      <c r="O186" s="138" t="s">
        <v>1665</v>
      </c>
      <c r="Q186" s="332">
        <f t="shared" si="9"/>
        <v>45977</v>
      </c>
      <c r="R186" s="370" t="s">
        <v>1669</v>
      </c>
      <c r="S186" s="340" t="s">
        <v>1668</v>
      </c>
      <c r="T186" s="198" t="s">
        <v>1705</v>
      </c>
    </row>
    <row r="187" spans="1:20" ht="19">
      <c r="A187">
        <v>181</v>
      </c>
      <c r="B187" s="199">
        <v>46343</v>
      </c>
      <c r="C187" s="266" t="s">
        <v>1672</v>
      </c>
      <c r="D187" s="328" t="s">
        <v>1671</v>
      </c>
      <c r="E187" s="211">
        <v>99255414</v>
      </c>
      <c r="F187" t="s">
        <v>1703</v>
      </c>
      <c r="G187" s="198">
        <v>111000078</v>
      </c>
      <c r="H187" s="329" t="str">
        <f t="shared" si="10"/>
        <v>HLB 8400 FBK HORNO ELEC</v>
      </c>
      <c r="I187" t="s">
        <v>1704</v>
      </c>
      <c r="J187" s="330" t="s">
        <v>1067</v>
      </c>
      <c r="K187" s="331">
        <v>45972</v>
      </c>
      <c r="L187" s="250" t="s">
        <v>25</v>
      </c>
      <c r="M187" s="251" t="s">
        <v>24</v>
      </c>
      <c r="N187" s="251" t="s">
        <v>24</v>
      </c>
      <c r="O187" s="266" t="s">
        <v>1670</v>
      </c>
      <c r="Q187" s="332">
        <f t="shared" si="9"/>
        <v>46342</v>
      </c>
      <c r="R187" s="371" t="s">
        <v>1674</v>
      </c>
      <c r="S187" s="372" t="s">
        <v>1673</v>
      </c>
      <c r="T187" s="196" t="s">
        <v>1705</v>
      </c>
    </row>
    <row r="188" spans="1:20" ht="19">
      <c r="A188">
        <v>182</v>
      </c>
      <c r="B188" s="199">
        <v>46343</v>
      </c>
      <c r="C188" s="266" t="s">
        <v>1739</v>
      </c>
      <c r="D188" s="328" t="s">
        <v>1736</v>
      </c>
      <c r="E188" s="211">
        <v>999963445</v>
      </c>
      <c r="F188" t="s">
        <v>1703</v>
      </c>
      <c r="G188" s="198">
        <v>114270004</v>
      </c>
      <c r="H188" s="329" t="str">
        <f t="shared" ref="H188:H189" si="11">VLOOKUP(G188,PROD,2,FALSE)</f>
        <v>LAVAVAJILLAS DFI 46950 120 60 WH DECO</v>
      </c>
      <c r="I188" t="s">
        <v>1704</v>
      </c>
      <c r="J188" s="330" t="s">
        <v>1220</v>
      </c>
      <c r="K188" s="331">
        <v>45971</v>
      </c>
      <c r="L188" s="250" t="s">
        <v>25</v>
      </c>
      <c r="M188" s="251" t="s">
        <v>24</v>
      </c>
      <c r="N188" s="251" t="s">
        <v>24</v>
      </c>
      <c r="O188" s="266" t="s">
        <v>1740</v>
      </c>
      <c r="Q188" s="332">
        <f t="shared" ref="Q188:Q189" si="12">B188-1</f>
        <v>46342</v>
      </c>
      <c r="R188" s="373" t="s">
        <v>1741</v>
      </c>
      <c r="S188" s="372" t="s">
        <v>1737</v>
      </c>
      <c r="T188" s="196" t="s">
        <v>1705</v>
      </c>
    </row>
    <row r="189" spans="1:20" ht="19">
      <c r="A189">
        <v>183</v>
      </c>
      <c r="B189" s="199">
        <v>45978</v>
      </c>
      <c r="C189" s="266" t="s">
        <v>1729</v>
      </c>
      <c r="D189" s="109" t="s">
        <v>1730</v>
      </c>
      <c r="E189" s="211">
        <v>99255414</v>
      </c>
      <c r="F189" t="s">
        <v>1703</v>
      </c>
      <c r="G189" s="111">
        <v>111570003</v>
      </c>
      <c r="H189" s="329" t="str">
        <f t="shared" si="11"/>
        <v>COCINA GOURMET BBQ 4100 G SS</v>
      </c>
      <c r="I189" t="s">
        <v>1704</v>
      </c>
      <c r="J189" s="330" t="s">
        <v>1033</v>
      </c>
      <c r="K189" s="331" t="s">
        <v>1742</v>
      </c>
      <c r="L189" s="250" t="s">
        <v>25</v>
      </c>
      <c r="M189" s="251" t="s">
        <v>24</v>
      </c>
      <c r="N189" s="251" t="s">
        <v>24</v>
      </c>
      <c r="O189" s="266" t="s">
        <v>1743</v>
      </c>
      <c r="Q189" s="332">
        <f t="shared" si="12"/>
        <v>45977</v>
      </c>
      <c r="R189" s="373" t="s">
        <v>1732</v>
      </c>
      <c r="S189" s="372" t="s">
        <v>1731</v>
      </c>
      <c r="T189" s="196" t="s">
        <v>1705</v>
      </c>
    </row>
  </sheetData>
  <phoneticPr fontId="92" type="noConversion"/>
  <hyperlinks>
    <hyperlink ref="R21" r:id="rId1" xr:uid="{866609CB-5313-004E-89E9-9C772E4C2B06}"/>
    <hyperlink ref="R22" r:id="rId2" xr:uid="{30E55242-CA67-BC42-BF7A-DE951A92A5C8}"/>
    <hyperlink ref="R23" r:id="rId3" xr:uid="{534BA3C0-370A-FD48-ABCB-94670B72CA4D}"/>
    <hyperlink ref="R24" r:id="rId4" xr:uid="{E95BDD54-EAEA-B443-9F80-0176CDA6AFB5}"/>
    <hyperlink ref="R25" r:id="rId5" xr:uid="{AC5FCDCE-82D1-844D-AFED-23A02EB2313D}"/>
    <hyperlink ref="R26" r:id="rId6" xr:uid="{901DE907-3AA7-F244-9244-C32121104927}"/>
    <hyperlink ref="R27" r:id="rId7" xr:uid="{21FAEA5F-6DF9-5C4A-ACBF-B3783761A44D}"/>
    <hyperlink ref="R28" r:id="rId8" xr:uid="{8E716BF5-E96B-6E42-85BA-EBBF0D958A5D}"/>
    <hyperlink ref="R29" r:id="rId9" xr:uid="{9B7328E4-5D1C-504E-B8E3-8C59042D2D2D}"/>
    <hyperlink ref="R30" r:id="rId10" xr:uid="{224B9269-2934-F644-A2D1-7784A0F4E599}"/>
    <hyperlink ref="R31" r:id="rId11" xr:uid="{EE029065-6179-DD40-BA4D-CB8E6C4D0AED}"/>
    <hyperlink ref="R32" r:id="rId12" xr:uid="{D22A2672-8F1F-8B4D-9600-3CD441796637}"/>
    <hyperlink ref="R33" r:id="rId13" xr:uid="{6BC1F340-3F30-2846-9019-733C4A094FF4}"/>
    <hyperlink ref="R36" r:id="rId14" xr:uid="{ACA0BDFF-940A-814E-B3CC-10D502664DB2}"/>
    <hyperlink ref="R37" r:id="rId15" xr:uid="{E1405B0A-4F09-5441-ABFD-3625CC0E9D0C}"/>
    <hyperlink ref="R38" r:id="rId16" xr:uid="{02F29618-D043-8F4B-A005-595AD09407F0}"/>
    <hyperlink ref="R39" r:id="rId17" xr:uid="{6BCFABA0-0224-2749-AF14-214871F40EEC}"/>
    <hyperlink ref="R40" r:id="rId18" xr:uid="{595EA097-4E8B-1C43-86A9-7CDFCBA2EF80}"/>
    <hyperlink ref="R46" r:id="rId19" xr:uid="{F7F9A03E-0969-C349-AC74-DDD1776DFE96}"/>
    <hyperlink ref="R47" r:id="rId20" xr:uid="{BDE570B5-3955-DE43-9BA7-185B9D26AC07}"/>
    <hyperlink ref="R48" r:id="rId21" xr:uid="{77539D34-45B5-4342-A79E-AC0B1369DECC}"/>
    <hyperlink ref="R49" r:id="rId22" xr:uid="{EF24473E-09A5-4F4D-9E04-2493815300A1}"/>
    <hyperlink ref="R53" r:id="rId23" xr:uid="{00EB2CA1-FE83-0C4C-B728-9166E355B2E6}"/>
    <hyperlink ref="R54" r:id="rId24" xr:uid="{7CE17416-9BFA-3A4C-A992-0574AA79F228}"/>
    <hyperlink ref="R59" r:id="rId25" xr:uid="{F74A901D-DC1D-AE4D-ABA6-9550862E0A30}"/>
    <hyperlink ref="R60" r:id="rId26" xr:uid="{AA2644FC-BD06-4C46-89AE-7877607E686C}"/>
    <hyperlink ref="R61" r:id="rId27" xr:uid="{853D1E80-45D6-3845-9A7E-002BFC2A4908}"/>
    <hyperlink ref="R62" r:id="rId28" xr:uid="{01E8C4E9-5EDB-5F4C-872A-6E18C570BF69}"/>
    <hyperlink ref="R63" r:id="rId29" xr:uid="{F49F67BB-506B-9A41-87CD-2CA8A7C73A47}"/>
    <hyperlink ref="R67" r:id="rId30" xr:uid="{C548E960-E70D-AA4C-97DA-9716155FAE25}"/>
    <hyperlink ref="R68" r:id="rId31" xr:uid="{B643A10E-C532-1E44-B047-C8DAEF120A63}"/>
    <hyperlink ref="R69" r:id="rId32" xr:uid="{570FAEFD-00E2-9F4D-B544-969F03DA7FAA}"/>
    <hyperlink ref="R70" r:id="rId33" xr:uid="{5D884E91-9947-CE4C-A54E-147321479648}"/>
    <hyperlink ref="R71" r:id="rId34" xr:uid="{FC9FB0F7-CBE9-7440-924B-5CA9FC03755D}"/>
    <hyperlink ref="R74" r:id="rId35" xr:uid="{8426E8D3-DB23-7649-B84A-081598FC382A}"/>
    <hyperlink ref="R75" r:id="rId36" xr:uid="{2337CF84-4D1D-9E45-BD00-8FA116914E2C}"/>
    <hyperlink ref="R76" r:id="rId37" xr:uid="{B4255641-4F69-914E-A23C-F74C18BA1E1C}"/>
    <hyperlink ref="R85" r:id="rId38" xr:uid="{1A491B59-A0D8-B143-85EF-AEFEE6991C01}"/>
    <hyperlink ref="R77" r:id="rId39" xr:uid="{94744B59-F6C4-FD4F-B421-D03E9A6A5FEF}"/>
    <hyperlink ref="R78" r:id="rId40" xr:uid="{CCB7197B-4E9A-694E-B2D4-DAD29FAEEE4B}"/>
    <hyperlink ref="R79" r:id="rId41" xr:uid="{E1ECAEC4-A9FE-204F-BFC6-B8D942BE1FE7}"/>
    <hyperlink ref="R86" r:id="rId42" xr:uid="{663DFAEF-34C1-A441-8FEC-F3B8C50522C5}"/>
    <hyperlink ref="R87" r:id="rId43" xr:uid="{952C16EC-0B17-BD41-A19C-F35B78CC54E5}"/>
    <hyperlink ref="R88" r:id="rId44" xr:uid="{697C76A8-5C4C-EC47-8170-3E0B78BBD38F}"/>
    <hyperlink ref="R91" r:id="rId45" xr:uid="{89F8D3CF-63E6-AF45-B887-5AF959D7CCFE}"/>
    <hyperlink ref="R92" r:id="rId46" xr:uid="{1ECFEB0A-7A40-F540-B5DB-AE94AB32856E}"/>
    <hyperlink ref="R93" r:id="rId47" xr:uid="{A1336529-1AD4-5647-A04B-5B47F46C35F0}"/>
    <hyperlink ref="R94" r:id="rId48" xr:uid="{87105899-908C-6644-B18B-AF83591999E6}"/>
    <hyperlink ref="R100" r:id="rId49" xr:uid="{C576B1F2-9A53-BD41-B234-C8A69BEAD411}"/>
    <hyperlink ref="R101" r:id="rId50" xr:uid="{A8F1F1EA-4ECA-A247-AE25-058B903C9674}"/>
    <hyperlink ref="R102" r:id="rId51" xr:uid="{F694EC5E-51F0-B54C-BAA0-A43F607187AF}"/>
    <hyperlink ref="R103" r:id="rId52" xr:uid="{E2689366-156F-8D4E-B1B6-4E5DAC45C6F3}"/>
    <hyperlink ref="R108" r:id="rId53" xr:uid="{FF08B1F8-74F4-514E-8D73-AB30EEE94E69}"/>
    <hyperlink ref="R109" r:id="rId54" xr:uid="{28E4B391-F91C-0E4A-A655-242F55586C4E}"/>
    <hyperlink ref="R110" r:id="rId55" xr:uid="{CE8A624D-BE82-ED49-9A9A-B3FFD31A5FA4}"/>
    <hyperlink ref="R111" r:id="rId56" xr:uid="{EBE035B2-3296-2149-995E-E1A17BCB8A51}"/>
    <hyperlink ref="R112" r:id="rId57" xr:uid="{0AFEB6DF-DC39-214D-B15D-6C5DD1AAE16C}"/>
    <hyperlink ref="R113" r:id="rId58" xr:uid="{C57A1196-370F-3249-A1A4-3CD6E9F7EA33}"/>
    <hyperlink ref="R114" r:id="rId59" xr:uid="{D6648D7D-AA3F-B147-AFC8-769431E8F492}"/>
    <hyperlink ref="R123" r:id="rId60" xr:uid="{694F490E-DE69-1D47-9EB0-74753A7D349A}"/>
    <hyperlink ref="R124" r:id="rId61" xr:uid="{FD39B579-927B-AD44-A7FA-9058A619634A}"/>
    <hyperlink ref="R125" r:id="rId62" xr:uid="{69EE55A2-20B1-7644-A136-BD66BAF8917B}"/>
    <hyperlink ref="R126" r:id="rId63" xr:uid="{031DC36D-F267-2642-B8C1-701C642462D5}"/>
    <hyperlink ref="R127" r:id="rId64" xr:uid="{87862B5F-5DF4-4E4C-A673-35C665330740}"/>
    <hyperlink ref="R128" r:id="rId65" xr:uid="{5010180D-E8E5-404F-B06B-2D2BF0E1EB3A}"/>
    <hyperlink ref="R129" r:id="rId66" xr:uid="{A3855DB6-372C-D94A-939E-5312F7F7A5D5}"/>
    <hyperlink ref="R119" r:id="rId67" xr:uid="{6B0DBC84-BD9D-6C40-94E7-DDE78171A800}"/>
    <hyperlink ref="R74:R76" r:id="rId68" display="PRISCALDERONPA2@HOTMAIL.COM" xr:uid="{EACEE78E-C937-274B-91B3-341DE9D5FA8A}"/>
    <hyperlink ref="R130" r:id="rId69" xr:uid="{9FDBD2DA-260D-BD48-99A1-54C29717D115}"/>
    <hyperlink ref="R131" r:id="rId70" xr:uid="{F3244169-0EB5-F848-A080-44E034E57CAD}"/>
    <hyperlink ref="R132" r:id="rId71" xr:uid="{0F73C7EA-9C7B-DB48-A1C4-052E742EAECB}"/>
    <hyperlink ref="R133" r:id="rId72" xr:uid="{28643AB3-50D0-544E-B79C-F7CCD0A0A183}"/>
    <hyperlink ref="R134" r:id="rId73" xr:uid="{358DC6F5-2D46-3D40-B175-777BFC5B936C}"/>
    <hyperlink ref="R139" r:id="rId74" xr:uid="{EE5AF28E-A406-C247-9D9C-6459F8B39B75}"/>
    <hyperlink ref="R140" r:id="rId75" xr:uid="{D911EEA8-7A99-034C-B031-209DA615BB25}"/>
    <hyperlink ref="R141" r:id="rId76" xr:uid="{4F7EA69D-8604-B54B-A55F-55E5C99093CD}"/>
    <hyperlink ref="R142" r:id="rId77" xr:uid="{69463F7A-CCED-C14F-A1EF-9627DF8A099F}"/>
    <hyperlink ref="R143" r:id="rId78" xr:uid="{4D0E8649-5D9B-E84B-A1EE-58D6FD030D91}"/>
    <hyperlink ref="R144" r:id="rId79" xr:uid="{61C3778D-C168-714B-88C0-AA601DE9C57E}"/>
    <hyperlink ref="R145" r:id="rId80" xr:uid="{2C94A643-3F2B-6F44-9AA3-74A8B9DA2081}"/>
    <hyperlink ref="R146" r:id="rId81" xr:uid="{1C14978C-BD63-2A40-8944-6FF11C7B99D6}"/>
    <hyperlink ref="R148" r:id="rId82" xr:uid="{8D886002-C72C-C54F-B3E1-BA8CE40DF167}"/>
    <hyperlink ref="R149" r:id="rId83" xr:uid="{9AC8A352-5375-FC4C-8366-199577F1D027}"/>
    <hyperlink ref="R150" r:id="rId84" xr:uid="{7A7BD4B8-AA53-704F-9E41-6BCCB34DC82A}"/>
    <hyperlink ref="R151" r:id="rId85" xr:uid="{A84A7FE2-C21C-0841-8347-F1A05AEF7191}"/>
    <hyperlink ref="R152" r:id="rId86" xr:uid="{0F0C0C0B-5045-7A4A-9642-42A8DFC7F3E5}"/>
    <hyperlink ref="R153" r:id="rId87" xr:uid="{13AD6328-27F5-3C4C-9B49-49DF7428C3D7}"/>
    <hyperlink ref="R154" r:id="rId88" xr:uid="{C9AE52F1-534F-2647-A5A6-C875469AE010}"/>
    <hyperlink ref="R155" r:id="rId89" xr:uid="{A9012234-C9B3-B94F-8837-92937F653D16}"/>
    <hyperlink ref="R157" r:id="rId90" xr:uid="{307EB0CA-F6AE-5B41-A847-07406ABF719C}"/>
    <hyperlink ref="R158" r:id="rId91" xr:uid="{23FB826B-7D1E-CD45-A5EE-A04B9E1E7A1A}"/>
    <hyperlink ref="R159" r:id="rId92" xr:uid="{149EE06C-A225-7043-A511-046AA44CB370}"/>
    <hyperlink ref="R160" r:id="rId93" xr:uid="{AB31E8A2-5A95-CB40-B962-274BFA147164}"/>
    <hyperlink ref="R161" r:id="rId94" xr:uid="{FB26DC79-D9DE-B74E-A6F5-6EAE9E6446F8}"/>
    <hyperlink ref="R162" r:id="rId95" xr:uid="{06179227-F166-6E4C-8DA9-E72CE1CCC57E}"/>
    <hyperlink ref="R163" r:id="rId96" xr:uid="{0AA3C918-462E-A64E-B728-19573661EAEA}"/>
    <hyperlink ref="R167" r:id="rId97" xr:uid="{0F51D34C-46C1-2043-B647-B67B363E96EC}"/>
    <hyperlink ref="R168" r:id="rId98" xr:uid="{EB480F98-90E7-154E-89F1-1E9C00DF26F6}"/>
    <hyperlink ref="R169" r:id="rId99" xr:uid="{A8E10BFC-93BD-404A-B2B2-A487C9EACB57}"/>
    <hyperlink ref="R171" r:id="rId100" xr:uid="{BC422487-FECD-8043-AD8C-3BB8CC2A7D16}"/>
    <hyperlink ref="R172" r:id="rId101" xr:uid="{2839D1F4-1785-6443-8CC7-6FBA0794EE08}"/>
    <hyperlink ref="R183" r:id="rId102" xr:uid="{D091EC65-7D31-CC4F-A1C9-234FD280E836}"/>
    <hyperlink ref="R184" r:id="rId103" xr:uid="{15481A11-ECDC-7245-B580-CA4472934E1D}"/>
    <hyperlink ref="R185" r:id="rId104" xr:uid="{CC372035-E2A6-C447-ABEC-93B1F3103F65}"/>
    <hyperlink ref="R186" r:id="rId105" xr:uid="{4038220D-48AD-4E4D-B6D9-3545C68C58E1}"/>
    <hyperlink ref="R7" r:id="rId106" xr:uid="{D3259E7B-6258-9249-9933-D96455BB8D43}"/>
    <hyperlink ref="R8" r:id="rId107" xr:uid="{5C544E7D-5146-864E-B1CF-D4AF57D7B43A}"/>
    <hyperlink ref="R9" r:id="rId108" xr:uid="{A20C6B85-3B03-9346-A1A9-3C10634485A0}"/>
    <hyperlink ref="R14" r:id="rId109" xr:uid="{F1053503-F1F8-A647-847F-CB2A29CC7430}"/>
    <hyperlink ref="R15" r:id="rId110" xr:uid="{79475A19-85BE-6F47-B115-21E6E409EA50}"/>
    <hyperlink ref="R19" r:id="rId111" xr:uid="{2165D392-EEDF-C74F-A810-5F48952A586A}"/>
    <hyperlink ref="R34" r:id="rId112" xr:uid="{4B9E343D-D8A5-294B-B075-0F14D4ECA7FA}"/>
    <hyperlink ref="R41" r:id="rId113" xr:uid="{E46313A4-06E2-B24A-A6BE-925FCA997ED1}"/>
    <hyperlink ref="R42" r:id="rId114" xr:uid="{AEE795AB-7659-FC49-903D-9EC41792B439}"/>
    <hyperlink ref="R43" r:id="rId115" xr:uid="{FE5022DB-B3AE-9C40-813D-BF298D0A16B0}"/>
    <hyperlink ref="R44" r:id="rId116" xr:uid="{D3D25212-EE99-9A43-8E64-1F2A2BFE6A28}"/>
    <hyperlink ref="R50" r:id="rId117" xr:uid="{E13E96C1-3271-E04F-A802-5907351D1E71}"/>
    <hyperlink ref="R51" r:id="rId118" xr:uid="{5903CC13-2137-0A46-A34F-4A6C8BCD7D61}"/>
    <hyperlink ref="R55" r:id="rId119" xr:uid="{2911FD6B-E982-7D4B-B12E-F9FC3661855E}"/>
    <hyperlink ref="R56" r:id="rId120" xr:uid="{F5F6BB46-266C-924A-BB78-A14E7AB5BF9D}"/>
    <hyperlink ref="R80" r:id="rId121" xr:uid="{A5A31C55-B462-9F41-BC90-122C48C9B261}"/>
    <hyperlink ref="R82" r:id="rId122" xr:uid="{C1BE3285-3DE9-6D40-9F6E-B95304FEEDA6}"/>
    <hyperlink ref="R83" r:id="rId123" xr:uid="{71D659B8-0E54-9D47-A234-87F0467CDD67}"/>
    <hyperlink ref="R104" r:id="rId124" xr:uid="{25C747A4-BB6B-5F41-926C-1D307418F2ED}"/>
    <hyperlink ref="R105" r:id="rId125" xr:uid="{48A4D9FC-A8A4-3944-9AE9-4A55D782D434}"/>
    <hyperlink ref="R115" r:id="rId126" xr:uid="{6573D089-A613-6448-B8E8-7F18DD69D1C8}"/>
    <hyperlink ref="R116" r:id="rId127" xr:uid="{61A71FC6-B3FA-F842-AA03-80D81C764993}"/>
    <hyperlink ref="R136" r:id="rId128" xr:uid="{D433A812-AE07-104E-979A-17A580D8894A}"/>
    <hyperlink ref="R137" r:id="rId129" xr:uid="{7B0A46F2-DBAA-D946-8854-2176CCB5CD84}"/>
    <hyperlink ref="R138" r:id="rId130" xr:uid="{ACE434E2-D2B7-E045-97AF-C1CA1D0F521A}"/>
    <hyperlink ref="R147" r:id="rId131" xr:uid="{117052CB-3591-3241-B651-9C45A10E9998}"/>
    <hyperlink ref="R164" r:id="rId132" xr:uid="{56E307EF-103D-2E4C-BE05-A5E789EF3D12}"/>
    <hyperlink ref="R165" r:id="rId133" xr:uid="{953801D1-1036-C644-A270-127C0F9DB60B}"/>
    <hyperlink ref="R173" r:id="rId134" xr:uid="{65634235-C436-6744-ACA0-52A127C78D28}"/>
    <hyperlink ref="R187" r:id="rId135" xr:uid="{DF031825-79E8-F249-85E9-3F5BF7101A52}"/>
    <hyperlink ref="R16" r:id="rId136" xr:uid="{7A0E3BFE-8C9B-794A-83DD-62E6657B8D41}"/>
    <hyperlink ref="R17" r:id="rId137" xr:uid="{F7DAA388-234D-034B-A745-CD0FE3C31F92}"/>
    <hyperlink ref="R20" r:id="rId138" xr:uid="{267FE3C6-1B1D-9D49-9155-DEB629600460}"/>
    <hyperlink ref="R35" r:id="rId139" xr:uid="{27C06DBD-A3F8-2149-8BC3-EE6B45DF635A}"/>
    <hyperlink ref="R72" r:id="rId140" xr:uid="{D7A83874-8D4E-174C-A10D-862496CD055E}"/>
    <hyperlink ref="R73" r:id="rId141" xr:uid="{E9D5F456-3F45-D743-AB5C-1BBCB35FDFB3}"/>
    <hyperlink ref="R89" r:id="rId142" xr:uid="{2D756D98-BB5D-134C-855C-0EBEE632574A}"/>
    <hyperlink ref="R90" r:id="rId143" xr:uid="{ED9DE2E1-173E-F84D-8530-6E891893C5E3}"/>
    <hyperlink ref="R107" r:id="rId144" xr:uid="{9B2FFEF2-F519-7940-8FC1-60F80934F9C6}"/>
    <hyperlink ref="R117" r:id="rId145" xr:uid="{CE23457C-C940-924E-9879-B84AD4B5D675}"/>
    <hyperlink ref="R156" r:id="rId146" xr:uid="{923628C2-37F9-4547-829B-29C098B51263}"/>
    <hyperlink ref="R166" r:id="rId147" xr:uid="{279081FC-BDA0-0C45-9C07-9943EF901690}"/>
    <hyperlink ref="R174" r:id="rId148" xr:uid="{0B0352AE-E793-064B-8DE4-7DD8E318E795}"/>
    <hyperlink ref="R175" r:id="rId149" xr:uid="{783A9546-7D50-8942-81FB-AA7160E628AE}"/>
    <hyperlink ref="R176" r:id="rId150" xr:uid="{0100BDE9-D1A1-F748-84FE-C6F8B99D7143}"/>
    <hyperlink ref="R52" r:id="rId151" xr:uid="{FF6AC978-4978-8B4E-904C-285CA9397BBD}"/>
    <hyperlink ref="R57" r:id="rId152" xr:uid="{BBF1F073-7D6F-F543-83B8-6CBA0B829FDF}"/>
    <hyperlink ref="R58" r:id="rId153" xr:uid="{EDFF0539-2227-664F-A3D6-954D016422EA}"/>
    <hyperlink ref="R64" r:id="rId154" xr:uid="{4A9BCE22-1DDA-D846-BCFB-3E9765399B2B}"/>
    <hyperlink ref="R65" r:id="rId155" xr:uid="{62D5555F-C01A-2A4E-9637-276CAC0A058D}"/>
    <hyperlink ref="R66" r:id="rId156" xr:uid="{1783C98A-FCA5-344C-90D7-005F6E713C73}"/>
    <hyperlink ref="R118" r:id="rId157" xr:uid="{CE9D6FBA-815C-F644-AF0B-2679E50DCC51}"/>
    <hyperlink ref="R177" r:id="rId158" xr:uid="{E6EDFA9F-C217-E840-9680-BC8FE47F59EE}"/>
    <hyperlink ref="R178" r:id="rId159" xr:uid="{8419D96C-CF3C-4D4A-9EF9-0C58DF343A53}"/>
    <hyperlink ref="R179" r:id="rId160" xr:uid="{603E06EB-15B8-A143-A3E5-A6D4E3342EC0}"/>
    <hyperlink ref="R180" r:id="rId161" xr:uid="{067429E0-48CE-7B48-A580-127391448999}"/>
    <hyperlink ref="R181" r:id="rId162" xr:uid="{50661DE4-0634-4A4D-86FD-3E20140E5FD3}"/>
    <hyperlink ref="R182" r:id="rId163" xr:uid="{3B8A0261-7E15-BA4D-BF88-E03AED4D6D37}"/>
    <hyperlink ref="R188" r:id="rId164" xr:uid="{EF4544A9-BFE1-6341-8BC2-5EA14A70CC5C}"/>
    <hyperlink ref="R189" r:id="rId165" xr:uid="{D438D612-C63F-4048-87AB-727198011CCE}"/>
    <hyperlink ref="R18" r:id="rId166" xr:uid="{5D758451-708A-3545-986D-BE6F1CCC90AD}"/>
    <hyperlink ref="R135" r:id="rId167" xr:uid="{F9126DEC-E126-F54B-AAF2-E02E86CF83EC}"/>
    <hyperlink ref="R45" r:id="rId168" xr:uid="{E7066E74-C736-1C45-A583-D8425AD63F8D}"/>
    <hyperlink ref="R170" r:id="rId169" xr:uid="{D78D402D-ACC0-D547-A516-4B92093B21F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9"/>
  <sheetViews>
    <sheetView topLeftCell="A23" zoomScaleNormal="100" workbookViewId="0">
      <selection activeCell="C42" sqref="C42"/>
    </sheetView>
  </sheetViews>
  <sheetFormatPr baseColWidth="10" defaultRowHeight="15"/>
  <cols>
    <col min="1" max="1" width="4.1640625" customWidth="1"/>
    <col min="2" max="2" width="12.5" customWidth="1"/>
    <col min="3" max="3" width="22.1640625" customWidth="1"/>
    <col min="4" max="4" width="24.6640625" bestFit="1" customWidth="1"/>
    <col min="5" max="5" width="16.1640625" customWidth="1"/>
    <col min="6" max="6" width="57.83203125" customWidth="1"/>
    <col min="7" max="7" width="19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3.6640625" customWidth="1"/>
    <col min="14" max="14" width="18.33203125" customWidth="1"/>
    <col min="15" max="15" width="9.1640625" customWidth="1"/>
    <col min="16" max="16" width="17.6640625" customWidth="1"/>
    <col min="17" max="17" width="10.1640625" customWidth="1"/>
    <col min="18" max="18" width="5.1640625" customWidth="1"/>
    <col min="19" max="19" width="25" customWidth="1"/>
    <col min="20" max="20" width="19.5" customWidth="1"/>
    <col min="21" max="21" width="33.83203125" customWidth="1"/>
  </cols>
  <sheetData>
    <row r="2" spans="1:21" ht="18">
      <c r="C2" s="63"/>
      <c r="D2" s="63"/>
      <c r="E2" s="63"/>
      <c r="F2" s="63"/>
      <c r="G2" s="63"/>
      <c r="H2" s="63"/>
      <c r="I2" s="63"/>
      <c r="J2" s="63"/>
      <c r="K2" s="64"/>
      <c r="L2" s="63"/>
      <c r="M2" s="63"/>
      <c r="N2" s="63"/>
      <c r="O2" s="63"/>
      <c r="P2" s="63"/>
      <c r="Q2" s="63"/>
      <c r="R2" s="63"/>
      <c r="S2" s="63"/>
    </row>
    <row r="3" spans="1:21" ht="18">
      <c r="A3" s="65"/>
      <c r="C3" s="66" t="s">
        <v>0</v>
      </c>
      <c r="D3" s="63"/>
      <c r="E3" s="67"/>
      <c r="F3" s="63"/>
      <c r="G3" s="68"/>
      <c r="H3" s="64"/>
      <c r="I3" s="69"/>
      <c r="J3" s="70"/>
      <c r="K3" s="64"/>
      <c r="L3" s="71"/>
      <c r="M3" s="71"/>
      <c r="N3" s="64"/>
      <c r="O3" s="72"/>
      <c r="P3" s="63"/>
      <c r="Q3" s="63"/>
      <c r="R3" s="63"/>
      <c r="S3" s="63"/>
    </row>
    <row r="4" spans="1:21" ht="18">
      <c r="A4" s="65"/>
      <c r="C4" s="73" t="s">
        <v>1</v>
      </c>
      <c r="D4" s="63"/>
      <c r="E4" s="64"/>
      <c r="F4" s="63"/>
      <c r="G4" s="74"/>
      <c r="H4" s="75"/>
      <c r="I4" s="76"/>
      <c r="J4" s="77" t="s">
        <v>1026</v>
      </c>
      <c r="K4" s="75"/>
      <c r="L4" s="78"/>
      <c r="M4" s="79"/>
      <c r="N4" s="64" t="s">
        <v>1726</v>
      </c>
      <c r="O4" s="72"/>
      <c r="P4" s="80"/>
      <c r="Q4" s="63"/>
      <c r="R4" s="63"/>
      <c r="S4" s="63"/>
    </row>
    <row r="5" spans="1:21" s="1" customFormat="1" ht="58" customHeight="1">
      <c r="A5" s="81"/>
      <c r="B5" s="123" t="s">
        <v>28</v>
      </c>
      <c r="C5" s="123" t="s">
        <v>1028</v>
      </c>
      <c r="D5" s="123" t="s">
        <v>30</v>
      </c>
      <c r="E5" s="123" t="s">
        <v>31</v>
      </c>
      <c r="F5" s="131" t="s">
        <v>32</v>
      </c>
      <c r="G5" s="123" t="s">
        <v>33</v>
      </c>
      <c r="H5" s="123" t="s">
        <v>34</v>
      </c>
      <c r="I5" s="123" t="s">
        <v>35</v>
      </c>
      <c r="J5" s="123" t="s">
        <v>36</v>
      </c>
      <c r="K5" s="123" t="s">
        <v>37</v>
      </c>
      <c r="L5" s="132" t="s">
        <v>38</v>
      </c>
      <c r="M5" s="132" t="s">
        <v>39</v>
      </c>
      <c r="N5" s="123" t="s">
        <v>40</v>
      </c>
      <c r="O5" s="133" t="s">
        <v>41</v>
      </c>
      <c r="P5" s="123" t="s">
        <v>42</v>
      </c>
      <c r="Q5" s="123" t="s">
        <v>43</v>
      </c>
      <c r="R5" s="123" t="s">
        <v>22</v>
      </c>
      <c r="S5" s="123" t="s">
        <v>23</v>
      </c>
      <c r="T5" s="123" t="s">
        <v>44</v>
      </c>
      <c r="U5" s="123" t="s">
        <v>45</v>
      </c>
    </row>
    <row r="6" spans="1:21" s="2" customFormat="1" ht="21">
      <c r="A6" s="2">
        <v>1</v>
      </c>
      <c r="B6" s="166">
        <v>45899</v>
      </c>
      <c r="C6" s="166" t="s">
        <v>1067</v>
      </c>
      <c r="D6" s="166" t="s">
        <v>1114</v>
      </c>
      <c r="E6" s="167">
        <v>40782128</v>
      </c>
      <c r="F6" s="168" t="str">
        <f t="shared" ref="F6" si="0">VLOOKUP(E6,PROD,2,FALSE)</f>
        <v>DW8 57 FIM-D LAVAVAJILLAS</v>
      </c>
      <c r="G6" s="169" t="s">
        <v>1115</v>
      </c>
      <c r="H6" s="170" t="s">
        <v>24</v>
      </c>
      <c r="I6" s="166" t="s">
        <v>25</v>
      </c>
      <c r="J6" s="166" t="s">
        <v>1007</v>
      </c>
      <c r="K6" s="166">
        <v>45950</v>
      </c>
      <c r="L6" s="166" t="s">
        <v>1116</v>
      </c>
      <c r="M6" s="166" t="s">
        <v>1117</v>
      </c>
      <c r="N6" s="171">
        <v>991406660</v>
      </c>
      <c r="O6" s="172">
        <v>25</v>
      </c>
      <c r="P6" s="166" t="s">
        <v>59</v>
      </c>
      <c r="Q6" s="166" t="s">
        <v>25</v>
      </c>
      <c r="R6" s="166"/>
      <c r="S6" s="166" t="str">
        <f t="shared" ref="S6:S25" si="1">D6</f>
        <v>040-104-000013223</v>
      </c>
      <c r="T6" s="173" t="s">
        <v>1118</v>
      </c>
      <c r="U6" s="185" t="s">
        <v>1119</v>
      </c>
    </row>
    <row r="7" spans="1:21" s="2" customFormat="1" ht="21">
      <c r="A7" s="2">
        <v>2</v>
      </c>
      <c r="B7" s="166">
        <v>45931</v>
      </c>
      <c r="C7" s="166" t="s">
        <v>1033</v>
      </c>
      <c r="D7" s="166" t="s">
        <v>1120</v>
      </c>
      <c r="E7" s="167">
        <v>40484204</v>
      </c>
      <c r="F7" s="168" t="str">
        <f t="shared" ref="F7:F31" si="2">VLOOKUP(E7,PROD,2,FALSE)</f>
        <v>DSH 985 INOX CAMPANA (110V-60HZ) C/KIT</v>
      </c>
      <c r="G7" s="169" t="s">
        <v>1121</v>
      </c>
      <c r="H7" s="170" t="s">
        <v>24</v>
      </c>
      <c r="I7" s="166" t="s">
        <v>25</v>
      </c>
      <c r="J7" s="166" t="s">
        <v>1007</v>
      </c>
      <c r="K7" s="166">
        <v>45950</v>
      </c>
      <c r="L7" s="166" t="s">
        <v>1122</v>
      </c>
      <c r="M7" s="166" t="s">
        <v>1123</v>
      </c>
      <c r="N7" s="171">
        <v>74090000</v>
      </c>
      <c r="O7" s="172">
        <v>36</v>
      </c>
      <c r="P7" s="166" t="s">
        <v>59</v>
      </c>
      <c r="Q7" s="166" t="s">
        <v>25</v>
      </c>
      <c r="R7" s="166"/>
      <c r="S7" s="166" t="str">
        <f t="shared" si="1"/>
        <v>043-905-000096238</v>
      </c>
      <c r="T7" s="173" t="s">
        <v>1124</v>
      </c>
      <c r="U7" s="185" t="s">
        <v>1125</v>
      </c>
    </row>
    <row r="8" spans="1:21" s="2" customFormat="1" ht="21">
      <c r="A8" s="2">
        <v>3</v>
      </c>
      <c r="B8" s="166">
        <v>45919</v>
      </c>
      <c r="C8" s="166" t="s">
        <v>1126</v>
      </c>
      <c r="D8" s="166" t="s">
        <v>1127</v>
      </c>
      <c r="E8" s="167">
        <v>40584202</v>
      </c>
      <c r="F8" s="168" t="str">
        <f t="shared" si="2"/>
        <v>ML 820 BIS - MICROONDAS</v>
      </c>
      <c r="G8" s="169" t="s">
        <v>1128</v>
      </c>
      <c r="H8" s="170" t="s">
        <v>24</v>
      </c>
      <c r="I8" s="166" t="s">
        <v>25</v>
      </c>
      <c r="J8" s="166" t="s">
        <v>1007</v>
      </c>
      <c r="K8" s="166">
        <v>45950</v>
      </c>
      <c r="L8" s="166" t="s">
        <v>1129</v>
      </c>
      <c r="M8" s="166" t="s">
        <v>1130</v>
      </c>
      <c r="N8" s="171">
        <v>996123320</v>
      </c>
      <c r="O8" s="172">
        <v>25</v>
      </c>
      <c r="P8" s="166" t="s">
        <v>59</v>
      </c>
      <c r="Q8" s="166" t="s">
        <v>25</v>
      </c>
      <c r="R8" s="166"/>
      <c r="S8" s="166" t="str">
        <f t="shared" si="1"/>
        <v>008-501-000009784</v>
      </c>
      <c r="T8" s="173" t="s">
        <v>1131</v>
      </c>
      <c r="U8" s="185" t="s">
        <v>1132</v>
      </c>
    </row>
    <row r="9" spans="1:21" s="2" customFormat="1" ht="21">
      <c r="A9" s="2">
        <v>4</v>
      </c>
      <c r="B9" s="166">
        <v>45872</v>
      </c>
      <c r="C9" s="166" t="s">
        <v>1067</v>
      </c>
      <c r="D9" s="166" t="s">
        <v>1133</v>
      </c>
      <c r="E9" s="167">
        <v>114270008</v>
      </c>
      <c r="F9" s="168" t="str">
        <f t="shared" si="2"/>
        <v>LAVAVAJILLAS DFI 46900 120 60 WH</v>
      </c>
      <c r="G9" s="169" t="s">
        <v>1134</v>
      </c>
      <c r="H9" s="170" t="s">
        <v>24</v>
      </c>
      <c r="I9" s="166" t="s">
        <v>25</v>
      </c>
      <c r="J9" s="166" t="s">
        <v>1007</v>
      </c>
      <c r="K9" s="166">
        <v>45951</v>
      </c>
      <c r="L9" s="166" t="s">
        <v>1135</v>
      </c>
      <c r="M9" s="166" t="s">
        <v>1136</v>
      </c>
      <c r="N9" s="171">
        <v>984124946</v>
      </c>
      <c r="O9" s="172">
        <v>25</v>
      </c>
      <c r="P9" s="166" t="s">
        <v>59</v>
      </c>
      <c r="Q9" s="166" t="s">
        <v>25</v>
      </c>
      <c r="R9" s="166"/>
      <c r="S9" s="166" t="str">
        <f t="shared" si="1"/>
        <v>040-103-000015202</v>
      </c>
      <c r="T9" s="173" t="s">
        <v>1137</v>
      </c>
      <c r="U9" s="185" t="s">
        <v>1138</v>
      </c>
    </row>
    <row r="10" spans="1:21" s="2" customFormat="1" ht="21">
      <c r="A10" s="2">
        <v>5</v>
      </c>
      <c r="B10" s="166">
        <v>45919</v>
      </c>
      <c r="C10" s="166" t="s">
        <v>1033</v>
      </c>
      <c r="D10" s="166" t="s">
        <v>1139</v>
      </c>
      <c r="E10" s="167">
        <v>114270008</v>
      </c>
      <c r="F10" s="168" t="str">
        <f t="shared" si="2"/>
        <v>LAVAVAJILLAS DFI 46900 120 60 WH</v>
      </c>
      <c r="G10" s="169" t="s">
        <v>1140</v>
      </c>
      <c r="H10" s="170" t="s">
        <v>24</v>
      </c>
      <c r="I10" s="166" t="s">
        <v>25</v>
      </c>
      <c r="J10" s="166" t="s">
        <v>1007</v>
      </c>
      <c r="K10" s="166">
        <v>45951</v>
      </c>
      <c r="L10" s="166" t="s">
        <v>1141</v>
      </c>
      <c r="M10" s="166" t="s">
        <v>1142</v>
      </c>
      <c r="N10" s="171">
        <v>997439434</v>
      </c>
      <c r="O10" s="172">
        <v>25</v>
      </c>
      <c r="P10" s="166" t="s">
        <v>59</v>
      </c>
      <c r="Q10" s="166" t="s">
        <v>25</v>
      </c>
      <c r="R10" s="166"/>
      <c r="S10" s="166" t="str">
        <f t="shared" si="1"/>
        <v>043-907-000034320</v>
      </c>
      <c r="T10" s="173" t="s">
        <v>1143</v>
      </c>
      <c r="U10" s="185" t="s">
        <v>1144</v>
      </c>
    </row>
    <row r="11" spans="1:21" s="2" customFormat="1" ht="21">
      <c r="A11" s="2">
        <v>6</v>
      </c>
      <c r="B11" s="166">
        <v>45472</v>
      </c>
      <c r="C11" s="166" t="s">
        <v>1033</v>
      </c>
      <c r="D11" s="166" t="s">
        <v>1145</v>
      </c>
      <c r="E11" s="167">
        <v>111000051</v>
      </c>
      <c r="F11" s="168" t="str">
        <f t="shared" si="2"/>
        <v>HLB 8416 "AIR FRY" - HORNO ELEC</v>
      </c>
      <c r="G11" s="169" t="s">
        <v>1146</v>
      </c>
      <c r="H11" s="170" t="s">
        <v>24</v>
      </c>
      <c r="I11" s="166" t="s">
        <v>25</v>
      </c>
      <c r="J11" s="166" t="s">
        <v>1007</v>
      </c>
      <c r="K11" s="166">
        <v>45952</v>
      </c>
      <c r="L11" s="166" t="s">
        <v>1147</v>
      </c>
      <c r="M11" s="166" t="s">
        <v>1148</v>
      </c>
      <c r="N11" s="171">
        <v>994509861</v>
      </c>
      <c r="O11" s="172">
        <v>25</v>
      </c>
      <c r="P11" s="166" t="s">
        <v>59</v>
      </c>
      <c r="Q11" s="166" t="s">
        <v>25</v>
      </c>
      <c r="R11" s="166"/>
      <c r="S11" s="166" t="str">
        <f t="shared" si="1"/>
        <v>043-903-000022731</v>
      </c>
      <c r="T11" s="173" t="s">
        <v>1149</v>
      </c>
      <c r="U11" s="185" t="s">
        <v>1150</v>
      </c>
    </row>
    <row r="12" spans="1:21" s="2" customFormat="1" ht="21">
      <c r="A12" s="2">
        <v>7</v>
      </c>
      <c r="B12" s="166">
        <v>45919</v>
      </c>
      <c r="C12" s="166" t="s">
        <v>1033</v>
      </c>
      <c r="D12" s="166" t="s">
        <v>1151</v>
      </c>
      <c r="E12" s="167">
        <v>112600001</v>
      </c>
      <c r="F12" s="168" t="str">
        <f t="shared" si="2"/>
        <v>EX 60.1 4G AI CI COCINA INOX</v>
      </c>
      <c r="G12" s="169" t="s">
        <v>1152</v>
      </c>
      <c r="H12" s="170" t="s">
        <v>24</v>
      </c>
      <c r="I12" s="166" t="s">
        <v>25</v>
      </c>
      <c r="J12" s="166" t="s">
        <v>1007</v>
      </c>
      <c r="K12" s="166">
        <v>45953</v>
      </c>
      <c r="L12" s="166" t="s">
        <v>1153</v>
      </c>
      <c r="M12" s="166" t="s">
        <v>1154</v>
      </c>
      <c r="N12" s="171">
        <v>998658651</v>
      </c>
      <c r="O12" s="172">
        <v>29</v>
      </c>
      <c r="P12" s="166" t="s">
        <v>59</v>
      </c>
      <c r="Q12" s="166" t="s">
        <v>25</v>
      </c>
      <c r="R12" s="166"/>
      <c r="S12" s="166" t="str">
        <f t="shared" si="1"/>
        <v>016-902-000533286</v>
      </c>
      <c r="T12" s="173" t="s">
        <v>1155</v>
      </c>
      <c r="U12" s="185" t="s">
        <v>1156</v>
      </c>
    </row>
    <row r="13" spans="1:21" s="2" customFormat="1" ht="21">
      <c r="A13" s="2">
        <v>8</v>
      </c>
      <c r="B13" s="175">
        <v>45941</v>
      </c>
      <c r="C13" s="166" t="s">
        <v>1033</v>
      </c>
      <c r="D13" s="176" t="s">
        <v>1157</v>
      </c>
      <c r="E13" s="167">
        <v>40461507</v>
      </c>
      <c r="F13" s="168" t="str">
        <f t="shared" si="2"/>
        <v>C 610 NEGRA CAMPANA (110V-60HZ) C/KIT</v>
      </c>
      <c r="G13" s="167" t="s">
        <v>1158</v>
      </c>
      <c r="H13" s="170" t="s">
        <v>24</v>
      </c>
      <c r="I13" s="166" t="s">
        <v>25</v>
      </c>
      <c r="J13" s="166" t="s">
        <v>1007</v>
      </c>
      <c r="K13" s="175">
        <v>45954</v>
      </c>
      <c r="L13" s="176" t="s">
        <v>1159</v>
      </c>
      <c r="M13" s="176" t="s">
        <v>1160</v>
      </c>
      <c r="N13" s="167">
        <v>981570096</v>
      </c>
      <c r="O13" s="177">
        <v>15</v>
      </c>
      <c r="P13" s="166" t="s">
        <v>59</v>
      </c>
      <c r="Q13" s="166" t="s">
        <v>25</v>
      </c>
      <c r="R13" s="166"/>
      <c r="S13" s="166" t="str">
        <f t="shared" si="1"/>
        <v>093-902-000063632</v>
      </c>
      <c r="T13" s="173" t="s">
        <v>1161</v>
      </c>
      <c r="U13" s="186" t="s">
        <v>1162</v>
      </c>
    </row>
    <row r="14" spans="1:21" s="2" customFormat="1" ht="21">
      <c r="A14" s="2">
        <v>9</v>
      </c>
      <c r="B14" s="166" t="s">
        <v>1180</v>
      </c>
      <c r="C14" s="166" t="s">
        <v>1033</v>
      </c>
      <c r="D14" s="166" t="s">
        <v>1139</v>
      </c>
      <c r="E14" s="167">
        <v>114270008</v>
      </c>
      <c r="F14" s="168" t="str">
        <f t="shared" ref="F14" si="3">VLOOKUP(E14,PROD,2,FALSE)</f>
        <v>LAVAVAJILLAS DFI 46900 120 60 WH</v>
      </c>
      <c r="G14" s="174" t="s">
        <v>1140</v>
      </c>
      <c r="H14" s="170" t="s">
        <v>24</v>
      </c>
      <c r="I14" s="166" t="s">
        <v>25</v>
      </c>
      <c r="J14" s="166" t="s">
        <v>1007</v>
      </c>
      <c r="K14" s="166">
        <v>45954</v>
      </c>
      <c r="L14" s="166" t="s">
        <v>1141</v>
      </c>
      <c r="M14" s="166" t="s">
        <v>1142</v>
      </c>
      <c r="N14" s="171">
        <v>997439434</v>
      </c>
      <c r="O14" s="172">
        <v>25</v>
      </c>
      <c r="P14" s="166" t="s">
        <v>59</v>
      </c>
      <c r="Q14" s="166" t="s">
        <v>25</v>
      </c>
      <c r="R14" s="166"/>
      <c r="S14" s="166" t="str">
        <f t="shared" si="1"/>
        <v>043-907-000034320</v>
      </c>
      <c r="T14" s="173" t="s">
        <v>1143</v>
      </c>
      <c r="U14" s="185" t="s">
        <v>1181</v>
      </c>
    </row>
    <row r="15" spans="1:21" s="2" customFormat="1" ht="21">
      <c r="A15" s="2">
        <v>10</v>
      </c>
      <c r="B15" s="175">
        <v>45951</v>
      </c>
      <c r="C15" s="176" t="s">
        <v>1033</v>
      </c>
      <c r="D15" s="176" t="s">
        <v>1182</v>
      </c>
      <c r="E15" s="167">
        <v>111010028</v>
      </c>
      <c r="F15" s="168" t="str">
        <f t="shared" si="2"/>
        <v>HSB 646 "AIRFRY" - HORNO ELEC</v>
      </c>
      <c r="G15" s="167" t="s">
        <v>1183</v>
      </c>
      <c r="H15" s="170" t="s">
        <v>24</v>
      </c>
      <c r="I15" s="166" t="s">
        <v>25</v>
      </c>
      <c r="J15" s="166" t="s">
        <v>1007</v>
      </c>
      <c r="K15" s="175">
        <v>45954</v>
      </c>
      <c r="L15" s="176" t="s">
        <v>1184</v>
      </c>
      <c r="M15" s="176" t="s">
        <v>1185</v>
      </c>
      <c r="N15" s="167">
        <v>99738798</v>
      </c>
      <c r="O15" s="177">
        <v>25</v>
      </c>
      <c r="P15" s="166" t="s">
        <v>59</v>
      </c>
      <c r="Q15" s="166" t="s">
        <v>25</v>
      </c>
      <c r="R15" s="166"/>
      <c r="S15" s="166" t="str">
        <f t="shared" si="1"/>
        <v>043-903-000101314</v>
      </c>
      <c r="T15" s="173" t="s">
        <v>1186</v>
      </c>
      <c r="U15" s="186" t="s">
        <v>1187</v>
      </c>
    </row>
    <row r="16" spans="1:21" s="2" customFormat="1" ht="21">
      <c r="A16" s="2">
        <v>11</v>
      </c>
      <c r="B16" s="175">
        <v>45953</v>
      </c>
      <c r="C16" s="176" t="s">
        <v>1032</v>
      </c>
      <c r="D16" s="176" t="s">
        <v>1189</v>
      </c>
      <c r="E16" s="167">
        <v>40584012</v>
      </c>
      <c r="F16" s="168" t="str">
        <f t="shared" si="2"/>
        <v>MS 620 BIS - MICROONDAS</v>
      </c>
      <c r="G16" s="167" t="s">
        <v>1188</v>
      </c>
      <c r="H16" s="170" t="s">
        <v>24</v>
      </c>
      <c r="I16" s="166" t="s">
        <v>25</v>
      </c>
      <c r="J16" s="166" t="s">
        <v>1007</v>
      </c>
      <c r="K16" s="175">
        <v>45954</v>
      </c>
      <c r="L16" s="176" t="s">
        <v>1190</v>
      </c>
      <c r="M16" s="176" t="s">
        <v>1191</v>
      </c>
      <c r="N16" s="167">
        <v>995790823</v>
      </c>
      <c r="O16" s="177">
        <v>25</v>
      </c>
      <c r="P16" s="166" t="s">
        <v>59</v>
      </c>
      <c r="Q16" s="166" t="s">
        <v>25</v>
      </c>
      <c r="R16" s="166"/>
      <c r="S16" s="166" t="str">
        <f t="shared" si="1"/>
        <v>001-500-000078091</v>
      </c>
      <c r="T16" s="173" t="s">
        <v>1192</v>
      </c>
      <c r="U16" s="186" t="s">
        <v>1193</v>
      </c>
    </row>
    <row r="17" spans="1:21" s="2" customFormat="1" ht="21">
      <c r="A17" s="2">
        <v>12</v>
      </c>
      <c r="B17" s="175">
        <v>45955</v>
      </c>
      <c r="C17" s="176" t="s">
        <v>1033</v>
      </c>
      <c r="D17" s="176" t="s">
        <v>1194</v>
      </c>
      <c r="E17" s="167">
        <v>40467320</v>
      </c>
      <c r="F17" s="168" t="str">
        <f t="shared" si="2"/>
        <v>C 7310 INOX CAMPANA (110V-60HZ) C/KIT</v>
      </c>
      <c r="G17" s="167" t="s">
        <v>1195</v>
      </c>
      <c r="H17" s="170" t="s">
        <v>24</v>
      </c>
      <c r="I17" s="166" t="s">
        <v>25</v>
      </c>
      <c r="J17" s="166" t="s">
        <v>1007</v>
      </c>
      <c r="K17" s="175">
        <v>45957</v>
      </c>
      <c r="L17" s="176" t="s">
        <v>1196</v>
      </c>
      <c r="M17" s="176" t="s">
        <v>1197</v>
      </c>
      <c r="N17" s="167">
        <v>962859179</v>
      </c>
      <c r="O17" s="177">
        <v>15</v>
      </c>
      <c r="P17" s="166" t="s">
        <v>59</v>
      </c>
      <c r="Q17" s="166" t="s">
        <v>25</v>
      </c>
      <c r="R17" s="166"/>
      <c r="S17" s="166" t="str">
        <f t="shared" si="1"/>
        <v>016-907-000278298</v>
      </c>
      <c r="T17" s="173" t="s">
        <v>1198</v>
      </c>
      <c r="U17" s="186" t="s">
        <v>1199</v>
      </c>
    </row>
    <row r="18" spans="1:21" s="2" customFormat="1" ht="21">
      <c r="A18" s="2">
        <v>13</v>
      </c>
      <c r="B18" s="175">
        <v>45916</v>
      </c>
      <c r="C18" s="176" t="s">
        <v>1032</v>
      </c>
      <c r="D18" s="176" t="s">
        <v>1200</v>
      </c>
      <c r="E18" s="167">
        <v>112570126</v>
      </c>
      <c r="F18" s="168" t="str">
        <f t="shared" si="2"/>
        <v>JZC 96324 ABB BK (LAT) COCINA MIXTA GAS - INDUCCION (40213042)</v>
      </c>
      <c r="G18" s="167" t="s">
        <v>1201</v>
      </c>
      <c r="H18" s="170" t="s">
        <v>24</v>
      </c>
      <c r="I18" s="166" t="s">
        <v>25</v>
      </c>
      <c r="J18" s="166" t="s">
        <v>1007</v>
      </c>
      <c r="K18" s="175">
        <v>45957</v>
      </c>
      <c r="L18" s="176" t="s">
        <v>1202</v>
      </c>
      <c r="M18" s="176" t="s">
        <v>1203</v>
      </c>
      <c r="N18" s="167">
        <v>999259503</v>
      </c>
      <c r="O18" s="177">
        <v>29</v>
      </c>
      <c r="P18" s="166" t="s">
        <v>59</v>
      </c>
      <c r="Q18" s="166" t="s">
        <v>25</v>
      </c>
      <c r="R18" s="166"/>
      <c r="S18" s="166" t="str">
        <f t="shared" si="1"/>
        <v>001-500-000076961</v>
      </c>
      <c r="T18" s="173" t="s">
        <v>1204</v>
      </c>
      <c r="U18" s="186" t="s">
        <v>1205</v>
      </c>
    </row>
    <row r="19" spans="1:21" s="2" customFormat="1" ht="21">
      <c r="A19" s="2">
        <v>14</v>
      </c>
      <c r="B19" s="175">
        <v>45954</v>
      </c>
      <c r="C19" s="176" t="s">
        <v>1067</v>
      </c>
      <c r="D19" s="176" t="s">
        <v>1229</v>
      </c>
      <c r="E19" s="167">
        <v>112580058</v>
      </c>
      <c r="F19" s="168" t="str">
        <f t="shared" si="2"/>
        <v>GBC 95030 KBB BK COCINA GAS</v>
      </c>
      <c r="G19" s="167" t="s">
        <v>1230</v>
      </c>
      <c r="H19" s="170" t="s">
        <v>24</v>
      </c>
      <c r="I19" s="166" t="s">
        <v>25</v>
      </c>
      <c r="J19" s="166" t="s">
        <v>1007</v>
      </c>
      <c r="K19" s="175">
        <v>45958</v>
      </c>
      <c r="L19" s="176" t="s">
        <v>1231</v>
      </c>
      <c r="M19" s="176" t="s">
        <v>1232</v>
      </c>
      <c r="N19" s="167">
        <v>992622640</v>
      </c>
      <c r="O19" s="177">
        <v>29</v>
      </c>
      <c r="P19" s="166" t="s">
        <v>59</v>
      </c>
      <c r="Q19" s="166" t="s">
        <v>25</v>
      </c>
      <c r="R19" s="166"/>
      <c r="S19" s="166" t="str">
        <f t="shared" si="1"/>
        <v>040-104-000014247</v>
      </c>
      <c r="T19" s="173" t="s">
        <v>1233</v>
      </c>
      <c r="U19" s="186" t="s">
        <v>1234</v>
      </c>
    </row>
    <row r="20" spans="1:21" s="2" customFormat="1" ht="21">
      <c r="A20" s="2">
        <v>15</v>
      </c>
      <c r="B20" s="175">
        <v>45933</v>
      </c>
      <c r="C20" s="176" t="s">
        <v>1032</v>
      </c>
      <c r="D20" s="176" t="s">
        <v>1235</v>
      </c>
      <c r="E20" s="167">
        <v>112030019</v>
      </c>
      <c r="F20" s="168" t="str">
        <f t="shared" si="2"/>
        <v>ML 8220 BIS FBK- MICROONDAS</v>
      </c>
      <c r="G20" s="167" t="s">
        <v>1236</v>
      </c>
      <c r="H20" s="170" t="s">
        <v>24</v>
      </c>
      <c r="I20" s="166" t="s">
        <v>25</v>
      </c>
      <c r="J20" s="166" t="s">
        <v>1007</v>
      </c>
      <c r="K20" s="175">
        <v>45958</v>
      </c>
      <c r="L20" s="176" t="s">
        <v>1237</v>
      </c>
      <c r="M20" s="176" t="s">
        <v>1238</v>
      </c>
      <c r="N20" s="167">
        <v>995720411</v>
      </c>
      <c r="O20" s="177">
        <v>25</v>
      </c>
      <c r="P20" s="166" t="s">
        <v>59</v>
      </c>
      <c r="Q20" s="166" t="s">
        <v>25</v>
      </c>
      <c r="R20" s="166"/>
      <c r="S20" s="166" t="str">
        <f t="shared" si="1"/>
        <v>001-500-000077486</v>
      </c>
      <c r="T20" s="173" t="s">
        <v>1239</v>
      </c>
      <c r="U20" s="186" t="s">
        <v>1240</v>
      </c>
    </row>
    <row r="21" spans="1:21" s="2" customFormat="1" ht="21">
      <c r="A21" s="2">
        <v>16</v>
      </c>
      <c r="B21" s="175">
        <v>45926</v>
      </c>
      <c r="C21" s="176" t="s">
        <v>1241</v>
      </c>
      <c r="D21" s="176" t="s">
        <v>1330</v>
      </c>
      <c r="E21" s="167">
        <v>40782128</v>
      </c>
      <c r="F21" s="168" t="str">
        <f t="shared" si="2"/>
        <v>DW8 57 FIM-D LAVAVAJILLAS</v>
      </c>
      <c r="G21" s="167" t="s">
        <v>1331</v>
      </c>
      <c r="H21" s="170" t="s">
        <v>24</v>
      </c>
      <c r="I21" s="166" t="s">
        <v>25</v>
      </c>
      <c r="J21" s="166" t="s">
        <v>1007</v>
      </c>
      <c r="K21" s="175">
        <v>45961</v>
      </c>
      <c r="L21" s="176" t="s">
        <v>1332</v>
      </c>
      <c r="M21" s="176" t="s">
        <v>1142</v>
      </c>
      <c r="N21" s="167">
        <v>995834108</v>
      </c>
      <c r="O21" s="177">
        <v>25</v>
      </c>
      <c r="P21" s="166" t="s">
        <v>59</v>
      </c>
      <c r="Q21" s="166" t="s">
        <v>25</v>
      </c>
      <c r="R21" s="166"/>
      <c r="S21" s="166" t="str">
        <f t="shared" si="1"/>
        <v>003-170027733</v>
      </c>
      <c r="T21" s="173" t="s">
        <v>1333</v>
      </c>
      <c r="U21" s="186" t="s">
        <v>1334</v>
      </c>
    </row>
    <row r="22" spans="1:21" s="2" customFormat="1" ht="21">
      <c r="A22" s="2">
        <v>17</v>
      </c>
      <c r="B22" s="175">
        <v>45957</v>
      </c>
      <c r="C22" s="176" t="s">
        <v>1252</v>
      </c>
      <c r="D22" s="176" t="s">
        <v>1335</v>
      </c>
      <c r="E22" s="167">
        <v>112580058</v>
      </c>
      <c r="F22" s="168" t="str">
        <f t="shared" si="2"/>
        <v>GBC 95030 KBB BK COCINA GAS</v>
      </c>
      <c r="G22" s="167" t="s">
        <v>1336</v>
      </c>
      <c r="H22" s="170" t="s">
        <v>24</v>
      </c>
      <c r="I22" s="166" t="s">
        <v>25</v>
      </c>
      <c r="J22" s="166" t="s">
        <v>1007</v>
      </c>
      <c r="K22" s="175">
        <v>45961</v>
      </c>
      <c r="L22" s="176" t="s">
        <v>1337</v>
      </c>
      <c r="M22" s="176" t="s">
        <v>1338</v>
      </c>
      <c r="N22" s="167">
        <v>968697049</v>
      </c>
      <c r="O22" s="177">
        <v>29</v>
      </c>
      <c r="P22" s="166" t="s">
        <v>59</v>
      </c>
      <c r="Q22" s="166" t="s">
        <v>25</v>
      </c>
      <c r="R22" s="166"/>
      <c r="S22" s="166" t="str">
        <f t="shared" si="1"/>
        <v>040-104-000014327</v>
      </c>
      <c r="T22" s="173" t="s">
        <v>1339</v>
      </c>
      <c r="U22" s="186" t="s">
        <v>1340</v>
      </c>
    </row>
    <row r="23" spans="1:21" s="2" customFormat="1" ht="21">
      <c r="A23" s="2">
        <v>18</v>
      </c>
      <c r="B23" s="175">
        <v>45939</v>
      </c>
      <c r="C23" s="176" t="s">
        <v>1032</v>
      </c>
      <c r="D23" s="176" t="s">
        <v>1341</v>
      </c>
      <c r="E23" s="167">
        <v>112580058</v>
      </c>
      <c r="F23" s="168" t="str">
        <f t="shared" si="2"/>
        <v>GBC 95030 KBB BK COCINA GAS</v>
      </c>
      <c r="G23" s="167" t="s">
        <v>1342</v>
      </c>
      <c r="H23" s="170" t="s">
        <v>24</v>
      </c>
      <c r="I23" s="166" t="s">
        <v>25</v>
      </c>
      <c r="J23" s="166" t="s">
        <v>1007</v>
      </c>
      <c r="K23" s="175">
        <v>45961</v>
      </c>
      <c r="L23" s="176" t="s">
        <v>1343</v>
      </c>
      <c r="M23" s="176" t="s">
        <v>1344</v>
      </c>
      <c r="N23" s="167">
        <v>968897796</v>
      </c>
      <c r="O23" s="177">
        <v>29</v>
      </c>
      <c r="P23" s="166" t="s">
        <v>59</v>
      </c>
      <c r="Q23" s="166" t="s">
        <v>25</v>
      </c>
      <c r="R23" s="166"/>
      <c r="S23" s="166" t="str">
        <f t="shared" si="1"/>
        <v>001-500-000077657</v>
      </c>
      <c r="T23" s="173" t="s">
        <v>1345</v>
      </c>
      <c r="U23" s="186" t="s">
        <v>1346</v>
      </c>
    </row>
    <row r="24" spans="1:21" s="151" customFormat="1" ht="21">
      <c r="A24" s="2">
        <v>19</v>
      </c>
      <c r="B24" s="175">
        <v>45925</v>
      </c>
      <c r="C24" s="178" t="s">
        <v>1220</v>
      </c>
      <c r="D24" s="178" t="s">
        <v>1347</v>
      </c>
      <c r="E24" s="167">
        <v>113120010</v>
      </c>
      <c r="F24" s="248" t="str">
        <f t="shared" si="2"/>
        <v>GFI 97350 ECS IX 110/60 CAMPANA</v>
      </c>
      <c r="G24" s="167" t="s">
        <v>1348</v>
      </c>
      <c r="H24" s="170" t="s">
        <v>24</v>
      </c>
      <c r="I24" s="166" t="s">
        <v>25</v>
      </c>
      <c r="J24" s="166" t="s">
        <v>1007</v>
      </c>
      <c r="K24" s="175">
        <v>45961</v>
      </c>
      <c r="L24" s="178" t="s">
        <v>1349</v>
      </c>
      <c r="M24" s="178" t="s">
        <v>1350</v>
      </c>
      <c r="N24" s="167">
        <v>994485055</v>
      </c>
      <c r="O24" s="177">
        <v>36</v>
      </c>
      <c r="P24" s="166" t="s">
        <v>59</v>
      </c>
      <c r="Q24" s="166" t="s">
        <v>25</v>
      </c>
      <c r="R24" s="166"/>
      <c r="S24" s="166" t="str">
        <f t="shared" si="1"/>
        <v>001-001-000001336</v>
      </c>
      <c r="T24" s="173" t="s">
        <v>1351</v>
      </c>
      <c r="U24" s="192" t="s">
        <v>1352</v>
      </c>
    </row>
    <row r="25" spans="1:21" s="151" customFormat="1" ht="21">
      <c r="A25" s="2">
        <v>20</v>
      </c>
      <c r="B25" s="175">
        <v>45921</v>
      </c>
      <c r="C25" s="178" t="s">
        <v>1032</v>
      </c>
      <c r="D25" s="178" t="s">
        <v>1389</v>
      </c>
      <c r="E25" s="167">
        <v>112580058</v>
      </c>
      <c r="F25" s="248" t="str">
        <f t="shared" si="2"/>
        <v>GBC 95030 KBB BK COCINA GAS</v>
      </c>
      <c r="G25" s="178" t="s">
        <v>1390</v>
      </c>
      <c r="H25" s="170" t="s">
        <v>24</v>
      </c>
      <c r="I25" s="166" t="s">
        <v>25</v>
      </c>
      <c r="J25" s="166" t="s">
        <v>1007</v>
      </c>
      <c r="K25" s="242">
        <v>45967</v>
      </c>
      <c r="L25" s="178" t="s">
        <v>1391</v>
      </c>
      <c r="M25" s="178" t="s">
        <v>1063</v>
      </c>
      <c r="N25" s="167">
        <v>999188245</v>
      </c>
      <c r="O25" s="243">
        <v>29</v>
      </c>
      <c r="P25" s="166" t="s">
        <v>59</v>
      </c>
      <c r="Q25" s="166" t="s">
        <v>25</v>
      </c>
      <c r="R25" s="166"/>
      <c r="S25" s="244" t="str">
        <f t="shared" si="1"/>
        <v>001-500-000077257</v>
      </c>
      <c r="T25" s="245" t="s">
        <v>1392</v>
      </c>
      <c r="U25" s="246" t="s">
        <v>1393</v>
      </c>
    </row>
    <row r="26" spans="1:21" s="2" customFormat="1" ht="21">
      <c r="A26" s="2">
        <v>21</v>
      </c>
      <c r="B26" s="175">
        <v>45961</v>
      </c>
      <c r="C26" s="178" t="s">
        <v>1032</v>
      </c>
      <c r="D26" s="178" t="s">
        <v>1394</v>
      </c>
      <c r="E26" s="167">
        <v>113430051</v>
      </c>
      <c r="F26" s="248" t="str">
        <f t="shared" ref="F26" si="4">VLOOKUP(E26,PROD,2,FALSE)</f>
        <v>RMF 77960 GBK MX REFRIGERADORA</v>
      </c>
      <c r="G26" s="178" t="s">
        <v>1395</v>
      </c>
      <c r="H26" s="170" t="s">
        <v>24</v>
      </c>
      <c r="I26" s="166" t="s">
        <v>25</v>
      </c>
      <c r="J26" s="166" t="s">
        <v>1007</v>
      </c>
      <c r="K26" s="175">
        <v>45967</v>
      </c>
      <c r="L26" s="176" t="s">
        <v>1396</v>
      </c>
      <c r="M26" s="176" t="s">
        <v>1397</v>
      </c>
      <c r="N26" s="167">
        <v>992727517</v>
      </c>
      <c r="O26" s="177">
        <v>30</v>
      </c>
      <c r="P26" s="166" t="s">
        <v>59</v>
      </c>
      <c r="Q26" s="166" t="s">
        <v>25</v>
      </c>
      <c r="R26" s="166"/>
      <c r="S26" s="166" t="str">
        <f t="shared" ref="S26:S31" si="5">D26</f>
        <v>001-502-000000561</v>
      </c>
      <c r="T26" s="173" t="s">
        <v>1398</v>
      </c>
      <c r="U26" s="186" t="s">
        <v>1399</v>
      </c>
    </row>
    <row r="27" spans="1:21" s="151" customFormat="1" ht="21">
      <c r="A27" s="2">
        <v>22</v>
      </c>
      <c r="B27" s="175">
        <v>45964</v>
      </c>
      <c r="C27" s="178" t="s">
        <v>1363</v>
      </c>
      <c r="D27" s="178" t="s">
        <v>1400</v>
      </c>
      <c r="E27" s="167">
        <v>115890043</v>
      </c>
      <c r="F27" s="248" t="str">
        <f t="shared" si="2"/>
        <v>TRITURADOR TRS 520</v>
      </c>
      <c r="G27" s="167">
        <v>8434778029604</v>
      </c>
      <c r="H27" s="170" t="s">
        <v>24</v>
      </c>
      <c r="I27" s="166" t="s">
        <v>25</v>
      </c>
      <c r="J27" s="166" t="s">
        <v>1007</v>
      </c>
      <c r="K27" s="175">
        <v>45967</v>
      </c>
      <c r="L27" s="178" t="s">
        <v>1401</v>
      </c>
      <c r="M27" s="178" t="s">
        <v>1402</v>
      </c>
      <c r="N27" s="167">
        <v>5726891</v>
      </c>
      <c r="O27" s="177">
        <v>15</v>
      </c>
      <c r="P27" s="166" t="s">
        <v>59</v>
      </c>
      <c r="Q27" s="166" t="s">
        <v>25</v>
      </c>
      <c r="R27" s="178"/>
      <c r="S27" s="166" t="str">
        <f t="shared" si="5"/>
        <v>014-004-000071254</v>
      </c>
      <c r="T27" s="178">
        <v>909708646</v>
      </c>
      <c r="U27" s="192" t="s">
        <v>1403</v>
      </c>
    </row>
    <row r="28" spans="1:21" s="151" customFormat="1" ht="21">
      <c r="A28" s="2">
        <v>23</v>
      </c>
      <c r="B28" s="175">
        <v>45961</v>
      </c>
      <c r="C28" s="178" t="s">
        <v>1032</v>
      </c>
      <c r="D28" s="178" t="s">
        <v>1422</v>
      </c>
      <c r="E28" s="167">
        <v>111030002</v>
      </c>
      <c r="F28" s="248" t="str">
        <f t="shared" si="2"/>
        <v>HLB 760 G SS HORNO A GAS</v>
      </c>
      <c r="G28" s="167" t="s">
        <v>1428</v>
      </c>
      <c r="H28" s="170" t="s">
        <v>24</v>
      </c>
      <c r="I28" s="166" t="s">
        <v>25</v>
      </c>
      <c r="J28" s="166" t="s">
        <v>1007</v>
      </c>
      <c r="K28" s="175">
        <v>45968</v>
      </c>
      <c r="L28" s="178" t="s">
        <v>1424</v>
      </c>
      <c r="M28" s="178" t="s">
        <v>1425</v>
      </c>
      <c r="N28" s="167">
        <v>980244514</v>
      </c>
      <c r="O28" s="177">
        <v>25</v>
      </c>
      <c r="P28" s="166" t="s">
        <v>59</v>
      </c>
      <c r="Q28" s="166" t="s">
        <v>25</v>
      </c>
      <c r="R28" s="178"/>
      <c r="S28" s="166" t="str">
        <f t="shared" si="5"/>
        <v>001-500-000078353</v>
      </c>
      <c r="T28" s="178">
        <v>150307247</v>
      </c>
      <c r="U28" s="192" t="s">
        <v>1427</v>
      </c>
    </row>
    <row r="29" spans="1:21" s="161" customFormat="1" ht="21">
      <c r="A29" s="2">
        <v>24</v>
      </c>
      <c r="B29" s="179">
        <v>45960</v>
      </c>
      <c r="C29" s="180" t="s">
        <v>1033</v>
      </c>
      <c r="D29" s="180" t="s">
        <v>1429</v>
      </c>
      <c r="E29" s="181">
        <v>40461506</v>
      </c>
      <c r="F29" s="249" t="str">
        <f t="shared" si="2"/>
        <v>C 610 BLANCA CAMPANA (110V-60HZ) C/KIT</v>
      </c>
      <c r="G29" s="181" t="s">
        <v>1430</v>
      </c>
      <c r="H29" s="170" t="s">
        <v>24</v>
      </c>
      <c r="I29" s="166" t="s">
        <v>25</v>
      </c>
      <c r="J29" s="166" t="s">
        <v>1007</v>
      </c>
      <c r="K29" s="179">
        <v>45968</v>
      </c>
      <c r="L29" s="180" t="s">
        <v>1431</v>
      </c>
      <c r="M29" s="180" t="s">
        <v>1432</v>
      </c>
      <c r="N29" s="181">
        <v>984464515</v>
      </c>
      <c r="O29" s="182">
        <v>15</v>
      </c>
      <c r="P29" s="166" t="s">
        <v>59</v>
      </c>
      <c r="Q29" s="166" t="s">
        <v>25</v>
      </c>
      <c r="R29" s="180"/>
      <c r="S29" s="166" t="str">
        <f t="shared" si="5"/>
        <v>016-902-000541991</v>
      </c>
      <c r="T29" s="183" t="s">
        <v>1433</v>
      </c>
      <c r="U29" s="193" t="s">
        <v>1434</v>
      </c>
    </row>
    <row r="30" spans="1:21" s="151" customFormat="1" ht="21">
      <c r="A30" s="2">
        <v>25</v>
      </c>
      <c r="B30" s="175">
        <v>45969</v>
      </c>
      <c r="C30" s="178" t="s">
        <v>1032</v>
      </c>
      <c r="D30" s="178" t="s">
        <v>1477</v>
      </c>
      <c r="E30" s="167">
        <v>112580058</v>
      </c>
      <c r="F30" s="248" t="str">
        <f t="shared" si="2"/>
        <v>GBC 95030 KBB BK COCINA GAS</v>
      </c>
      <c r="G30" s="167" t="s">
        <v>1478</v>
      </c>
      <c r="H30" s="170" t="s">
        <v>24</v>
      </c>
      <c r="I30" s="166" t="s">
        <v>25</v>
      </c>
      <c r="J30" s="166" t="s">
        <v>1007</v>
      </c>
      <c r="K30" s="175">
        <v>45971</v>
      </c>
      <c r="L30" s="178" t="s">
        <v>1479</v>
      </c>
      <c r="M30" s="178" t="s">
        <v>1480</v>
      </c>
      <c r="N30" s="167">
        <v>992149174</v>
      </c>
      <c r="O30" s="177">
        <v>29</v>
      </c>
      <c r="P30" s="166" t="s">
        <v>59</v>
      </c>
      <c r="Q30" s="166" t="s">
        <v>25</v>
      </c>
      <c r="R30" s="178"/>
      <c r="S30" s="166" t="str">
        <f t="shared" si="5"/>
        <v>001-502-00000868</v>
      </c>
      <c r="T30" s="184" t="s">
        <v>1481</v>
      </c>
      <c r="U30" s="192" t="s">
        <v>1482</v>
      </c>
    </row>
    <row r="31" spans="1:21" s="151" customFormat="1" ht="21">
      <c r="A31" s="2">
        <v>26</v>
      </c>
      <c r="B31" s="175">
        <v>45919</v>
      </c>
      <c r="C31" s="178" t="s">
        <v>1033</v>
      </c>
      <c r="D31" s="178" t="s">
        <v>1483</v>
      </c>
      <c r="E31" s="167">
        <v>112610067</v>
      </c>
      <c r="F31" s="248" t="str">
        <f t="shared" si="2"/>
        <v>GSC 96320 XBA IX (LAT) COCINA INOX</v>
      </c>
      <c r="G31" s="167" t="s">
        <v>1484</v>
      </c>
      <c r="H31" s="170" t="s">
        <v>24</v>
      </c>
      <c r="I31" s="166" t="s">
        <v>25</v>
      </c>
      <c r="J31" s="166" t="s">
        <v>1007</v>
      </c>
      <c r="K31" s="175">
        <v>45971</v>
      </c>
      <c r="L31" s="178" t="s">
        <v>1485</v>
      </c>
      <c r="M31" s="178" t="s">
        <v>1410</v>
      </c>
      <c r="N31" s="167">
        <v>999083269</v>
      </c>
      <c r="O31" s="177">
        <v>29</v>
      </c>
      <c r="P31" s="166" t="s">
        <v>59</v>
      </c>
      <c r="Q31" s="166" t="s">
        <v>25</v>
      </c>
      <c r="R31" s="178"/>
      <c r="S31" s="166" t="str">
        <f t="shared" si="5"/>
        <v>016-907-000272271</v>
      </c>
      <c r="T31" s="184" t="s">
        <v>1486</v>
      </c>
      <c r="U31" s="192" t="s">
        <v>1487</v>
      </c>
    </row>
    <row r="32" spans="1:21" s="151" customFormat="1" ht="21">
      <c r="A32" s="2">
        <v>27</v>
      </c>
      <c r="B32" s="175">
        <v>45932</v>
      </c>
      <c r="C32" s="178" t="s">
        <v>1033</v>
      </c>
      <c r="D32" s="178" t="s">
        <v>1488</v>
      </c>
      <c r="E32" s="167">
        <v>112580058</v>
      </c>
      <c r="F32" s="248" t="str">
        <f t="shared" ref="F32" si="6">VLOOKUP(E32,PROD,2,FALSE)</f>
        <v>GBC 95030 KBB BK COCINA GAS</v>
      </c>
      <c r="G32" s="167" t="s">
        <v>1489</v>
      </c>
      <c r="H32" s="170" t="s">
        <v>24</v>
      </c>
      <c r="I32" s="166" t="s">
        <v>25</v>
      </c>
      <c r="J32" s="166" t="s">
        <v>1007</v>
      </c>
      <c r="K32" s="175">
        <v>45971</v>
      </c>
      <c r="L32" s="178" t="s">
        <v>1490</v>
      </c>
      <c r="M32" s="178" t="s">
        <v>1410</v>
      </c>
      <c r="N32" s="167">
        <v>99889251</v>
      </c>
      <c r="O32" s="177">
        <v>29</v>
      </c>
      <c r="P32" s="166" t="s">
        <v>59</v>
      </c>
      <c r="Q32" s="166" t="s">
        <v>25</v>
      </c>
      <c r="R32" s="178"/>
      <c r="S32" s="166" t="str">
        <f t="shared" ref="S32" si="7">D32</f>
        <v>043-901-000286779</v>
      </c>
      <c r="T32" s="184" t="s">
        <v>1491</v>
      </c>
      <c r="U32" s="192" t="s">
        <v>1492</v>
      </c>
    </row>
    <row r="33" spans="1:21" s="151" customFormat="1" ht="21">
      <c r="A33" s="2">
        <v>28</v>
      </c>
      <c r="B33" s="175">
        <v>45968</v>
      </c>
      <c r="C33" s="178" t="s">
        <v>1033</v>
      </c>
      <c r="D33" s="178" t="s">
        <v>1493</v>
      </c>
      <c r="E33" s="167">
        <v>111000051</v>
      </c>
      <c r="F33" s="248" t="str">
        <f t="shared" ref="F33:F38" si="8">VLOOKUP(E33,PROD,2,FALSE)</f>
        <v>HLB 8416 "AIR FRY" - HORNO ELEC</v>
      </c>
      <c r="G33" s="167" t="s">
        <v>1494</v>
      </c>
      <c r="H33" s="170" t="s">
        <v>24</v>
      </c>
      <c r="I33" s="166" t="s">
        <v>25</v>
      </c>
      <c r="J33" s="166" t="s">
        <v>1007</v>
      </c>
      <c r="K33" s="175">
        <v>45972</v>
      </c>
      <c r="L33" s="178" t="s">
        <v>1495</v>
      </c>
      <c r="M33" s="178" t="s">
        <v>1496</v>
      </c>
      <c r="N33" s="167">
        <v>999325975</v>
      </c>
      <c r="O33" s="177">
        <v>25</v>
      </c>
      <c r="P33" s="166" t="s">
        <v>59</v>
      </c>
      <c r="Q33" s="166" t="s">
        <v>25</v>
      </c>
      <c r="R33" s="178"/>
      <c r="S33" s="166" t="str">
        <f t="shared" ref="S33:S38" si="9">D33</f>
        <v>043-902-000002154</v>
      </c>
      <c r="T33" s="184" t="s">
        <v>1497</v>
      </c>
      <c r="U33" s="192" t="s">
        <v>1498</v>
      </c>
    </row>
    <row r="34" spans="1:21" s="151" customFormat="1" ht="21">
      <c r="A34" s="2">
        <v>29</v>
      </c>
      <c r="B34" s="175">
        <v>45969</v>
      </c>
      <c r="C34" s="178" t="s">
        <v>1032</v>
      </c>
      <c r="D34" s="178" t="s">
        <v>1612</v>
      </c>
      <c r="E34" s="167">
        <v>112950021</v>
      </c>
      <c r="F34" s="248" t="str">
        <f t="shared" si="8"/>
        <v>DVN 94030 TCL BK CAMPANA (110V-60HZ) C/KIT</v>
      </c>
      <c r="G34" s="167" t="s">
        <v>1613</v>
      </c>
      <c r="H34" s="170" t="s">
        <v>24</v>
      </c>
      <c r="I34" s="166" t="s">
        <v>25</v>
      </c>
      <c r="J34" s="166" t="s">
        <v>1007</v>
      </c>
      <c r="K34" s="175">
        <v>45974</v>
      </c>
      <c r="L34" s="178" t="s">
        <v>1614</v>
      </c>
      <c r="M34" s="178" t="s">
        <v>1615</v>
      </c>
      <c r="N34" s="167">
        <v>983370632</v>
      </c>
      <c r="O34" s="177">
        <v>36</v>
      </c>
      <c r="P34" s="166" t="s">
        <v>59</v>
      </c>
      <c r="Q34" s="166" t="s">
        <v>25</v>
      </c>
      <c r="R34" s="178"/>
      <c r="S34" s="166" t="str">
        <f t="shared" si="9"/>
        <v>001-500-000006112</v>
      </c>
      <c r="T34" s="184" t="s">
        <v>1616</v>
      </c>
      <c r="U34" s="192" t="s">
        <v>1617</v>
      </c>
    </row>
    <row r="35" spans="1:21" s="151" customFormat="1" ht="21">
      <c r="A35" s="2">
        <v>30</v>
      </c>
      <c r="B35" s="175">
        <v>45968</v>
      </c>
      <c r="C35" s="178" t="s">
        <v>1033</v>
      </c>
      <c r="D35" s="178" t="s">
        <v>1618</v>
      </c>
      <c r="E35" s="167">
        <v>41560061</v>
      </c>
      <c r="F35" s="248" t="str">
        <f t="shared" si="8"/>
        <v>HLB 830 INOX HORNO ELEC</v>
      </c>
      <c r="G35" s="167" t="s">
        <v>1619</v>
      </c>
      <c r="H35" s="170" t="s">
        <v>24</v>
      </c>
      <c r="I35" s="166" t="s">
        <v>25</v>
      </c>
      <c r="J35" s="166" t="s">
        <v>1007</v>
      </c>
      <c r="K35" s="175">
        <v>45974</v>
      </c>
      <c r="L35" s="178" t="s">
        <v>1620</v>
      </c>
      <c r="M35" s="178" t="s">
        <v>1621</v>
      </c>
      <c r="N35" s="167">
        <v>996647251</v>
      </c>
      <c r="O35" s="177">
        <v>25</v>
      </c>
      <c r="P35" s="166" t="s">
        <v>59</v>
      </c>
      <c r="Q35" s="166" t="s">
        <v>25</v>
      </c>
      <c r="R35" s="178"/>
      <c r="S35" s="166" t="str">
        <f t="shared" si="9"/>
        <v>043-905-000102238</v>
      </c>
      <c r="T35" s="184" t="s">
        <v>1622</v>
      </c>
      <c r="U35" s="192" t="s">
        <v>1623</v>
      </c>
    </row>
    <row r="36" spans="1:21" s="151" customFormat="1" ht="21">
      <c r="A36" s="2">
        <v>31</v>
      </c>
      <c r="B36" s="175">
        <v>45969</v>
      </c>
      <c r="C36" s="178" t="s">
        <v>1033</v>
      </c>
      <c r="D36" s="178" t="s">
        <v>1624</v>
      </c>
      <c r="E36" s="167">
        <v>40466241</v>
      </c>
      <c r="F36" s="248" t="str">
        <f t="shared" si="8"/>
        <v>C 9310 INOX CAMPANA (110V-60HZ) C/KIT</v>
      </c>
      <c r="G36" s="167" t="s">
        <v>1625</v>
      </c>
      <c r="H36" s="170" t="s">
        <v>24</v>
      </c>
      <c r="I36" s="166" t="s">
        <v>25</v>
      </c>
      <c r="J36" s="166" t="s">
        <v>1007</v>
      </c>
      <c r="K36" s="175">
        <v>45975</v>
      </c>
      <c r="L36" s="178" t="s">
        <v>1626</v>
      </c>
      <c r="M36" s="178" t="s">
        <v>1627</v>
      </c>
      <c r="N36" s="167">
        <v>985320347</v>
      </c>
      <c r="O36" s="177">
        <v>15</v>
      </c>
      <c r="P36" s="166" t="s">
        <v>59</v>
      </c>
      <c r="Q36" s="166" t="s">
        <v>25</v>
      </c>
      <c r="R36" s="178"/>
      <c r="S36" s="166" t="str">
        <f t="shared" si="9"/>
        <v>016-807-000281042</v>
      </c>
      <c r="T36" s="184" t="s">
        <v>1628</v>
      </c>
      <c r="U36" s="192" t="s">
        <v>1629</v>
      </c>
    </row>
    <row r="37" spans="1:21" s="151" customFormat="1" ht="21">
      <c r="A37" s="2">
        <v>32</v>
      </c>
      <c r="B37" s="175">
        <v>45972</v>
      </c>
      <c r="C37" s="178" t="s">
        <v>1067</v>
      </c>
      <c r="D37" s="178" t="s">
        <v>1675</v>
      </c>
      <c r="E37" s="167">
        <v>111000078</v>
      </c>
      <c r="F37" s="248" t="str">
        <f t="shared" si="8"/>
        <v>HLB 8400 FBK HORNO ELEC</v>
      </c>
      <c r="G37" s="167" t="s">
        <v>1670</v>
      </c>
      <c r="H37" s="170" t="s">
        <v>24</v>
      </c>
      <c r="I37" s="166" t="s">
        <v>25</v>
      </c>
      <c r="J37" s="166" t="s">
        <v>1007</v>
      </c>
      <c r="K37" s="175">
        <v>46343</v>
      </c>
      <c r="L37" s="178" t="s">
        <v>1672</v>
      </c>
      <c r="M37" s="178" t="s">
        <v>1671</v>
      </c>
      <c r="N37" s="167">
        <v>99255414</v>
      </c>
      <c r="O37" s="177">
        <v>25</v>
      </c>
      <c r="P37" s="166" t="s">
        <v>59</v>
      </c>
      <c r="Q37" s="166" t="s">
        <v>25</v>
      </c>
      <c r="R37" s="178"/>
      <c r="S37" s="166" t="str">
        <f t="shared" si="9"/>
        <v>040-103-000017264</v>
      </c>
      <c r="T37" s="184" t="s">
        <v>1673</v>
      </c>
      <c r="U37" s="192" t="s">
        <v>1674</v>
      </c>
    </row>
    <row r="38" spans="1:21" s="151" customFormat="1" ht="21">
      <c r="A38" s="2">
        <v>33</v>
      </c>
      <c r="B38" s="175">
        <v>45971</v>
      </c>
      <c r="C38" s="178" t="s">
        <v>1220</v>
      </c>
      <c r="D38" s="178" t="s">
        <v>1733</v>
      </c>
      <c r="E38" s="167">
        <v>114270004</v>
      </c>
      <c r="F38" s="248" t="str">
        <f t="shared" si="8"/>
        <v>LAVAVAJILLAS DFI 46950 120 60 WH DECO</v>
      </c>
      <c r="G38" s="167" t="s">
        <v>1734</v>
      </c>
      <c r="H38" s="170" t="s">
        <v>24</v>
      </c>
      <c r="I38" s="166" t="s">
        <v>25</v>
      </c>
      <c r="J38" s="166" t="s">
        <v>1007</v>
      </c>
      <c r="K38" s="175">
        <v>45978</v>
      </c>
      <c r="L38" s="178" t="s">
        <v>1735</v>
      </c>
      <c r="M38" s="178" t="s">
        <v>1736</v>
      </c>
      <c r="N38" s="167">
        <v>999963945</v>
      </c>
      <c r="O38" s="177">
        <v>25</v>
      </c>
      <c r="P38" s="166" t="s">
        <v>59</v>
      </c>
      <c r="Q38" s="166" t="s">
        <v>25</v>
      </c>
      <c r="R38" s="178"/>
      <c r="S38" s="166" t="str">
        <f t="shared" si="9"/>
        <v>001-001-000001522</v>
      </c>
      <c r="T38" s="184" t="s">
        <v>1737</v>
      </c>
      <c r="U38" s="192" t="s">
        <v>1738</v>
      </c>
    </row>
    <row r="39" spans="1:21" s="2" customFormat="1" ht="21">
      <c r="O39" s="247">
        <f>SUM(O6:O38)</f>
        <v>849</v>
      </c>
    </row>
  </sheetData>
  <hyperlinks>
    <hyperlink ref="U6" r:id="rId1" xr:uid="{2737E795-472C-D349-B1FF-9C8EB4CAA7FB}"/>
    <hyperlink ref="U7" r:id="rId2" xr:uid="{6028003A-408D-634F-A56C-D955894B7131}"/>
    <hyperlink ref="U8" r:id="rId3" xr:uid="{8AE68F5C-5E0D-5C40-8629-1F1B98BF708A}"/>
    <hyperlink ref="U9" r:id="rId4" xr:uid="{34A44671-4ED5-E54B-99BF-B52C454F0227}"/>
    <hyperlink ref="U10" r:id="rId5" xr:uid="{0B16E323-77E3-B348-9E4B-A7C46348A9E9}"/>
    <hyperlink ref="U11" r:id="rId6" xr:uid="{B8C4B7C4-9C47-6347-877E-D33826880307}"/>
    <hyperlink ref="U12" r:id="rId7" xr:uid="{0B7A19C1-5C3E-554A-9A67-148810A4D500}"/>
    <hyperlink ref="U13" r:id="rId8" xr:uid="{FD21D70A-2074-6D44-B69C-A692A320E115}"/>
    <hyperlink ref="U14" r:id="rId9" xr:uid="{7B248AA6-A285-F04B-9195-BD232D05A0CF}"/>
    <hyperlink ref="U15" r:id="rId10" xr:uid="{2E06A00A-B039-F949-86B2-31C2B14E55AD}"/>
    <hyperlink ref="U16" r:id="rId11" xr:uid="{E380392E-6E67-8749-96FD-C2F2E7C0AF0F}"/>
    <hyperlink ref="U17" r:id="rId12" xr:uid="{FC99DEA3-F30F-CB4A-A474-0B62CAAF35A2}"/>
    <hyperlink ref="U18" r:id="rId13" xr:uid="{0B2328F7-7511-C344-8ED8-06623B82E3C8}"/>
    <hyperlink ref="U19" r:id="rId14" xr:uid="{C4F6EB47-E365-C548-96CC-269AA30A5A66}"/>
    <hyperlink ref="U20" r:id="rId15" xr:uid="{09B46F6F-0DBB-D945-88C0-1311692E1C06}"/>
    <hyperlink ref="U21" r:id="rId16" xr:uid="{46E8ED5F-0743-9B49-8F8A-AED6D2487447}"/>
    <hyperlink ref="U23" r:id="rId17" xr:uid="{3B330487-6D3F-B347-9D7E-10A63CFBB9EF}"/>
    <hyperlink ref="U24" r:id="rId18" xr:uid="{C585894F-5684-BD43-A905-98E7D1DA0F58}"/>
    <hyperlink ref="U25" r:id="rId19" xr:uid="{F9B309C4-5444-BC43-AA51-D5353F063AA5}"/>
    <hyperlink ref="U26" r:id="rId20" xr:uid="{2C5E183E-1A79-6947-8C66-E5A93BCEC2EE}"/>
    <hyperlink ref="U28" r:id="rId21" xr:uid="{1DF42881-8826-284B-86B3-7F2274A67DEC}"/>
    <hyperlink ref="U29" r:id="rId22" xr:uid="{5D5C0353-1F70-7548-88D1-5EC9E2BAAA1B}"/>
    <hyperlink ref="U30" r:id="rId23" xr:uid="{3753CBDB-3C05-CB4C-85C0-7C21497C92BB}"/>
    <hyperlink ref="U31" r:id="rId24" xr:uid="{896EA397-1ABD-6845-B141-D13CEF8D0AE2}"/>
    <hyperlink ref="U32" r:id="rId25" xr:uid="{B787C869-6E4B-3D4A-B183-BAAAD07C1194}"/>
    <hyperlink ref="U33" r:id="rId26" xr:uid="{B362BFCC-94F3-054C-9DE3-F82A75558CEB}"/>
    <hyperlink ref="U34" r:id="rId27" xr:uid="{E0225BD0-07D9-9046-8CA0-F5B918910C9A}"/>
    <hyperlink ref="U35" r:id="rId28" xr:uid="{E7B27967-A42C-B643-B796-E1C161A4A2F2}"/>
    <hyperlink ref="U36" r:id="rId29" xr:uid="{B49D563D-8064-4E46-A7ED-409B153675D3}"/>
    <hyperlink ref="U37" r:id="rId30" xr:uid="{5648C8D7-522D-BE4A-B058-870D59FD01BF}"/>
    <hyperlink ref="U38" r:id="rId31" xr:uid="{FADD8FFB-CBCD-E444-B229-8A5698B9BC62}"/>
  </hyperlinks>
  <pageMargins left="0.7" right="0.7" top="0.75" bottom="0.75" header="0.3" footer="0.3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GARANTIAS</vt:lpstr>
      <vt:lpstr>PROMOCION</vt:lpstr>
      <vt:lpstr>BBQ</vt:lpstr>
      <vt:lpstr>BASE </vt:lpstr>
      <vt:lpstr>ALMACEN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2026-07-01T19:54:56Z</dcterms:modified>
</cp:coreProperties>
</file>