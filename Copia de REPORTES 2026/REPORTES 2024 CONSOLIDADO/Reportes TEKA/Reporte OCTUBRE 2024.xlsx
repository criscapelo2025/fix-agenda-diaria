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13_ncr:1_{76919660-0D94-0441-9CCC-0ECF7160507C}" xr6:coauthVersionLast="47" xr6:coauthVersionMax="47" xr10:uidLastSave="{00000000-0000-0000-0000-000000000000}"/>
  <bookViews>
    <workbookView xWindow="0" yWindow="500" windowWidth="44800" windowHeight="23000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3" l="1"/>
  <c r="N21" i="2"/>
  <c r="O94" i="1"/>
  <c r="O25" i="6"/>
  <c r="M95" i="1" l="1"/>
  <c r="M97" i="1" l="1"/>
  <c r="M96" i="1"/>
  <c r="M98" i="1" l="1"/>
</calcChain>
</file>

<file path=xl/sharedStrings.xml><?xml version="1.0" encoding="utf-8"?>
<sst xmlns="http://schemas.openxmlformats.org/spreadsheetml/2006/main" count="1667" uniqueCount="536">
  <si>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</si>
  <si>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</si>
  <si>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</si>
  <si>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</si>
  <si>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</si>
  <si>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</si>
  <si>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</si>
  <si>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</si>
  <si>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</si>
  <si>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</si>
  <si>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</si>
  <si>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</si>
  <si>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</si>
  <si>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</si>
  <si>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</si>
  <si>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</si>
  <si>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</si>
  <si>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</si>
  <si>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</si>
  <si>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</si>
  <si>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</si>
  <si>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</si>
  <si>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</si>
  <si>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</si>
  <si>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</si>
  <si>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</si>
  <si>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</si>
  <si>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</si>
  <si>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</si>
  <si>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</si>
  <si>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</si>
  <si>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</si>
  <si>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</si>
  <si>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</si>
  <si>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</si>
  <si>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</si>
  <si>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</si>
  <si>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</si>
  <si>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</si>
  <si>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</si>
  <si>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</si>
  <si>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</si>
  <si>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</si>
  <si>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</si>
  <si>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</si>
  <si>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</si>
  <si>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</si>
  <si>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</si>
  <si>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</si>
  <si>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</si>
  <si>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</si>
  <si>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Cliente Final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</si>
  <si>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</si>
  <si>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</si>
  <si>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</si>
  <si>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</si>
  <si>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</si>
  <si>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</si>
  <si>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</si>
  <si>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</si>
  <si>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</si>
  <si>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</si>
  <si>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</si>
  <si>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</si>
  <si>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</si>
  <si>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</si>
  <si>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</si>
  <si>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</si>
  <si>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</si>
  <si>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</si>
  <si>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</si>
  <si>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</si>
  <si>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</si>
  <si>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</si>
  <si>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</si>
  <si>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</si>
  <si>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</si>
  <si>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Comercial Solis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</si>
  <si>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</si>
  <si>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</si>
  <si>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</si>
  <si>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</si>
  <si>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</si>
  <si>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</si>
  <si>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</si>
  <si>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 xml:space="preserve"> </t>
  </si>
  <si>
    <t>Capelo Septiembre 2024</t>
  </si>
  <si>
    <t>Sukasa</t>
  </si>
  <si>
    <t>Horno HLB 8416 BK</t>
  </si>
  <si>
    <t xml:space="preserve">Boyaca </t>
  </si>
  <si>
    <t>Horno HLB 8510 P BK</t>
  </si>
  <si>
    <t>Campana GFH 73</t>
  </si>
  <si>
    <t>Microondas ML 822 BIS L</t>
  </si>
  <si>
    <t>Mercard</t>
  </si>
  <si>
    <t>San Joaquin</t>
  </si>
  <si>
    <t>Luna Pazmiño</t>
  </si>
  <si>
    <t>Campana DVN 94030 TCL BK</t>
  </si>
  <si>
    <t>Horno HSB 646 SS</t>
  </si>
  <si>
    <t>Campana DLH 982 T</t>
  </si>
  <si>
    <t>Horno HSB 630 BK</t>
  </si>
  <si>
    <t>Chaullabamba</t>
  </si>
  <si>
    <t>Microondas ML 820 BIS</t>
  </si>
  <si>
    <t>Vinera RVF 10032 GBK</t>
  </si>
  <si>
    <t>Cocina IZF 99700 MST BK</t>
  </si>
  <si>
    <t>001-101-000003382</t>
  </si>
  <si>
    <t>Juan Alvarez</t>
  </si>
  <si>
    <t>Cocina IZC 64010 MSS BK</t>
  </si>
  <si>
    <t>Cocina GZC 95320 XBB</t>
  </si>
  <si>
    <t>Cocina GBC 64000 KBB</t>
  </si>
  <si>
    <t>SEPTIEMBRE 2024</t>
  </si>
  <si>
    <t>Ricaurte</t>
  </si>
  <si>
    <t>CAPELO OCTUBRE 2024</t>
  </si>
  <si>
    <t>Octubre 2024</t>
  </si>
  <si>
    <t>Al 20 de OCTUBRE del 2024</t>
  </si>
  <si>
    <t xml:space="preserve">CAPELO OCTUBRE 2024 </t>
  </si>
  <si>
    <t>CAPELO - OCTUBRE 2024</t>
  </si>
  <si>
    <t>ZP242P00730</t>
  </si>
  <si>
    <t>facturaspedroc@gmail.com</t>
  </si>
  <si>
    <t>Campana CC 480 ISLA</t>
  </si>
  <si>
    <t>PX241J00028</t>
  </si>
  <si>
    <t>24-03-204</t>
  </si>
  <si>
    <t>KYWI</t>
  </si>
  <si>
    <t>016-902-000459205</t>
  </si>
  <si>
    <t>Cocina JZC 96342 BBB</t>
  </si>
  <si>
    <t>ZP23C700696</t>
  </si>
  <si>
    <t>Wilton Solis</t>
  </si>
  <si>
    <t>Parque de la Libertad</t>
  </si>
  <si>
    <t>wiltonsolito76@hotmail.com</t>
  </si>
  <si>
    <t>TZ241K18270</t>
  </si>
  <si>
    <t>TP241Q04922</t>
  </si>
  <si>
    <t>040-105-000001655</t>
  </si>
  <si>
    <t>ZP23BA00052</t>
  </si>
  <si>
    <t>Octavio Carrasco</t>
  </si>
  <si>
    <t>Microondas MS 622 BIS L</t>
  </si>
  <si>
    <t>TP235CO9548</t>
  </si>
  <si>
    <t>TZ24C12447</t>
  </si>
  <si>
    <t>PX23BP00531</t>
  </si>
  <si>
    <t>007-006-000129517</t>
  </si>
  <si>
    <t>TP231P00686</t>
  </si>
  <si>
    <t>Andres León</t>
  </si>
  <si>
    <t>Vainilla y la Pimienta</t>
  </si>
  <si>
    <t>andleo83@gmail.com</t>
  </si>
  <si>
    <t>totocarrasco12@hotmail.com</t>
  </si>
  <si>
    <t>Horno HLD 890 SS</t>
  </si>
  <si>
    <t>TZ224K1842</t>
  </si>
  <si>
    <t>TP245D01162</t>
  </si>
  <si>
    <t>ZP243C00518</t>
  </si>
  <si>
    <t>27-12-2-23</t>
  </si>
  <si>
    <t>Vtoria Hogar</t>
  </si>
  <si>
    <t>001-002-000003839</t>
  </si>
  <si>
    <t>PX23BP00533</t>
  </si>
  <si>
    <t>Pablo Abril</t>
  </si>
  <si>
    <t>Prado Alto</t>
  </si>
  <si>
    <t>joajara@gmail.com</t>
  </si>
  <si>
    <t>Horno HLB 830 SS</t>
  </si>
  <si>
    <t>TZ243134573</t>
  </si>
  <si>
    <t>043-903-000030468</t>
  </si>
  <si>
    <t>TZ243604729</t>
  </si>
  <si>
    <t>Manuel Molina</t>
  </si>
  <si>
    <t>Gualaceo</t>
  </si>
  <si>
    <t>mmolinau00@gmail.com</t>
  </si>
  <si>
    <t>TP245L01869</t>
  </si>
  <si>
    <t>034-107-000024314</t>
  </si>
  <si>
    <t>TP241Q04832</t>
  </si>
  <si>
    <t>Giovanni Norero</t>
  </si>
  <si>
    <t>Edf. Ager</t>
  </si>
  <si>
    <t>001-017-000156063</t>
  </si>
  <si>
    <t>gnorero@outlook.com</t>
  </si>
  <si>
    <t>TZ241Q23696</t>
  </si>
  <si>
    <t>ZP241900007</t>
  </si>
  <si>
    <t>036-904-000152662</t>
  </si>
  <si>
    <t>ZP23C101487</t>
  </si>
  <si>
    <t>Decosa Cia Ltda.</t>
  </si>
  <si>
    <t>Mariscal Sucre y Presidente Borrero</t>
  </si>
  <si>
    <t>supervisor1@empresencia.com</t>
  </si>
  <si>
    <t>Horno HBB 535 SS</t>
  </si>
  <si>
    <t>TZ244K20837</t>
  </si>
  <si>
    <t>TP243L04602</t>
  </si>
  <si>
    <t>043-902-000025650</t>
  </si>
  <si>
    <t>TP2415S07365</t>
  </si>
  <si>
    <t>Juan Ordoñez</t>
  </si>
  <si>
    <t>juanpabloordoñezf@gmail.com</t>
  </si>
  <si>
    <t>Cocina JZC 96324 ABB</t>
  </si>
  <si>
    <t>ZP23C700691</t>
  </si>
  <si>
    <t>001-501-000001979</t>
  </si>
  <si>
    <t>ZP23C700664</t>
  </si>
  <si>
    <t xml:space="preserve">David Encalada </t>
  </si>
  <si>
    <t>El Alto</t>
  </si>
  <si>
    <t>belen_jerves@hotmail.com</t>
  </si>
  <si>
    <t>YH243V00039</t>
  </si>
  <si>
    <t>EK241B00022</t>
  </si>
  <si>
    <t>TZ241304036</t>
  </si>
  <si>
    <t>002-101-000100170</t>
  </si>
  <si>
    <t>Horno HBS 750 G LPGE</t>
  </si>
  <si>
    <t>ZP241X00227</t>
  </si>
  <si>
    <t>Angel Mejia</t>
  </si>
  <si>
    <t>zoilamejiasaca@gmail.com</t>
  </si>
  <si>
    <t>Cocina GBC 64-61 GBA BM</t>
  </si>
  <si>
    <t>TZ243D12631</t>
  </si>
  <si>
    <t>Macro Ofertas</t>
  </si>
  <si>
    <t>001-101-000003280</t>
  </si>
  <si>
    <t>TP242209379</t>
  </si>
  <si>
    <t>Constructora OCQ</t>
  </si>
  <si>
    <t>orellanaconstructores</t>
  </si>
  <si>
    <t>tp232a09656</t>
  </si>
  <si>
    <t>001-500-000066509</t>
  </si>
  <si>
    <t>EK243M00011</t>
  </si>
  <si>
    <t>Nancy Alvarado</t>
  </si>
  <si>
    <t>arevalop242@gmail.com</t>
  </si>
  <si>
    <t>Horno HLB 760 GSS</t>
  </si>
  <si>
    <t>TZ246502745</t>
  </si>
  <si>
    <t>001-001-000000020</t>
  </si>
  <si>
    <t>TZ244J19360</t>
  </si>
  <si>
    <t>Yamara Gallegos</t>
  </si>
  <si>
    <t>Edf. Lope de Vega</t>
  </si>
  <si>
    <t>yamaraygh@yahoo.com</t>
  </si>
  <si>
    <t>Campana NC 980</t>
  </si>
  <si>
    <t>PX22LB00059</t>
  </si>
  <si>
    <t>ZP243E00235</t>
  </si>
  <si>
    <t>Cafetera CLC 85-61 GM BM MX</t>
  </si>
  <si>
    <t>272122AP24052780053</t>
  </si>
  <si>
    <t>Microondas ML 82-61 BIS L</t>
  </si>
  <si>
    <t>TP242E02645</t>
  </si>
  <si>
    <t>Gustavo Moscoso</t>
  </si>
  <si>
    <t>Zumbahuayco</t>
  </si>
  <si>
    <t>001-500-000066850</t>
  </si>
  <si>
    <t>Horno HSB 610 BK</t>
  </si>
  <si>
    <t>TZ243T28344</t>
  </si>
  <si>
    <t>Fernanda Garcia</t>
  </si>
  <si>
    <t>Totoracocha</t>
  </si>
  <si>
    <t>dianafergarcia13@gmail.com</t>
  </si>
  <si>
    <t>Campana C 7310</t>
  </si>
  <si>
    <t>TP243M07146</t>
  </si>
  <si>
    <t>043-905-000012488</t>
  </si>
  <si>
    <t>Microondas MLH 845 SS</t>
  </si>
  <si>
    <t>Juan Guzman</t>
  </si>
  <si>
    <t>Giron</t>
  </si>
  <si>
    <t>sebastian@hotmail.com</t>
  </si>
  <si>
    <t>Cocina FS3 RS 966GGX</t>
  </si>
  <si>
    <t>Refrigeradora RLF 74920 SS</t>
  </si>
  <si>
    <t>MC234K00013</t>
  </si>
  <si>
    <t>Refrigeradora RFD 77820 GBK</t>
  </si>
  <si>
    <t>MC234D00014</t>
  </si>
  <si>
    <t>Mayra Matute</t>
  </si>
  <si>
    <t>010473614-5</t>
  </si>
  <si>
    <t>mayra_7mi@hotmail.com</t>
  </si>
  <si>
    <t>Lavavajillas DFI 46950</t>
  </si>
  <si>
    <t>AW233800585</t>
  </si>
  <si>
    <t>Lavavajillas DW8 57 FIM-D</t>
  </si>
  <si>
    <t>MD247L00369</t>
  </si>
  <si>
    <t>Home Vega</t>
  </si>
  <si>
    <t>006-000156785</t>
  </si>
  <si>
    <t>ZP243D00621</t>
  </si>
  <si>
    <t>Santiago Cuenca</t>
  </si>
  <si>
    <t>Av. Del Tejar</t>
  </si>
  <si>
    <t>TZ247202312</t>
  </si>
  <si>
    <t>TP232702673</t>
  </si>
  <si>
    <t>016-907-000205905</t>
  </si>
  <si>
    <t>Cocina GBC 95030 KBB</t>
  </si>
  <si>
    <t>ZP241R00381</t>
  </si>
  <si>
    <t>Oswaldo Coronel</t>
  </si>
  <si>
    <t>Condominio La Joya</t>
  </si>
  <si>
    <t>coroneloswaldo26@gmail.com</t>
  </si>
  <si>
    <t>ZP241R00385</t>
  </si>
  <si>
    <t>043-901-000011095</t>
  </si>
  <si>
    <t>Cocina GBC 95320 XBB</t>
  </si>
  <si>
    <t>ZP242500180</t>
  </si>
  <si>
    <t>Walter Lopez</t>
  </si>
  <si>
    <t>Hernando Pablos Universidad Catolica</t>
  </si>
  <si>
    <t>alejosantander11@gmail.com</t>
  </si>
  <si>
    <t>Microondas MWG 14X</t>
  </si>
  <si>
    <t>MW243T02189</t>
  </si>
  <si>
    <t>Campana C910</t>
  </si>
  <si>
    <t>TP244W02673</t>
  </si>
  <si>
    <t>21-09-2-24</t>
  </si>
  <si>
    <t>001-500-000066605</t>
  </si>
  <si>
    <t>TP243607359</t>
  </si>
  <si>
    <t>Priscila Reinoso</t>
  </si>
  <si>
    <t>Edf. San Francisco</t>
  </si>
  <si>
    <t>dxavicofm86@hotmail.com</t>
  </si>
  <si>
    <t>ZP23C101496</t>
  </si>
  <si>
    <t>MD247L00265</t>
  </si>
  <si>
    <t>Pedro Cabrera</t>
  </si>
  <si>
    <t>MD247L00250</t>
  </si>
  <si>
    <t>MD247 L00248</t>
  </si>
  <si>
    <t>Franklin Robalino</t>
  </si>
  <si>
    <t>Sucre 16-73 y Miguel Heredia</t>
  </si>
  <si>
    <t>fgrobalino23@gmail.com</t>
  </si>
  <si>
    <t>006-000155654</t>
  </si>
  <si>
    <t>Cocina IZC 97630 MST BK</t>
  </si>
  <si>
    <t>ZP241C00399</t>
  </si>
  <si>
    <t>Wladimir Reyes</t>
  </si>
  <si>
    <t>Charasol</t>
  </si>
  <si>
    <t>chelita-reyes@hotmail.com</t>
  </si>
  <si>
    <t>MC234D00066</t>
  </si>
  <si>
    <t>Horno HLB8416</t>
  </si>
  <si>
    <t>TZ241405191</t>
  </si>
  <si>
    <t>TP231P00557</t>
  </si>
  <si>
    <t>001-101-000003419</t>
  </si>
  <si>
    <t>043-906-000030984</t>
  </si>
  <si>
    <t>PX241J00029</t>
  </si>
  <si>
    <t>Paulina Sempertegui</t>
  </si>
  <si>
    <t>paulisemperteguiv@hotmail.com</t>
  </si>
  <si>
    <t>Cocina GBC 75030 KBB</t>
  </si>
  <si>
    <t>ZP245H00569</t>
  </si>
  <si>
    <t>Horno HBB 510 BK</t>
  </si>
  <si>
    <t>TZ244525031</t>
  </si>
  <si>
    <t>MW243T01930</t>
  </si>
  <si>
    <t>TP242209393</t>
  </si>
  <si>
    <t>Geovanny Roura</t>
  </si>
  <si>
    <t>Edif. Horizonte</t>
  </si>
  <si>
    <t>orellanaconstructores@hotmail.com</t>
  </si>
  <si>
    <t>TP232A09628</t>
  </si>
  <si>
    <t>016-907-000222650</t>
  </si>
  <si>
    <t>Campana C9310</t>
  </si>
  <si>
    <t>TP241W02583</t>
  </si>
  <si>
    <t>Rosendo Espinoza</t>
  </si>
  <si>
    <t>Chiquintad</t>
  </si>
  <si>
    <t>006-000156655</t>
  </si>
  <si>
    <t>Cocina GZC 75330 XBB</t>
  </si>
  <si>
    <t>ZP246K00166</t>
  </si>
  <si>
    <t>Miriam Galarza</t>
  </si>
  <si>
    <t>Francisco Aguilar y Leopoldo Davila</t>
  </si>
  <si>
    <t>Horno HSB 615</t>
  </si>
  <si>
    <t>TZ244R23254</t>
  </si>
  <si>
    <t>TP242C00749</t>
  </si>
  <si>
    <t>016-907-0000217186</t>
  </si>
  <si>
    <t>Campana  DPL ISLA 1180</t>
  </si>
  <si>
    <t>PX246M0005</t>
  </si>
  <si>
    <t>Vanessa Caja</t>
  </si>
  <si>
    <t>El Cebollar</t>
  </si>
  <si>
    <t>Cocina GZC 96310 XBB</t>
  </si>
  <si>
    <t>ZP242700255</t>
  </si>
  <si>
    <t>TZ243102708</t>
  </si>
  <si>
    <t>TP21AL00432</t>
  </si>
  <si>
    <t>ZP244800208</t>
  </si>
  <si>
    <t>043-902-000022733</t>
  </si>
  <si>
    <t>TP241H05538</t>
  </si>
  <si>
    <t>Antonio Molina</t>
  </si>
  <si>
    <t>lucasantoniomolina@gmail.com</t>
  </si>
  <si>
    <t>ZP244900235</t>
  </si>
  <si>
    <t>001-500-000065156</t>
  </si>
  <si>
    <t>ZP243U00086</t>
  </si>
  <si>
    <t>Kamila Molina</t>
  </si>
  <si>
    <t>Jardines de Balzay</t>
  </si>
  <si>
    <t>kamila.molinaorellana@gmail.com</t>
  </si>
  <si>
    <t>Campana C710</t>
  </si>
  <si>
    <t>T242N07993</t>
  </si>
  <si>
    <t>MW243T01924</t>
  </si>
  <si>
    <t>Cristian Capelo</t>
  </si>
  <si>
    <t>Solicitud de Cambio de Producto</t>
  </si>
  <si>
    <t>Cocina AFF 87601 MST BK</t>
  </si>
  <si>
    <t>ZP23BM00336</t>
  </si>
  <si>
    <t>Fernando Silva</t>
  </si>
  <si>
    <t>Tarjetas Presentan Corto Circuitos</t>
  </si>
  <si>
    <t>nando_silva54@hotmail.com</t>
  </si>
  <si>
    <t>043-902-000011394</t>
  </si>
  <si>
    <t>04059083500MW233012179</t>
  </si>
  <si>
    <t>Jorge Mejia</t>
  </si>
  <si>
    <t>Se cambia Micro swich</t>
  </si>
  <si>
    <t>jorgemejiatkd130377@hotmail.com</t>
  </si>
  <si>
    <t>001-501-000049680</t>
  </si>
  <si>
    <t>ZP23A600808</t>
  </si>
  <si>
    <t>Susana Almeida</t>
  </si>
  <si>
    <t>Cambio de Producto e instalación</t>
  </si>
  <si>
    <t>susyalmeida05@hotmail.com</t>
  </si>
  <si>
    <t>016-906-000102461</t>
  </si>
  <si>
    <t>TP233M03034</t>
  </si>
  <si>
    <t>Domenica Alvarado</t>
  </si>
  <si>
    <t>dome_2407@hotmail.com</t>
  </si>
  <si>
    <t>001-101-000002813</t>
  </si>
  <si>
    <t>Aspas de Motor Ventilador TMW 18P. VR01</t>
  </si>
  <si>
    <t>Microondas MS 620 BIS</t>
  </si>
  <si>
    <t>TP23CF08438</t>
  </si>
  <si>
    <t>Juan Avilles</t>
  </si>
  <si>
    <t>Reemplazo Repuesto</t>
  </si>
  <si>
    <t>avilez.juan1989@gmail.com</t>
  </si>
  <si>
    <t>001-500-000060902</t>
  </si>
  <si>
    <t>Porta+Inyector 0,60 mm semirapido gbc 64000 KBB</t>
  </si>
  <si>
    <t>Cocin GBC 75G1GBABM</t>
  </si>
  <si>
    <t>ZP226A00004</t>
  </si>
  <si>
    <t>ZP23BW00545</t>
  </si>
  <si>
    <t>Jennifer Valdiviezo</t>
  </si>
  <si>
    <t>jeniffervaldivieso@gmail.com</t>
  </si>
  <si>
    <t>Terminal motor desconectado</t>
  </si>
  <si>
    <t>Campana C 9310</t>
  </si>
  <si>
    <t>TP3AG00189</t>
  </si>
  <si>
    <t>Maria Encarnación Balboa</t>
  </si>
  <si>
    <t>Terminal desconectado</t>
  </si>
  <si>
    <t>nancyhue14@gmail.com</t>
  </si>
  <si>
    <t>001-100-000105097</t>
  </si>
  <si>
    <t>Toch Control DVT</t>
  </si>
  <si>
    <t>Campana DVT 88660 TRL</t>
  </si>
  <si>
    <t>PX21BR00044</t>
  </si>
  <si>
    <t>Juan Palacios Toledo</t>
  </si>
  <si>
    <t>Mandos no responde se reemplaza repuesto</t>
  </si>
  <si>
    <t>caty.palacios140@gmail.com</t>
  </si>
  <si>
    <t>001-500-000047487</t>
  </si>
  <si>
    <t xml:space="preserve">Encoder </t>
  </si>
  <si>
    <t>TP208A00064</t>
  </si>
  <si>
    <t>Maria Augusta Espinoza</t>
  </si>
  <si>
    <t>Puerta Se abre sola se reemplaza repuesto</t>
  </si>
  <si>
    <t>mariaaugustaespinoza@gmail.com</t>
  </si>
  <si>
    <t>002-103-000004433</t>
  </si>
  <si>
    <t>CO225R00955</t>
  </si>
  <si>
    <t>Mariscal Lamar</t>
  </si>
  <si>
    <t>ventas@comercialsolis.com.ec</t>
  </si>
  <si>
    <t>001-001-000000156</t>
  </si>
  <si>
    <t>CO217A00988</t>
  </si>
  <si>
    <t>Fernando Ordoñez</t>
  </si>
  <si>
    <t>Monay</t>
  </si>
  <si>
    <t>fernandordex@gmail.com</t>
  </si>
  <si>
    <t>040-104-000005474</t>
  </si>
  <si>
    <t>40446702</t>
  </si>
  <si>
    <t>Campana GFH 55</t>
  </si>
  <si>
    <t>TP23A404891</t>
  </si>
  <si>
    <t>Monserrat Guerrero</t>
  </si>
  <si>
    <t>Tres Puentes</t>
  </si>
  <si>
    <t>monseguerrero@hotmail.com</t>
  </si>
  <si>
    <t>Boyaca</t>
  </si>
  <si>
    <t>007-006-000130334</t>
  </si>
  <si>
    <t>TP245V02366</t>
  </si>
  <si>
    <t>Deysi Puma</t>
  </si>
  <si>
    <t>Cdla Kennedy</t>
  </si>
  <si>
    <t>daysitam@gmail.com</t>
  </si>
  <si>
    <t>kywi</t>
  </si>
  <si>
    <t>043-906-000029093</t>
  </si>
  <si>
    <t>40467320</t>
  </si>
  <si>
    <t>40467305</t>
  </si>
  <si>
    <t>Campana C7310</t>
  </si>
  <si>
    <t>TP242L05063</t>
  </si>
  <si>
    <t>Ney Garcia</t>
  </si>
  <si>
    <t>Condominio La Pradera</t>
  </si>
  <si>
    <t>angelafo@gmail.com</t>
  </si>
  <si>
    <t>040-101-000000340</t>
  </si>
  <si>
    <t>112570126</t>
  </si>
  <si>
    <t>ZP23BG00170</t>
  </si>
  <si>
    <t>0415058</t>
  </si>
  <si>
    <t>Paul Villavicencio</t>
  </si>
  <si>
    <t>040-103-000008308</t>
  </si>
  <si>
    <t>40297052</t>
  </si>
  <si>
    <t>Cocina FS3RL 966 GXX</t>
  </si>
  <si>
    <t>Bertha Zhingri</t>
  </si>
  <si>
    <t>Tarqui 6-38 y Calle Larga</t>
  </si>
  <si>
    <t>006-002-000156757</t>
  </si>
  <si>
    <t>TP246L07989</t>
  </si>
  <si>
    <t>Cecilia Iñiguez</t>
  </si>
  <si>
    <t>Condominio Vista Valle</t>
  </si>
  <si>
    <t>cecilia_63@hotmail.com</t>
  </si>
  <si>
    <t>043-906-000029157</t>
  </si>
  <si>
    <t>12620016</t>
  </si>
  <si>
    <t>Cocina HLX 640 KIB</t>
  </si>
  <si>
    <t>ZP227P00044</t>
  </si>
  <si>
    <t>Juan Avila</t>
  </si>
  <si>
    <t>japgloria@yahoo.com</t>
  </si>
  <si>
    <t>006-000154418</t>
  </si>
  <si>
    <t>112580017</t>
  </si>
  <si>
    <t>ZP234500350</t>
  </si>
  <si>
    <t>0400431</t>
  </si>
  <si>
    <t>Paulina Alin</t>
  </si>
  <si>
    <t>Edificio Orizzonte</t>
  </si>
  <si>
    <t>pvickalin@gmail.com</t>
  </si>
  <si>
    <t>040-103-000007994</t>
  </si>
  <si>
    <t>40446712</t>
  </si>
  <si>
    <t>TP2422209342</t>
  </si>
  <si>
    <t>Cristina Almeida</t>
  </si>
  <si>
    <t>rabt92@hotmail.com</t>
  </si>
  <si>
    <t>001-500-000066593</t>
  </si>
  <si>
    <t>112950021</t>
  </si>
  <si>
    <t>EK243M00023</t>
  </si>
  <si>
    <t>Josue Arevalo</t>
  </si>
  <si>
    <t>Jacinto Jijon y Caamaño 9-37</t>
  </si>
  <si>
    <t>001-001-00000186</t>
  </si>
  <si>
    <t>ZP244900173</t>
  </si>
  <si>
    <t>Segundo Lituma</t>
  </si>
  <si>
    <t>diego-andres89@yahoo.com</t>
  </si>
  <si>
    <t>gabrielaf.orellana@gmail.com</t>
  </si>
  <si>
    <t>001-500-000067060</t>
  </si>
  <si>
    <t>112580027</t>
  </si>
  <si>
    <t>ZP245H00523</t>
  </si>
  <si>
    <t>Luis Quezada</t>
  </si>
  <si>
    <t>Alberto Palacios</t>
  </si>
  <si>
    <t>administracion@pinfre.com</t>
  </si>
  <si>
    <t>040-103-000008824</t>
  </si>
  <si>
    <t>ZP245800126</t>
  </si>
  <si>
    <t>Karina Campos</t>
  </si>
  <si>
    <t>karina7891@hotmail.com</t>
  </si>
  <si>
    <t>002-201-00000057</t>
  </si>
  <si>
    <t>TP245U02414</t>
  </si>
  <si>
    <t>Narcisa Cedillo</t>
  </si>
  <si>
    <t>Buenos Aires Sayausi</t>
  </si>
  <si>
    <t>001-500-000067084</t>
  </si>
  <si>
    <t>ZP245H00528</t>
  </si>
  <si>
    <t>Bertha Guiracocha</t>
  </si>
  <si>
    <t>berthguiracocha76@hotmail.com</t>
  </si>
  <si>
    <t>001-500-000066179</t>
  </si>
  <si>
    <t>112510036</t>
  </si>
  <si>
    <t>Cocina IZC 32310 MSP BK</t>
  </si>
  <si>
    <t>ZP245200294</t>
  </si>
  <si>
    <t>Patricio Fernandez</t>
  </si>
  <si>
    <t>Sangurima y Vargas Machuca</t>
  </si>
  <si>
    <t>Edificio Central</t>
  </si>
  <si>
    <t>patofertorres@gmail.com</t>
  </si>
  <si>
    <t>043-906-000031928</t>
  </si>
  <si>
    <t>40487192</t>
  </si>
  <si>
    <t>Campana DHL 982 T</t>
  </si>
  <si>
    <t>TP241507401</t>
  </si>
  <si>
    <t>Adriana Ordoñez</t>
  </si>
  <si>
    <t>adrianaordoñezmolina@hotmail.com</t>
  </si>
  <si>
    <t>043-904-00041903</t>
  </si>
  <si>
    <t>111010041</t>
  </si>
  <si>
    <t>TZ241R25453</t>
  </si>
  <si>
    <t>Anita Yanaez</t>
  </si>
  <si>
    <t>El Paraiso</t>
  </si>
  <si>
    <t>043-904-000041903</t>
  </si>
  <si>
    <t>anipau_yanez@hotmail.com</t>
  </si>
  <si>
    <t>001-500-000064266</t>
  </si>
  <si>
    <t>112500048</t>
  </si>
  <si>
    <t>Cocina IZS 97630 MST BK</t>
  </si>
  <si>
    <t>ZP227L00043</t>
  </si>
  <si>
    <t>Liliana Verdugo</t>
  </si>
  <si>
    <t>elyvp17@hotmail.com</t>
  </si>
  <si>
    <t>016-902-000480267</t>
  </si>
  <si>
    <t>016-902-000480007</t>
  </si>
  <si>
    <t>Micro monitor MW 20 BLANCO</t>
  </si>
  <si>
    <t>Tornillos Flojos</t>
  </si>
  <si>
    <t>Conector Tarjeta Touch, Falso Contacto</t>
  </si>
  <si>
    <t>Falla en la Puerta</t>
  </si>
  <si>
    <t>006-002-000155669</t>
  </si>
  <si>
    <t>Horno se Apaga, Calibracion Flama</t>
  </si>
  <si>
    <t>016-906-000102401</t>
  </si>
  <si>
    <t>Cocina GSC 96320 SBA LX</t>
  </si>
  <si>
    <t>ZP242100627</t>
  </si>
  <si>
    <t>Cho Wan Hee</t>
  </si>
  <si>
    <t>Racar</t>
  </si>
  <si>
    <t>wan2good@naver.com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</si>
</sst>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6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3"/>
      <color rgb="FF000000"/>
      <name val="Calibri"/>
      <family val="2"/>
    </font>
    <font>
      <u/>
      <sz val="13"/>
      <color rgb="FF15608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9" fillId="0" borderId="0"/>
    <xf numFmtId="0" fontId="9" fillId="2" borderId="0">
      <alignment horizontal="left"/>
    </xf>
    <xf numFmtId="0" fontId="1" fillId="0" borderId="0"/>
    <xf numFmtId="0" fontId="2" fillId="0" borderId="0" applyNumberForma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167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" fillId="0" borderId="0"/>
    <xf numFmtId="43" fontId="24" fillId="0" borderId="0" applyFont="0" applyFill="0" applyBorder="0" applyAlignment="0" applyProtection="0"/>
    <xf numFmtId="0" fontId="46" fillId="0" borderId="0"/>
    <xf numFmtId="0" fontId="24" fillId="0" borderId="0"/>
    <xf numFmtId="0" fontId="1" fillId="0" borderId="0"/>
    <xf numFmtId="0" fontId="2" fillId="0" borderId="0" applyNumberFormat="0" applyFill="0" applyBorder="0" applyAlignment="0" applyProtection="0"/>
    <xf numFmtId="0" fontId="24" fillId="0" borderId="0"/>
    <xf numFmtId="0" fontId="9" fillId="0" borderId="0"/>
  </cellStyleXfs>
  <cellXfs count="252">
    <xf numFmtId="0" fontId="0" fillId="0" borderId="0" xfId="0"/>
    <xf numFmtId="0" fontId="3" fillId="0" borderId="0" xfId="0" applyFont="1" applyAlignment="1">
      <alignment horizontal="right"/>
    </xf>
    <xf numFmtId="4" fontId="4" fillId="0" borderId="0" xfId="0" applyNumberFormat="1" applyFont="1"/>
    <xf numFmtId="0" fontId="5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1" fontId="0" fillId="0" borderId="0" xfId="0" applyNumberFormat="1"/>
    <xf numFmtId="2" fontId="7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10" fillId="0" borderId="0" xfId="1" applyFont="1"/>
    <xf numFmtId="0" fontId="11" fillId="2" borderId="0" xfId="2" applyFont="1" applyAlignment="1">
      <alignment horizontal="center" vertical="center"/>
    </xf>
    <xf numFmtId="1" fontId="11" fillId="2" borderId="0" xfId="2" applyNumberFormat="1" applyFont="1" applyAlignment="1">
      <alignment horizontal="right" vertical="center"/>
    </xf>
    <xf numFmtId="1" fontId="11" fillId="2" borderId="0" xfId="2" applyNumberFormat="1" applyFont="1" applyAlignment="1">
      <alignment horizontal="center" vertical="center"/>
    </xf>
    <xf numFmtId="2" fontId="11" fillId="2" borderId="0" xfId="2" applyNumberFormat="1" applyFont="1" applyAlignment="1">
      <alignment vertical="center"/>
    </xf>
    <xf numFmtId="49" fontId="0" fillId="0" borderId="0" xfId="0" quotePrefix="1" applyNumberFormat="1"/>
    <xf numFmtId="17" fontId="7" fillId="0" borderId="0" xfId="0" quotePrefix="1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4" fillId="0" borderId="0" xfId="3" applyFont="1" applyAlignment="1">
      <alignment horizontal="right"/>
    </xf>
    <xf numFmtId="164" fontId="14" fillId="5" borderId="2" xfId="3" applyNumberFormat="1" applyFont="1" applyFill="1" applyBorder="1" applyAlignment="1">
      <alignment horizontal="left"/>
    </xf>
    <xf numFmtId="0" fontId="14" fillId="5" borderId="2" xfId="3" applyFont="1" applyFill="1" applyBorder="1"/>
    <xf numFmtId="0" fontId="14" fillId="0" borderId="2" xfId="3" applyFont="1" applyBorder="1" applyAlignment="1">
      <alignment horizontal="center" vertical="center"/>
    </xf>
    <xf numFmtId="0" fontId="14" fillId="0" borderId="2" xfId="3" applyFont="1" applyBorder="1"/>
    <xf numFmtId="0" fontId="14" fillId="5" borderId="2" xfId="3" applyFont="1" applyFill="1" applyBorder="1" applyAlignment="1">
      <alignment horizontal="left"/>
    </xf>
    <xf numFmtId="0" fontId="14" fillId="5" borderId="2" xfId="3" applyFont="1" applyFill="1" applyBorder="1" applyAlignment="1">
      <alignment horizontal="left" vertical="center"/>
    </xf>
    <xf numFmtId="14" fontId="14" fillId="5" borderId="2" xfId="3" applyNumberFormat="1" applyFont="1" applyFill="1" applyBorder="1" applyAlignment="1">
      <alignment horizontal="left"/>
    </xf>
    <xf numFmtId="1" fontId="14" fillId="5" borderId="2" xfId="3" applyNumberFormat="1" applyFont="1" applyFill="1" applyBorder="1"/>
    <xf numFmtId="2" fontId="14" fillId="5" borderId="2" xfId="3" applyNumberFormat="1" applyFont="1" applyFill="1" applyBorder="1" applyAlignment="1">
      <alignment horizontal="center"/>
    </xf>
    <xf numFmtId="0" fontId="14" fillId="5" borderId="2" xfId="3" applyFont="1" applyFill="1" applyBorder="1" applyAlignment="1">
      <alignment horizontal="center" vertical="center"/>
    </xf>
    <xf numFmtId="0" fontId="15" fillId="5" borderId="2" xfId="4" applyNumberFormat="1" applyFont="1" applyFill="1" applyBorder="1"/>
    <xf numFmtId="0" fontId="16" fillId="5" borderId="2" xfId="4" applyNumberFormat="1" applyFont="1" applyFill="1" applyBorder="1"/>
    <xf numFmtId="0" fontId="17" fillId="0" borderId="3" xfId="3" applyFont="1" applyBorder="1"/>
    <xf numFmtId="0" fontId="17" fillId="0" borderId="0" xfId="0" applyFont="1"/>
    <xf numFmtId="0" fontId="18" fillId="0" borderId="0" xfId="0" applyFont="1"/>
    <xf numFmtId="0" fontId="0" fillId="0" borderId="0" xfId="0" applyAlignment="1">
      <alignment horizontal="left" vertical="top"/>
    </xf>
    <xf numFmtId="0" fontId="19" fillId="6" borderId="0" xfId="0" applyFont="1" applyFill="1" applyAlignment="1">
      <alignment horizontal="left"/>
    </xf>
    <xf numFmtId="0" fontId="21" fillId="0" borderId="0" xfId="5" applyFont="1"/>
    <xf numFmtId="0" fontId="20" fillId="0" borderId="0" xfId="5" applyAlignment="1">
      <alignment horizontal="right"/>
    </xf>
    <xf numFmtId="4" fontId="8" fillId="0" borderId="0" xfId="6" applyNumberFormat="1" applyFont="1" applyAlignment="1">
      <alignment horizontal="left"/>
    </xf>
    <xf numFmtId="0" fontId="22" fillId="0" borderId="0" xfId="6" applyFont="1" applyAlignment="1">
      <alignment horizontal="center"/>
    </xf>
    <xf numFmtId="0" fontId="23" fillId="0" borderId="0" xfId="6" applyFont="1" applyAlignment="1">
      <alignment vertical="center"/>
    </xf>
    <xf numFmtId="0" fontId="22" fillId="0" borderId="0" xfId="6" applyFont="1"/>
    <xf numFmtId="2" fontId="24" fillId="0" borderId="0" xfId="6" applyNumberFormat="1" applyFont="1" applyAlignment="1">
      <alignment horizontal="left"/>
    </xf>
    <xf numFmtId="0" fontId="20" fillId="0" borderId="0" xfId="5"/>
    <xf numFmtId="0" fontId="25" fillId="0" borderId="0" xfId="5" applyFont="1"/>
    <xf numFmtId="4" fontId="8" fillId="0" borderId="0" xfId="6" applyNumberFormat="1" applyFont="1" applyAlignment="1">
      <alignment horizontal="left" vertical="center"/>
    </xf>
    <xf numFmtId="0" fontId="24" fillId="0" borderId="0" xfId="6" applyFont="1" applyAlignment="1">
      <alignment horizontal="center"/>
    </xf>
    <xf numFmtId="0" fontId="24" fillId="0" borderId="0" xfId="6" applyFont="1"/>
    <xf numFmtId="166" fontId="26" fillId="0" borderId="4" xfId="7" applyNumberFormat="1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0" fontId="25" fillId="0" borderId="5" xfId="7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 wrapText="1" readingOrder="1"/>
    </xf>
    <xf numFmtId="0" fontId="27" fillId="0" borderId="5" xfId="7" applyFont="1" applyBorder="1" applyAlignment="1">
      <alignment horizontal="left" wrapText="1"/>
    </xf>
    <xf numFmtId="0" fontId="29" fillId="0" borderId="5" xfId="7" applyFont="1" applyBorder="1" applyAlignment="1">
      <alignment horizontal="left" wrapText="1"/>
    </xf>
    <xf numFmtId="17" fontId="30" fillId="0" borderId="5" xfId="7" quotePrefix="1" applyNumberFormat="1" applyFont="1" applyBorder="1" applyAlignment="1">
      <alignment horizontal="left"/>
    </xf>
    <xf numFmtId="0" fontId="24" fillId="0" borderId="5" xfId="7" applyFont="1" applyBorder="1" applyAlignment="1">
      <alignment horizontal="left"/>
    </xf>
    <xf numFmtId="49" fontId="31" fillId="0" borderId="6" xfId="7" quotePrefix="1" applyNumberFormat="1" applyFont="1" applyBorder="1" applyAlignment="1">
      <alignment horizontal="left"/>
    </xf>
    <xf numFmtId="0" fontId="21" fillId="0" borderId="0" xfId="0" applyFont="1"/>
    <xf numFmtId="166" fontId="26" fillId="0" borderId="7" xfId="7" applyNumberFormat="1" applyFont="1" applyBorder="1" applyAlignment="1">
      <alignment horizontal="left"/>
    </xf>
    <xf numFmtId="0" fontId="26" fillId="0" borderId="0" xfId="7" applyFont="1" applyAlignment="1">
      <alignment horizontal="left"/>
    </xf>
    <xf numFmtId="0" fontId="25" fillId="0" borderId="0" xfId="7" applyFont="1" applyAlignment="1">
      <alignment horizontal="left"/>
    </xf>
    <xf numFmtId="0" fontId="25" fillId="0" borderId="8" xfId="7" applyFont="1" applyBorder="1" applyAlignment="1">
      <alignment horizontal="left"/>
    </xf>
    <xf numFmtId="166" fontId="32" fillId="0" borderId="9" xfId="7" applyNumberFormat="1" applyFont="1" applyBorder="1" applyAlignment="1">
      <alignment horizontal="left"/>
    </xf>
    <xf numFmtId="0" fontId="25" fillId="0" borderId="10" xfId="7" applyFont="1" applyBorder="1" applyAlignment="1">
      <alignment horizontal="left"/>
    </xf>
    <xf numFmtId="0" fontId="25" fillId="0" borderId="11" xfId="7" applyFont="1" applyBorder="1" applyAlignment="1">
      <alignment horizontal="left"/>
    </xf>
    <xf numFmtId="0" fontId="35" fillId="0" borderId="0" xfId="0" applyFont="1"/>
    <xf numFmtId="0" fontId="14" fillId="0" borderId="0" xfId="0" applyFont="1" applyAlignment="1">
      <alignment horizontal="right"/>
    </xf>
    <xf numFmtId="0" fontId="37" fillId="0" borderId="0" xfId="9" applyFont="1"/>
    <xf numFmtId="0" fontId="1" fillId="0" borderId="0" xfId="14"/>
    <xf numFmtId="4" fontId="4" fillId="0" borderId="0" xfId="14" applyNumberFormat="1" applyFont="1"/>
    <xf numFmtId="0" fontId="5" fillId="0" borderId="0" xfId="14" applyFont="1" applyAlignment="1">
      <alignment vertical="center"/>
    </xf>
    <xf numFmtId="2" fontId="1" fillId="0" borderId="0" xfId="14" applyNumberFormat="1" applyAlignment="1">
      <alignment horizontal="left"/>
    </xf>
    <xf numFmtId="0" fontId="1" fillId="0" borderId="0" xfId="14" applyAlignment="1">
      <alignment horizontal="left"/>
    </xf>
    <xf numFmtId="43" fontId="1" fillId="0" borderId="0" xfId="15" applyFont="1" applyFill="1"/>
    <xf numFmtId="0" fontId="38" fillId="0" borderId="0" xfId="14" applyFont="1"/>
    <xf numFmtId="4" fontId="8" fillId="0" borderId="0" xfId="14" applyNumberFormat="1" applyFont="1" applyAlignment="1">
      <alignment horizontal="left" vertical="center"/>
    </xf>
    <xf numFmtId="0" fontId="24" fillId="0" borderId="0" xfId="9"/>
    <xf numFmtId="17" fontId="1" fillId="0" borderId="0" xfId="14" quotePrefix="1" applyNumberFormat="1"/>
    <xf numFmtId="17" fontId="38" fillId="0" borderId="0" xfId="14" quotePrefix="1" applyNumberFormat="1" applyFont="1"/>
    <xf numFmtId="0" fontId="39" fillId="7" borderId="14" xfId="14" applyFont="1" applyFill="1" applyBorder="1" applyAlignment="1">
      <alignment horizontal="center" wrapText="1"/>
    </xf>
    <xf numFmtId="0" fontId="40" fillId="7" borderId="14" xfId="9" applyFont="1" applyFill="1" applyBorder="1" applyAlignment="1">
      <alignment horizontal="left" wrapText="1"/>
    </xf>
    <xf numFmtId="43" fontId="40" fillId="7" borderId="14" xfId="15" applyFont="1" applyFill="1" applyBorder="1" applyAlignment="1">
      <alignment horizontal="left" wrapText="1"/>
    </xf>
    <xf numFmtId="0" fontId="40" fillId="7" borderId="14" xfId="9" applyFont="1" applyFill="1" applyBorder="1" applyAlignment="1">
      <alignment horizontal="center" wrapText="1"/>
    </xf>
    <xf numFmtId="0" fontId="40" fillId="7" borderId="0" xfId="9" applyFont="1" applyFill="1" applyAlignment="1">
      <alignment horizontal="left" wrapText="1"/>
    </xf>
    <xf numFmtId="0" fontId="39" fillId="7" borderId="14" xfId="9" applyFont="1" applyFill="1" applyBorder="1" applyAlignment="1">
      <alignment horizontal="left" wrapText="1"/>
    </xf>
    <xf numFmtId="0" fontId="17" fillId="0" borderId="0" xfId="14" applyFont="1" applyAlignment="1">
      <alignment horizontal="right"/>
    </xf>
    <xf numFmtId="0" fontId="17" fillId="0" borderId="10" xfId="14" applyFont="1" applyBorder="1" applyAlignment="1">
      <alignment horizontal="left"/>
    </xf>
    <xf numFmtId="0" fontId="17" fillId="0" borderId="16" xfId="14" applyFont="1" applyBorder="1" applyAlignment="1">
      <alignment horizontal="left"/>
    </xf>
    <xf numFmtId="0" fontId="17" fillId="0" borderId="16" xfId="14" applyFont="1" applyBorder="1"/>
    <xf numFmtId="0" fontId="17" fillId="0" borderId="10" xfId="14" applyFont="1" applyBorder="1" applyAlignment="1">
      <alignment horizontal="left" vertical="center"/>
    </xf>
    <xf numFmtId="14" fontId="17" fillId="0" borderId="15" xfId="14" applyNumberFormat="1" applyFont="1" applyBorder="1" applyAlignment="1">
      <alignment horizontal="left"/>
    </xf>
    <xf numFmtId="0" fontId="17" fillId="0" borderId="15" xfId="14" applyFont="1" applyBorder="1" applyAlignment="1">
      <alignment horizontal="left" vertical="center"/>
    </xf>
    <xf numFmtId="0" fontId="17" fillId="0" borderId="15" xfId="14" applyFont="1" applyBorder="1" applyAlignment="1">
      <alignment horizontal="left"/>
    </xf>
    <xf numFmtId="0" fontId="17" fillId="0" borderId="15" xfId="14" quotePrefix="1" applyFont="1" applyBorder="1" applyAlignment="1">
      <alignment horizontal="left"/>
    </xf>
    <xf numFmtId="14" fontId="17" fillId="0" borderId="15" xfId="14" applyNumberFormat="1" applyFont="1" applyBorder="1" applyAlignment="1">
      <alignment horizontal="left" vertical="center"/>
    </xf>
    <xf numFmtId="43" fontId="17" fillId="0" borderId="15" xfId="15" applyFont="1" applyBorder="1"/>
    <xf numFmtId="43" fontId="17" fillId="0" borderId="15" xfId="15" applyFont="1" applyBorder="1" applyAlignment="1">
      <alignment horizontal="left" vertical="center"/>
    </xf>
    <xf numFmtId="0" fontId="17" fillId="0" borderId="15" xfId="14" quotePrefix="1" applyFont="1" applyBorder="1" applyAlignment="1">
      <alignment horizontal="left" vertical="center"/>
    </xf>
    <xf numFmtId="0" fontId="41" fillId="0" borderId="0" xfId="0" applyFont="1" applyAlignment="1">
      <alignment vertical="center"/>
    </xf>
    <xf numFmtId="0" fontId="42" fillId="0" borderId="0" xfId="0" applyFont="1"/>
    <xf numFmtId="0" fontId="43" fillId="0" borderId="17" xfId="0" applyFont="1" applyBorder="1" applyAlignment="1">
      <alignment vertical="center"/>
    </xf>
    <xf numFmtId="0" fontId="12" fillId="0" borderId="0" xfId="0" quotePrefix="1" applyFont="1"/>
    <xf numFmtId="0" fontId="45" fillId="7" borderId="14" xfId="0" applyFont="1" applyFill="1" applyBorder="1" applyAlignment="1">
      <alignment horizontal="center" wrapText="1"/>
    </xf>
    <xf numFmtId="0" fontId="45" fillId="7" borderId="14" xfId="0" applyFont="1" applyFill="1" applyBorder="1" applyAlignment="1">
      <alignment wrapText="1"/>
    </xf>
    <xf numFmtId="0" fontId="45" fillId="7" borderId="14" xfId="0" applyFont="1" applyFill="1" applyBorder="1" applyAlignment="1">
      <alignment horizontal="center" vertical="center" wrapText="1"/>
    </xf>
    <xf numFmtId="0" fontId="45" fillId="7" borderId="18" xfId="0" applyFont="1" applyFill="1" applyBorder="1" applyAlignment="1">
      <alignment wrapText="1"/>
    </xf>
    <xf numFmtId="0" fontId="45" fillId="7" borderId="18" xfId="0" applyFont="1" applyFill="1" applyBorder="1" applyAlignment="1">
      <alignment horizontal="center" wrapText="1"/>
    </xf>
    <xf numFmtId="17" fontId="44" fillId="0" borderId="0" xfId="0" quotePrefix="1" applyNumberFormat="1" applyFont="1" applyAlignment="1">
      <alignment horizontal="left"/>
    </xf>
    <xf numFmtId="0" fontId="37" fillId="0" borderId="0" xfId="0" applyFont="1"/>
    <xf numFmtId="0" fontId="30" fillId="0" borderId="0" xfId="17" applyFont="1"/>
    <xf numFmtId="4" fontId="30" fillId="0" borderId="0" xfId="17" applyNumberFormat="1" applyFont="1"/>
    <xf numFmtId="0" fontId="25" fillId="0" borderId="0" xfId="17" applyFont="1"/>
    <xf numFmtId="0" fontId="24" fillId="0" borderId="0" xfId="17"/>
    <xf numFmtId="49" fontId="24" fillId="0" borderId="0" xfId="17" applyNumberFormat="1"/>
    <xf numFmtId="17" fontId="30" fillId="0" borderId="0" xfId="17" quotePrefix="1" applyNumberFormat="1" applyFont="1"/>
    <xf numFmtId="4" fontId="25" fillId="0" borderId="0" xfId="17" applyNumberFormat="1" applyFont="1"/>
    <xf numFmtId="0" fontId="37" fillId="0" borderId="0" xfId="17" applyFont="1"/>
    <xf numFmtId="4" fontId="4" fillId="0" borderId="0" xfId="17" applyNumberFormat="1" applyFont="1"/>
    <xf numFmtId="0" fontId="38" fillId="0" borderId="0" xfId="8" applyFont="1"/>
    <xf numFmtId="49" fontId="38" fillId="0" borderId="0" xfId="8" applyNumberFormat="1" applyFont="1"/>
    <xf numFmtId="0" fontId="5" fillId="0" borderId="0" xfId="17" applyFont="1" applyAlignment="1">
      <alignment vertical="center"/>
    </xf>
    <xf numFmtId="2" fontId="24" fillId="0" borderId="0" xfId="17" applyNumberFormat="1" applyAlignment="1">
      <alignment horizontal="left"/>
    </xf>
    <xf numFmtId="4" fontId="8" fillId="0" borderId="0" xfId="17" applyNumberFormat="1" applyFont="1" applyAlignment="1">
      <alignment horizontal="left" vertical="center"/>
    </xf>
    <xf numFmtId="0" fontId="39" fillId="7" borderId="14" xfId="18" applyFont="1" applyFill="1" applyBorder="1" applyAlignment="1">
      <alignment wrapText="1"/>
    </xf>
    <xf numFmtId="0" fontId="47" fillId="7" borderId="14" xfId="18" applyFont="1" applyFill="1" applyBorder="1" applyAlignment="1">
      <alignment wrapText="1"/>
    </xf>
    <xf numFmtId="49" fontId="39" fillId="7" borderId="14" xfId="18" applyNumberFormat="1" applyFont="1" applyFill="1" applyBorder="1" applyAlignment="1">
      <alignment wrapText="1"/>
    </xf>
    <xf numFmtId="2" fontId="0" fillId="0" borderId="0" xfId="0" applyNumberFormat="1"/>
    <xf numFmtId="0" fontId="49" fillId="7" borderId="1" xfId="8" applyFont="1" applyFill="1" applyBorder="1" applyAlignment="1">
      <alignment horizontal="center" wrapText="1"/>
    </xf>
    <xf numFmtId="0" fontId="50" fillId="7" borderId="1" xfId="0" applyFont="1" applyFill="1" applyBorder="1" applyAlignment="1">
      <alignment horizontal="center" vertical="center" wrapText="1"/>
    </xf>
    <xf numFmtId="0" fontId="50" fillId="7" borderId="1" xfId="0" applyFont="1" applyFill="1" applyBorder="1" applyAlignment="1">
      <alignment vertical="center" wrapText="1"/>
    </xf>
    <xf numFmtId="0" fontId="2" fillId="0" borderId="15" xfId="19" applyBorder="1" applyAlignment="1">
      <alignment horizontal="left" vertical="center"/>
    </xf>
    <xf numFmtId="0" fontId="0" fillId="0" borderId="0" xfId="14" applyFont="1"/>
    <xf numFmtId="0" fontId="51" fillId="0" borderId="0" xfId="0" applyFont="1" applyAlignment="1">
      <alignment horizontal="left"/>
    </xf>
    <xf numFmtId="4" fontId="52" fillId="0" borderId="0" xfId="0" applyNumberFormat="1" applyFont="1"/>
    <xf numFmtId="0" fontId="53" fillId="0" borderId="0" xfId="0" applyFont="1" applyAlignment="1">
      <alignment horizontal="left" vertical="center"/>
    </xf>
    <xf numFmtId="0" fontId="54" fillId="0" borderId="0" xfId="0" applyFont="1"/>
    <xf numFmtId="2" fontId="51" fillId="0" borderId="0" xfId="0" applyNumberFormat="1" applyFont="1" applyAlignment="1">
      <alignment horizontal="left"/>
    </xf>
    <xf numFmtId="0" fontId="51" fillId="0" borderId="0" xfId="0" applyFont="1" applyAlignment="1">
      <alignment horizontal="right"/>
    </xf>
    <xf numFmtId="0" fontId="55" fillId="0" borderId="0" xfId="0" applyFont="1"/>
    <xf numFmtId="49" fontId="55" fillId="0" borderId="0" xfId="0" applyNumberFormat="1" applyFont="1" applyAlignment="1">
      <alignment horizontal="left"/>
    </xf>
    <xf numFmtId="1" fontId="51" fillId="0" borderId="0" xfId="0" applyNumberFormat="1" applyFont="1"/>
    <xf numFmtId="2" fontId="56" fillId="0" borderId="0" xfId="0" applyNumberFormat="1" applyFont="1" applyAlignment="1">
      <alignment horizontal="right"/>
    </xf>
    <xf numFmtId="0" fontId="51" fillId="0" borderId="0" xfId="0" applyFont="1" applyAlignment="1">
      <alignment horizontal="center"/>
    </xf>
    <xf numFmtId="4" fontId="57" fillId="0" borderId="0" xfId="0" applyNumberFormat="1" applyFont="1" applyAlignment="1">
      <alignment horizontal="left" vertical="center"/>
    </xf>
    <xf numFmtId="0" fontId="53" fillId="0" borderId="0" xfId="0" applyFont="1" applyAlignment="1">
      <alignment horizontal="left"/>
    </xf>
    <xf numFmtId="49" fontId="51" fillId="0" borderId="0" xfId="0" applyNumberFormat="1" applyFont="1"/>
    <xf numFmtId="0" fontId="58" fillId="0" borderId="0" xfId="0" applyFont="1" applyAlignment="1">
      <alignment horizontal="left"/>
    </xf>
    <xf numFmtId="17" fontId="56" fillId="0" borderId="0" xfId="0" applyNumberFormat="1" applyFont="1" applyAlignment="1">
      <alignment horizontal="left"/>
    </xf>
    <xf numFmtId="0" fontId="59" fillId="3" borderId="19" xfId="0" applyFont="1" applyFill="1" applyBorder="1" applyAlignment="1">
      <alignment horizontal="left" vertical="center" wrapText="1"/>
    </xf>
    <xf numFmtId="1" fontId="59" fillId="3" borderId="19" xfId="0" applyNumberFormat="1" applyFont="1" applyFill="1" applyBorder="1" applyAlignment="1">
      <alignment horizontal="left" vertical="center" wrapText="1"/>
    </xf>
    <xf numFmtId="2" fontId="59" fillId="3" borderId="19" xfId="0" applyNumberFormat="1" applyFont="1" applyFill="1" applyBorder="1" applyAlignment="1">
      <alignment horizontal="left" vertical="center" wrapText="1"/>
    </xf>
    <xf numFmtId="0" fontId="59" fillId="3" borderId="20" xfId="0" applyFont="1" applyFill="1" applyBorder="1" applyAlignment="1">
      <alignment horizontal="left" vertical="center" wrapText="1"/>
    </xf>
    <xf numFmtId="0" fontId="59" fillId="3" borderId="21" xfId="0" applyFont="1" applyFill="1" applyBorder="1" applyAlignment="1">
      <alignment horizontal="left" vertical="center" wrapText="1"/>
    </xf>
    <xf numFmtId="14" fontId="60" fillId="9" borderId="22" xfId="0" applyNumberFormat="1" applyFont="1" applyFill="1" applyBorder="1" applyAlignment="1">
      <alignment horizontal="left" vertical="center"/>
    </xf>
    <xf numFmtId="49" fontId="60" fillId="9" borderId="22" xfId="0" applyNumberFormat="1" applyFont="1" applyFill="1" applyBorder="1" applyAlignment="1">
      <alignment horizontal="left" vertical="center"/>
    </xf>
    <xf numFmtId="0" fontId="60" fillId="9" borderId="22" xfId="0" applyFont="1" applyFill="1" applyBorder="1" applyAlignment="1">
      <alignment horizontal="left" vertical="center"/>
    </xf>
    <xf numFmtId="2" fontId="60" fillId="9" borderId="22" xfId="0" applyNumberFormat="1" applyFont="1" applyFill="1" applyBorder="1" applyAlignment="1">
      <alignment horizontal="left" vertical="center"/>
    </xf>
    <xf numFmtId="0" fontId="60" fillId="10" borderId="22" xfId="0" applyFont="1" applyFill="1" applyBorder="1" applyAlignment="1">
      <alignment horizontal="left" vertical="center"/>
    </xf>
    <xf numFmtId="0" fontId="48" fillId="5" borderId="15" xfId="0" applyFont="1" applyFill="1" applyBorder="1" applyAlignment="1">
      <alignment horizontal="center" vertical="center"/>
    </xf>
    <xf numFmtId="0" fontId="36" fillId="0" borderId="0" xfId="9" applyFont="1" applyAlignment="1">
      <alignment vertical="center"/>
    </xf>
    <xf numFmtId="0" fontId="35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5" fillId="8" borderId="1" xfId="0" applyFont="1" applyFill="1" applyBorder="1" applyAlignment="1">
      <alignment vertical="center"/>
    </xf>
    <xf numFmtId="49" fontId="18" fillId="8" borderId="1" xfId="0" applyNumberFormat="1" applyFont="1" applyFill="1" applyBorder="1" applyAlignment="1">
      <alignment horizontal="center"/>
    </xf>
    <xf numFmtId="0" fontId="61" fillId="8" borderId="15" xfId="21" applyFont="1" applyFill="1" applyBorder="1" applyAlignment="1">
      <alignment horizontal="left"/>
    </xf>
    <xf numFmtId="165" fontId="2" fillId="5" borderId="2" xfId="19" applyNumberFormat="1" applyFill="1" applyBorder="1" applyAlignment="1">
      <alignment horizontal="left"/>
    </xf>
    <xf numFmtId="0" fontId="36" fillId="8" borderId="0" xfId="9" applyFont="1" applyFill="1" applyAlignment="1">
      <alignment vertical="center"/>
    </xf>
    <xf numFmtId="14" fontId="36" fillId="8" borderId="2" xfId="10" applyNumberFormat="1" applyFont="1" applyFill="1" applyBorder="1" applyAlignment="1">
      <alignment vertical="center" wrapText="1"/>
    </xf>
    <xf numFmtId="14" fontId="36" fillId="8" borderId="2" xfId="10" applyNumberFormat="1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left" vertical="center" wrapText="1"/>
    </xf>
    <xf numFmtId="0" fontId="36" fillId="8" borderId="12" xfId="10" applyFont="1" applyFill="1" applyBorder="1" applyAlignment="1">
      <alignment vertical="center" wrapText="1"/>
    </xf>
    <xf numFmtId="0" fontId="36" fillId="8" borderId="2" xfId="10" quotePrefix="1" applyFont="1" applyFill="1" applyBorder="1" applyAlignment="1">
      <alignment horizontal="left" vertical="center" wrapText="1"/>
    </xf>
    <xf numFmtId="1" fontId="36" fillId="8" borderId="2" xfId="11" quotePrefix="1" applyNumberFormat="1" applyFont="1" applyFill="1" applyBorder="1" applyAlignment="1">
      <alignment horizontal="left" vertical="center"/>
    </xf>
    <xf numFmtId="43" fontId="36" fillId="8" borderId="2" xfId="12" applyFont="1" applyFill="1" applyBorder="1" applyAlignment="1">
      <alignment vertical="center"/>
    </xf>
    <xf numFmtId="43" fontId="36" fillId="8" borderId="2" xfId="12" quotePrefix="1" applyFont="1" applyFill="1" applyBorder="1" applyAlignment="1">
      <alignment horizontal="left" vertical="center"/>
    </xf>
    <xf numFmtId="43" fontId="2" fillId="8" borderId="13" xfId="19" applyNumberFormat="1" applyFill="1" applyBorder="1" applyAlignment="1">
      <alignment horizontal="left" vertical="center"/>
    </xf>
    <xf numFmtId="0" fontId="2" fillId="8" borderId="0" xfId="19" applyFill="1" applyAlignment="1">
      <alignment vertical="center"/>
    </xf>
    <xf numFmtId="0" fontId="35" fillId="8" borderId="0" xfId="0" applyFont="1" applyFill="1" applyAlignment="1">
      <alignment vertical="center"/>
    </xf>
    <xf numFmtId="0" fontId="36" fillId="8" borderId="0" xfId="10" applyFont="1" applyFill="1" applyAlignment="1">
      <alignment horizontal="left" vertical="center" wrapText="1"/>
    </xf>
    <xf numFmtId="43" fontId="0" fillId="0" borderId="0" xfId="0" applyNumberFormat="1"/>
    <xf numFmtId="0" fontId="14" fillId="8" borderId="2" xfId="3" applyFont="1" applyFill="1" applyBorder="1" applyAlignment="1">
      <alignment horizontal="center" vertical="center"/>
    </xf>
    <xf numFmtId="0" fontId="14" fillId="8" borderId="2" xfId="3" applyFont="1" applyFill="1" applyBorder="1" applyAlignment="1">
      <alignment horizontal="left"/>
    </xf>
    <xf numFmtId="2" fontId="14" fillId="8" borderId="2" xfId="3" applyNumberFormat="1" applyFont="1" applyFill="1" applyBorder="1" applyAlignment="1">
      <alignment horizontal="center"/>
    </xf>
    <xf numFmtId="165" fontId="14" fillId="8" borderId="2" xfId="3" applyNumberFormat="1" applyFont="1" applyFill="1" applyBorder="1" applyAlignment="1">
      <alignment horizontal="center"/>
    </xf>
    <xf numFmtId="14" fontId="36" fillId="8" borderId="0" xfId="10" applyNumberFormat="1" applyFont="1" applyFill="1" applyAlignment="1">
      <alignment vertical="center" wrapText="1"/>
    </xf>
    <xf numFmtId="14" fontId="36" fillId="8" borderId="0" xfId="10" applyNumberFormat="1" applyFont="1" applyFill="1" applyAlignment="1">
      <alignment horizontal="left" vertical="center" wrapText="1"/>
    </xf>
    <xf numFmtId="0" fontId="36" fillId="8" borderId="0" xfId="10" applyFont="1" applyFill="1" applyAlignment="1">
      <alignment horizontal="center" vertical="center" wrapText="1"/>
    </xf>
    <xf numFmtId="0" fontId="35" fillId="8" borderId="0" xfId="0" applyFont="1" applyFill="1" applyAlignment="1">
      <alignment horizontal="left" vertical="center" wrapText="1"/>
    </xf>
    <xf numFmtId="0" fontId="36" fillId="8" borderId="0" xfId="10" applyFont="1" applyFill="1" applyAlignment="1">
      <alignment vertical="center" wrapText="1"/>
    </xf>
    <xf numFmtId="0" fontId="36" fillId="8" borderId="0" xfId="10" quotePrefix="1" applyFont="1" applyFill="1" applyAlignment="1">
      <alignment horizontal="left" vertical="center" wrapText="1"/>
    </xf>
    <xf numFmtId="1" fontId="36" fillId="8" borderId="0" xfId="11" quotePrefix="1" applyNumberFormat="1" applyFont="1" applyFill="1" applyBorder="1" applyAlignment="1">
      <alignment horizontal="left" vertical="center"/>
    </xf>
    <xf numFmtId="43" fontId="2" fillId="8" borderId="0" xfId="19" applyNumberFormat="1" applyFill="1" applyBorder="1" applyAlignment="1">
      <alignment horizontal="left" vertical="center"/>
    </xf>
    <xf numFmtId="14" fontId="35" fillId="9" borderId="22" xfId="0" applyNumberFormat="1" applyFont="1" applyFill="1" applyBorder="1" applyAlignment="1">
      <alignment horizontal="left" vertical="center"/>
    </xf>
    <xf numFmtId="0" fontId="14" fillId="8" borderId="2" xfId="3" applyFont="1" applyFill="1" applyBorder="1" applyAlignment="1">
      <alignment horizontal="center"/>
    </xf>
    <xf numFmtId="14" fontId="14" fillId="8" borderId="2" xfId="3" applyNumberFormat="1" applyFont="1" applyFill="1" applyBorder="1" applyAlignment="1">
      <alignment horizontal="center"/>
    </xf>
    <xf numFmtId="0" fontId="34" fillId="8" borderId="2" xfId="4" applyNumberFormat="1" applyFont="1" applyFill="1" applyBorder="1" applyAlignment="1">
      <alignment horizontal="center"/>
    </xf>
    <xf numFmtId="0" fontId="2" fillId="8" borderId="2" xfId="19" applyNumberFormat="1" applyFill="1" applyBorder="1" applyAlignment="1">
      <alignment horizontal="left"/>
    </xf>
    <xf numFmtId="1" fontId="14" fillId="8" borderId="2" xfId="3" applyNumberFormat="1" applyFont="1" applyFill="1" applyBorder="1" applyAlignment="1">
      <alignment horizontal="left"/>
    </xf>
    <xf numFmtId="0" fontId="0" fillId="0" borderId="1" xfId="0" applyBorder="1"/>
    <xf numFmtId="2" fontId="0" fillId="0" borderId="1" xfId="0" applyNumberFormat="1" applyBorder="1"/>
    <xf numFmtId="0" fontId="14" fillId="8" borderId="2" xfId="3" applyFont="1" applyFill="1" applyBorder="1" applyAlignment="1">
      <alignment horizontal="left" vertical="center"/>
    </xf>
    <xf numFmtId="168" fontId="35" fillId="9" borderId="22" xfId="0" applyNumberFormat="1" applyFont="1" applyFill="1" applyBorder="1" applyAlignment="1">
      <alignment horizontal="left" vertical="center"/>
    </xf>
    <xf numFmtId="14" fontId="14" fillId="8" borderId="2" xfId="3" applyNumberFormat="1" applyFont="1" applyFill="1" applyBorder="1" applyAlignment="1">
      <alignment horizontal="center" vertical="center"/>
    </xf>
    <xf numFmtId="1" fontId="14" fillId="8" borderId="2" xfId="3" applyNumberFormat="1" applyFont="1" applyFill="1" applyBorder="1" applyAlignment="1">
      <alignment horizontal="left" vertical="center"/>
    </xf>
    <xf numFmtId="2" fontId="14" fillId="8" borderId="2" xfId="3" applyNumberFormat="1" applyFont="1" applyFill="1" applyBorder="1" applyAlignment="1">
      <alignment horizontal="center" vertical="center"/>
    </xf>
    <xf numFmtId="165" fontId="14" fillId="8" borderId="2" xfId="3" applyNumberFormat="1" applyFont="1" applyFill="1" applyBorder="1" applyAlignment="1">
      <alignment horizontal="center" vertical="center"/>
    </xf>
    <xf numFmtId="0" fontId="34" fillId="8" borderId="2" xfId="4" applyNumberFormat="1" applyFont="1" applyFill="1" applyBorder="1" applyAlignment="1">
      <alignment horizontal="center" vertical="center"/>
    </xf>
    <xf numFmtId="0" fontId="2" fillId="8" borderId="2" xfId="19" applyNumberFormat="1" applyFill="1" applyBorder="1" applyAlignment="1">
      <alignment horizontal="left" vertical="center"/>
    </xf>
    <xf numFmtId="14" fontId="62" fillId="11" borderId="22" xfId="0" applyNumberFormat="1" applyFont="1" applyFill="1" applyBorder="1" applyAlignment="1">
      <alignment horizontal="left" vertical="center"/>
    </xf>
    <xf numFmtId="0" fontId="62" fillId="12" borderId="2" xfId="0" applyFont="1" applyFill="1" applyBorder="1" applyAlignment="1">
      <alignment horizontal="left"/>
    </xf>
    <xf numFmtId="0" fontId="62" fillId="12" borderId="12" xfId="0" applyFont="1" applyFill="1" applyBorder="1" applyAlignment="1">
      <alignment horizontal="left"/>
    </xf>
    <xf numFmtId="0" fontId="62" fillId="12" borderId="12" xfId="0" applyFont="1" applyFill="1" applyBorder="1" applyAlignment="1">
      <alignment horizontal="center" vertical="center"/>
    </xf>
    <xf numFmtId="0" fontId="62" fillId="12" borderId="12" xfId="0" applyFont="1" applyFill="1" applyBorder="1" applyAlignment="1">
      <alignment horizontal="center"/>
    </xf>
    <xf numFmtId="14" fontId="62" fillId="12" borderId="12" xfId="0" applyNumberFormat="1" applyFont="1" applyFill="1" applyBorder="1" applyAlignment="1">
      <alignment horizontal="center"/>
    </xf>
    <xf numFmtId="1" fontId="62" fillId="12" borderId="12" xfId="0" applyNumberFormat="1" applyFont="1" applyFill="1" applyBorder="1" applyAlignment="1">
      <alignment horizontal="left"/>
    </xf>
    <xf numFmtId="165" fontId="62" fillId="12" borderId="12" xfId="0" applyNumberFormat="1" applyFont="1" applyFill="1" applyBorder="1" applyAlignment="1">
      <alignment horizontal="center"/>
    </xf>
    <xf numFmtId="0" fontId="63" fillId="12" borderId="12" xfId="0" applyFont="1" applyFill="1" applyBorder="1" applyAlignment="1">
      <alignment horizontal="center"/>
    </xf>
    <xf numFmtId="0" fontId="2" fillId="12" borderId="12" xfId="19" applyFill="1" applyBorder="1" applyAlignment="1">
      <alignment horizontal="left"/>
    </xf>
    <xf numFmtId="0" fontId="2" fillId="0" borderId="0" xfId="19"/>
    <xf numFmtId="2" fontId="14" fillId="8" borderId="2" xfId="3" applyNumberFormat="1" applyFont="1" applyFill="1" applyBorder="1" applyAlignment="1">
      <alignment horizontal="left"/>
    </xf>
    <xf numFmtId="0" fontId="62" fillId="12" borderId="2" xfId="0" applyFont="1" applyFill="1" applyBorder="1" applyAlignment="1">
      <alignment horizontal="center"/>
    </xf>
    <xf numFmtId="0" fontId="62" fillId="12" borderId="22" xfId="0" applyFont="1" applyFill="1" applyBorder="1" applyAlignment="1">
      <alignment horizontal="center"/>
    </xf>
    <xf numFmtId="0" fontId="62" fillId="12" borderId="23" xfId="0" applyFont="1" applyFill="1" applyBorder="1" applyAlignment="1">
      <alignment horizontal="center"/>
    </xf>
    <xf numFmtId="2" fontId="62" fillId="13" borderId="12" xfId="0" applyNumberFormat="1" applyFont="1" applyFill="1" applyBorder="1" applyAlignment="1">
      <alignment horizontal="center"/>
    </xf>
    <xf numFmtId="43" fontId="35" fillId="8" borderId="0" xfId="0" applyNumberFormat="1" applyFont="1" applyFill="1" applyAlignment="1">
      <alignment vertical="center"/>
    </xf>
    <xf numFmtId="14" fontId="17" fillId="0" borderId="1" xfId="14" applyNumberFormat="1" applyFont="1" applyBorder="1" applyAlignment="1">
      <alignment horizontal="left"/>
    </xf>
    <xf numFmtId="0" fontId="17" fillId="0" borderId="1" xfId="14" applyFont="1" applyBorder="1" applyAlignment="1">
      <alignment horizontal="left" vertical="center"/>
    </xf>
    <xf numFmtId="0" fontId="17" fillId="0" borderId="24" xfId="14" applyFont="1" applyBorder="1" applyAlignment="1">
      <alignment horizontal="left"/>
    </xf>
    <xf numFmtId="0" fontId="17" fillId="0" borderId="1" xfId="14" applyFont="1" applyBorder="1" applyAlignment="1">
      <alignment horizontal="left"/>
    </xf>
    <xf numFmtId="0" fontId="17" fillId="0" borderId="1" xfId="14" applyFont="1" applyBorder="1"/>
    <xf numFmtId="0" fontId="17" fillId="0" borderId="1" xfId="14" quotePrefix="1" applyFont="1" applyBorder="1" applyAlignment="1">
      <alignment horizontal="left"/>
    </xf>
    <xf numFmtId="14" fontId="17" fillId="0" borderId="1" xfId="14" applyNumberFormat="1" applyFont="1" applyBorder="1" applyAlignment="1">
      <alignment horizontal="left" vertical="center"/>
    </xf>
    <xf numFmtId="0" fontId="17" fillId="0" borderId="25" xfId="14" applyFont="1" applyBorder="1" applyAlignment="1">
      <alignment horizontal="left" vertical="center"/>
    </xf>
    <xf numFmtId="0" fontId="61" fillId="8" borderId="1" xfId="21" applyFont="1" applyFill="1" applyBorder="1" applyAlignment="1">
      <alignment horizontal="left"/>
    </xf>
    <xf numFmtId="43" fontId="17" fillId="0" borderId="1" xfId="15" applyFont="1" applyBorder="1"/>
    <xf numFmtId="43" fontId="17" fillId="0" borderId="1" xfId="15" applyFont="1" applyBorder="1" applyAlignment="1">
      <alignment horizontal="left" vertical="center"/>
    </xf>
    <xf numFmtId="0" fontId="17" fillId="0" borderId="1" xfId="14" quotePrefix="1" applyFont="1" applyBorder="1" applyAlignment="1">
      <alignment horizontal="left" vertical="center"/>
    </xf>
    <xf numFmtId="0" fontId="2" fillId="0" borderId="1" xfId="19" applyBorder="1" applyAlignment="1">
      <alignment horizontal="left" vertical="center"/>
    </xf>
    <xf numFmtId="0" fontId="2" fillId="10" borderId="22" xfId="19" applyFill="1" applyBorder="1" applyAlignment="1">
      <alignment horizontal="left" vertical="center"/>
    </xf>
    <xf numFmtId="0" fontId="14" fillId="8" borderId="2" xfId="3" applyFont="1" applyFill="1" applyBorder="1" applyAlignment="1">
      <alignment vertical="center"/>
    </xf>
    <xf numFmtId="14" fontId="35" fillId="9" borderId="22" xfId="0" applyNumberFormat="1" applyFont="1" applyFill="1" applyBorder="1" applyAlignment="1">
      <alignment horizontal="right" vertical="center"/>
    </xf>
    <xf numFmtId="0" fontId="2" fillId="8" borderId="8" xfId="19" applyNumberFormat="1" applyFill="1" applyBorder="1" applyAlignment="1">
      <alignment horizontal="left" vertical="center"/>
    </xf>
    <xf numFmtId="0" fontId="14" fillId="8" borderId="18" xfId="3" applyFont="1" applyFill="1" applyBorder="1" applyAlignment="1">
      <alignment horizontal="left"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elen_jerves@hotmail.com" TargetMode="External"/><Relationship Id="rId21" Type="http://schemas.openxmlformats.org/officeDocument/2006/relationships/hyperlink" Target="mailto:supervisor1@empresencia.com" TargetMode="External"/><Relationship Id="rId42" Type="http://schemas.openxmlformats.org/officeDocument/2006/relationships/hyperlink" Target="mailto:sebastian@hotmail.com" TargetMode="External"/><Relationship Id="rId47" Type="http://schemas.openxmlformats.org/officeDocument/2006/relationships/hyperlink" Target="mailto:alejosantander11@gmail.com" TargetMode="External"/><Relationship Id="rId63" Type="http://schemas.openxmlformats.org/officeDocument/2006/relationships/hyperlink" Target="mailto:orellanaconstructores@hotmail.com" TargetMode="External"/><Relationship Id="rId68" Type="http://schemas.openxmlformats.org/officeDocument/2006/relationships/hyperlink" Target="mailto:kamila.molinaorellana@gmail.com" TargetMode="External"/><Relationship Id="rId7" Type="http://schemas.openxmlformats.org/officeDocument/2006/relationships/hyperlink" Target="mailto:totocarrasco12@hotmail.com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mailto:facturaspedroc@gmail.com" TargetMode="External"/><Relationship Id="rId16" Type="http://schemas.openxmlformats.org/officeDocument/2006/relationships/hyperlink" Target="mailto:mmolinau00@gmail.com" TargetMode="External"/><Relationship Id="rId29" Type="http://schemas.openxmlformats.org/officeDocument/2006/relationships/hyperlink" Target="mailto:belen_jerves@hotmail.com" TargetMode="External"/><Relationship Id="rId11" Type="http://schemas.openxmlformats.org/officeDocument/2006/relationships/hyperlink" Target="mailto:andleo83@gmail.com" TargetMode="External"/><Relationship Id="rId24" Type="http://schemas.openxmlformats.org/officeDocument/2006/relationships/hyperlink" Target="mailto:juanpabloordo&#241;ezf@gmail.com" TargetMode="External"/><Relationship Id="rId32" Type="http://schemas.openxmlformats.org/officeDocument/2006/relationships/hyperlink" Target="mailto:zoilamejiasaca@gmail.com" TargetMode="External"/><Relationship Id="rId37" Type="http://schemas.openxmlformats.org/officeDocument/2006/relationships/hyperlink" Target="mailto:yamaraygh@yahoo.com" TargetMode="External"/><Relationship Id="rId40" Type="http://schemas.openxmlformats.org/officeDocument/2006/relationships/hyperlink" Target="mailto:sebastian@hotmail.com" TargetMode="External"/><Relationship Id="rId45" Type="http://schemas.openxmlformats.org/officeDocument/2006/relationships/hyperlink" Target="mailto:coroneloswaldo26@gmail.com" TargetMode="External"/><Relationship Id="rId53" Type="http://schemas.openxmlformats.org/officeDocument/2006/relationships/hyperlink" Target="mailto:facturaspedroc@gmail.com" TargetMode="External"/><Relationship Id="rId58" Type="http://schemas.openxmlformats.org/officeDocument/2006/relationships/hyperlink" Target="mailto:chelita-reyes@hotmail.com" TargetMode="External"/><Relationship Id="rId66" Type="http://schemas.openxmlformats.org/officeDocument/2006/relationships/hyperlink" Target="mailto:lucasantoniomolina@gmail.com" TargetMode="External"/><Relationship Id="rId5" Type="http://schemas.openxmlformats.org/officeDocument/2006/relationships/hyperlink" Target="mailto:wiltonsolito76@hotmail.com" TargetMode="External"/><Relationship Id="rId61" Type="http://schemas.openxmlformats.org/officeDocument/2006/relationships/hyperlink" Target="mailto:paulisemperteguiv@hotmail.com" TargetMode="External"/><Relationship Id="rId19" Type="http://schemas.openxmlformats.org/officeDocument/2006/relationships/hyperlink" Target="mailto:gnorero@outlook.com" TargetMode="External"/><Relationship Id="rId14" Type="http://schemas.openxmlformats.org/officeDocument/2006/relationships/hyperlink" Target="mailto:joajara@gmail.com" TargetMode="External"/><Relationship Id="rId22" Type="http://schemas.openxmlformats.org/officeDocument/2006/relationships/hyperlink" Target="mailto:supervisor1@empresencia.com" TargetMode="External"/><Relationship Id="rId27" Type="http://schemas.openxmlformats.org/officeDocument/2006/relationships/hyperlink" Target="mailto:belen_jerves@hotmail.com" TargetMode="External"/><Relationship Id="rId30" Type="http://schemas.openxmlformats.org/officeDocument/2006/relationships/hyperlink" Target="mailto:belen_jerves@hotmail.com" TargetMode="External"/><Relationship Id="rId35" Type="http://schemas.openxmlformats.org/officeDocument/2006/relationships/hyperlink" Target="mailto:yamaraygh@yahoo.com" TargetMode="External"/><Relationship Id="rId43" Type="http://schemas.openxmlformats.org/officeDocument/2006/relationships/hyperlink" Target="mailto:mayra_7mi@hotmail.com" TargetMode="External"/><Relationship Id="rId48" Type="http://schemas.openxmlformats.org/officeDocument/2006/relationships/hyperlink" Target="mailto:alejosantander11@gmail.com" TargetMode="External"/><Relationship Id="rId56" Type="http://schemas.openxmlformats.org/officeDocument/2006/relationships/hyperlink" Target="mailto:chelita-reyes@hotmail.com" TargetMode="External"/><Relationship Id="rId64" Type="http://schemas.openxmlformats.org/officeDocument/2006/relationships/hyperlink" Target="mailto:orellanaconstructores@hotmail.com" TargetMode="External"/><Relationship Id="rId69" Type="http://schemas.openxmlformats.org/officeDocument/2006/relationships/hyperlink" Target="mailto:kamila.molinaorellana@gmail.com" TargetMode="External"/><Relationship Id="rId8" Type="http://schemas.openxmlformats.org/officeDocument/2006/relationships/hyperlink" Target="mailto:totocarrasco12@hotmail.com" TargetMode="External"/><Relationship Id="rId51" Type="http://schemas.openxmlformats.org/officeDocument/2006/relationships/hyperlink" Target="mailto:dxavicofm86@hotmail.com" TargetMode="External"/><Relationship Id="rId72" Type="http://schemas.openxmlformats.org/officeDocument/2006/relationships/drawing" Target="../drawings/drawing1.xml"/><Relationship Id="rId3" Type="http://schemas.openxmlformats.org/officeDocument/2006/relationships/hyperlink" Target="mailto:wiltonsolito76@hotmail.com" TargetMode="External"/><Relationship Id="rId12" Type="http://schemas.openxmlformats.org/officeDocument/2006/relationships/hyperlink" Target="mailto:andleo83@gmail.com" TargetMode="External"/><Relationship Id="rId17" Type="http://schemas.openxmlformats.org/officeDocument/2006/relationships/hyperlink" Target="mailto:mmolinau00@gmail.com" TargetMode="External"/><Relationship Id="rId25" Type="http://schemas.openxmlformats.org/officeDocument/2006/relationships/hyperlink" Target="mailto:juanpabloordo%C3%B1ezf@gmail.com" TargetMode="External"/><Relationship Id="rId33" Type="http://schemas.openxmlformats.org/officeDocument/2006/relationships/hyperlink" Target="mailto:arevalop242@gmail.com" TargetMode="External"/><Relationship Id="rId38" Type="http://schemas.openxmlformats.org/officeDocument/2006/relationships/hyperlink" Target="mailto:dianafergarcia13@gmail.com" TargetMode="External"/><Relationship Id="rId46" Type="http://schemas.openxmlformats.org/officeDocument/2006/relationships/hyperlink" Target="mailto:coroneloswaldo26@gmail.com" TargetMode="External"/><Relationship Id="rId59" Type="http://schemas.openxmlformats.org/officeDocument/2006/relationships/hyperlink" Target="mailto:paulisemperteguiv@hotmail.com" TargetMode="External"/><Relationship Id="rId67" Type="http://schemas.openxmlformats.org/officeDocument/2006/relationships/hyperlink" Target="mailto:lucasantoniomolina@gmail.com" TargetMode="External"/><Relationship Id="rId20" Type="http://schemas.openxmlformats.org/officeDocument/2006/relationships/hyperlink" Target="mailto:gnorero@outlook.com" TargetMode="External"/><Relationship Id="rId41" Type="http://schemas.openxmlformats.org/officeDocument/2006/relationships/hyperlink" Target="mailto:sebastian@hotmail.com" TargetMode="External"/><Relationship Id="rId54" Type="http://schemas.openxmlformats.org/officeDocument/2006/relationships/hyperlink" Target="mailto:fgrobalino23@gmail.com" TargetMode="External"/><Relationship Id="rId62" Type="http://schemas.openxmlformats.org/officeDocument/2006/relationships/hyperlink" Target="mailto:paulisemperteguiv@hotmail.com" TargetMode="External"/><Relationship Id="rId70" Type="http://schemas.openxmlformats.org/officeDocument/2006/relationships/hyperlink" Target="mailto:kamila.molinaorellana@gmail.com" TargetMode="External"/><Relationship Id="rId1" Type="http://schemas.openxmlformats.org/officeDocument/2006/relationships/hyperlink" Target="mailto:facturaspedroc@gmail.com" TargetMode="External"/><Relationship Id="rId6" Type="http://schemas.openxmlformats.org/officeDocument/2006/relationships/hyperlink" Target="mailto:andleo83@gmail.com" TargetMode="External"/><Relationship Id="rId15" Type="http://schemas.openxmlformats.org/officeDocument/2006/relationships/hyperlink" Target="mailto:joajara@gmail.com" TargetMode="External"/><Relationship Id="rId23" Type="http://schemas.openxmlformats.org/officeDocument/2006/relationships/hyperlink" Target="mailto:supervisor1@empresencia.com" TargetMode="External"/><Relationship Id="rId28" Type="http://schemas.openxmlformats.org/officeDocument/2006/relationships/hyperlink" Target="mailto:belen_jerves@hotmail.com" TargetMode="External"/><Relationship Id="rId36" Type="http://schemas.openxmlformats.org/officeDocument/2006/relationships/hyperlink" Target="mailto:yamaraygh@yahoo.com" TargetMode="External"/><Relationship Id="rId49" Type="http://schemas.openxmlformats.org/officeDocument/2006/relationships/hyperlink" Target="mailto:alejosantander11@gmail.com" TargetMode="External"/><Relationship Id="rId57" Type="http://schemas.openxmlformats.org/officeDocument/2006/relationships/hyperlink" Target="mailto:chelita-reyes@hotmail.com" TargetMode="External"/><Relationship Id="rId10" Type="http://schemas.openxmlformats.org/officeDocument/2006/relationships/hyperlink" Target="mailto:totocarrasco12@hotmail.com" TargetMode="External"/><Relationship Id="rId31" Type="http://schemas.openxmlformats.org/officeDocument/2006/relationships/hyperlink" Target="mailto:zoilamejiasaca@gmail.com" TargetMode="External"/><Relationship Id="rId44" Type="http://schemas.openxmlformats.org/officeDocument/2006/relationships/hyperlink" Target="mailto:mayra_7mi@hotmail.com" TargetMode="External"/><Relationship Id="rId52" Type="http://schemas.openxmlformats.org/officeDocument/2006/relationships/hyperlink" Target="mailto:facturaspedroc@gmail.com" TargetMode="External"/><Relationship Id="rId60" Type="http://schemas.openxmlformats.org/officeDocument/2006/relationships/hyperlink" Target="mailto:paulisemperteguiv@hotmail.com" TargetMode="External"/><Relationship Id="rId65" Type="http://schemas.openxmlformats.org/officeDocument/2006/relationships/hyperlink" Target="mailto:fgrobalino23@gmail.com" TargetMode="External"/><Relationship Id="rId4" Type="http://schemas.openxmlformats.org/officeDocument/2006/relationships/hyperlink" Target="mailto:wiltonsolito76@hotmail.com" TargetMode="External"/><Relationship Id="rId9" Type="http://schemas.openxmlformats.org/officeDocument/2006/relationships/hyperlink" Target="mailto:totocarrasco12@hotmail.com" TargetMode="External"/><Relationship Id="rId13" Type="http://schemas.openxmlformats.org/officeDocument/2006/relationships/hyperlink" Target="mailto:andleo83@gmail.com" TargetMode="External"/><Relationship Id="rId18" Type="http://schemas.openxmlformats.org/officeDocument/2006/relationships/hyperlink" Target="mailto:gnorero@outlook.com" TargetMode="External"/><Relationship Id="rId39" Type="http://schemas.openxmlformats.org/officeDocument/2006/relationships/hyperlink" Target="mailto:dianafergarcia13@gmail.com" TargetMode="External"/><Relationship Id="rId34" Type="http://schemas.openxmlformats.org/officeDocument/2006/relationships/hyperlink" Target="mailto:arevalop242@gmail.com" TargetMode="External"/><Relationship Id="rId50" Type="http://schemas.openxmlformats.org/officeDocument/2006/relationships/hyperlink" Target="mailto:dxavicofm86@hotmail.com" TargetMode="External"/><Relationship Id="rId55" Type="http://schemas.openxmlformats.org/officeDocument/2006/relationships/hyperlink" Target="mailto:chelita-reyes@hot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ancyhue14@gmail.com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jorgemejiatkd130377@hotmail.com" TargetMode="External"/><Relationship Id="rId7" Type="http://schemas.openxmlformats.org/officeDocument/2006/relationships/hyperlink" Target="mailto:jeniffervaldivieso@gmail.com" TargetMode="External"/><Relationship Id="rId12" Type="http://schemas.openxmlformats.org/officeDocument/2006/relationships/hyperlink" Target="mailto:arevalop242@gmail.com" TargetMode="External"/><Relationship Id="rId2" Type="http://schemas.openxmlformats.org/officeDocument/2006/relationships/hyperlink" Target="mailto:nando_silva54@hotmail.com" TargetMode="External"/><Relationship Id="rId1" Type="http://schemas.openxmlformats.org/officeDocument/2006/relationships/hyperlink" Target="mailto:santiago2217@icloud.com" TargetMode="External"/><Relationship Id="rId6" Type="http://schemas.openxmlformats.org/officeDocument/2006/relationships/hyperlink" Target="mailto:avilez.juan1989@gmail.com" TargetMode="External"/><Relationship Id="rId11" Type="http://schemas.openxmlformats.org/officeDocument/2006/relationships/hyperlink" Target="mailto:chelita-reyes@hotmail.com" TargetMode="External"/><Relationship Id="rId5" Type="http://schemas.openxmlformats.org/officeDocument/2006/relationships/hyperlink" Target="mailto:dome_2407@hotmail.com" TargetMode="External"/><Relationship Id="rId10" Type="http://schemas.openxmlformats.org/officeDocument/2006/relationships/hyperlink" Target="mailto:mariaaugustaespinoza@gmail.com" TargetMode="External"/><Relationship Id="rId4" Type="http://schemas.openxmlformats.org/officeDocument/2006/relationships/hyperlink" Target="mailto:susyalmeida05@hotmail.com" TargetMode="External"/><Relationship Id="rId9" Type="http://schemas.openxmlformats.org/officeDocument/2006/relationships/hyperlink" Target="mailto:caty.palacios140@gmail.com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fernandordex@gmail.com" TargetMode="External"/><Relationship Id="rId1" Type="http://schemas.openxmlformats.org/officeDocument/2006/relationships/hyperlink" Target="mailto:ventas@comercialsolis.com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diego-andres89@yahoo.com" TargetMode="External"/><Relationship Id="rId13" Type="http://schemas.openxmlformats.org/officeDocument/2006/relationships/hyperlink" Target="mailto:berthguiracocha76@hotmail.com" TargetMode="External"/><Relationship Id="rId18" Type="http://schemas.openxmlformats.org/officeDocument/2006/relationships/hyperlink" Target="mailto:wan2good@naver.com" TargetMode="External"/><Relationship Id="rId3" Type="http://schemas.openxmlformats.org/officeDocument/2006/relationships/hyperlink" Target="mailto:angelafo@gmail.com" TargetMode="External"/><Relationship Id="rId7" Type="http://schemas.openxmlformats.org/officeDocument/2006/relationships/hyperlink" Target="mailto:rabt92@hotmail.com" TargetMode="External"/><Relationship Id="rId12" Type="http://schemas.openxmlformats.org/officeDocument/2006/relationships/hyperlink" Target="mailto:paola.baculimac6@gmail.com" TargetMode="External"/><Relationship Id="rId17" Type="http://schemas.openxmlformats.org/officeDocument/2006/relationships/hyperlink" Target="mailto:elyvp17@hotmail.com" TargetMode="External"/><Relationship Id="rId2" Type="http://schemas.openxmlformats.org/officeDocument/2006/relationships/hyperlink" Target="mailto:daysitam@gmail.com" TargetMode="External"/><Relationship Id="rId16" Type="http://schemas.openxmlformats.org/officeDocument/2006/relationships/hyperlink" Target="mailto:anipau_yanez@hotmail.com" TargetMode="External"/><Relationship Id="rId1" Type="http://schemas.openxmlformats.org/officeDocument/2006/relationships/hyperlink" Target="mailto:monseguerrero@hotmail.com" TargetMode="External"/><Relationship Id="rId6" Type="http://schemas.openxmlformats.org/officeDocument/2006/relationships/hyperlink" Target="mailto:pvickalin@gmail.com" TargetMode="External"/><Relationship Id="rId11" Type="http://schemas.openxmlformats.org/officeDocument/2006/relationships/hyperlink" Target="mailto:karina7891@hotmail.com" TargetMode="External"/><Relationship Id="rId5" Type="http://schemas.openxmlformats.org/officeDocument/2006/relationships/hyperlink" Target="mailto:japgloria@yahoo.com" TargetMode="External"/><Relationship Id="rId15" Type="http://schemas.openxmlformats.org/officeDocument/2006/relationships/hyperlink" Target="mailto:adrianaordo&#241;ezmolina@hotmail.com" TargetMode="External"/><Relationship Id="rId10" Type="http://schemas.openxmlformats.org/officeDocument/2006/relationships/hyperlink" Target="mailto:administracion@pinfre.com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mailto:cecilia_63@hotmail.com" TargetMode="External"/><Relationship Id="rId9" Type="http://schemas.openxmlformats.org/officeDocument/2006/relationships/hyperlink" Target="mailto:gabrielaf.orellana@gmail.com" TargetMode="External"/><Relationship Id="rId14" Type="http://schemas.openxmlformats.org/officeDocument/2006/relationships/hyperlink" Target="mailto:patofertor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98"/>
  <sheetViews>
    <sheetView tabSelected="1" topLeftCell="A80" zoomScale="127" zoomScaleNormal="127" workbookViewId="0">
      <selection activeCell="M71" sqref="M71"/>
    </sheetView>
  </sheetViews>
  <sheetFormatPr baseColWidth="10" defaultRowHeight="15"/>
  <cols>
    <col min="1" max="1" width="11.6640625" bestFit="1" customWidth="1"/>
    <col min="2" max="2" width="12.5" bestFit="1" customWidth="1"/>
    <col min="4" max="4" width="11.6640625" bestFit="1" customWidth="1"/>
    <col min="5" max="5" width="18" customWidth="1"/>
    <col min="6" max="6" width="15.1640625" customWidth="1"/>
    <col min="7" max="7" width="23.33203125" bestFit="1" customWidth="1"/>
    <col min="8" max="8" width="11.6640625" bestFit="1" customWidth="1"/>
    <col min="11" max="11" width="14.5" customWidth="1"/>
    <col min="12" max="12" width="17.1640625" customWidth="1"/>
    <col min="13" max="13" width="11.6640625" bestFit="1" customWidth="1"/>
    <col min="14" max="14" width="13.5" bestFit="1" customWidth="1"/>
    <col min="15" max="15" width="11.6640625" bestFit="1" customWidth="1"/>
    <col min="16" max="16" width="23.1640625" customWidth="1"/>
    <col min="18" max="18" width="11.6640625" bestFit="1" customWidth="1"/>
    <col min="19" max="19" width="11.83203125" bestFit="1" customWidth="1"/>
    <col min="20" max="20" width="16.664062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111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2.25" customHeight="1">
      <c r="A6">
        <v>1</v>
      </c>
      <c r="B6" s="210">
        <v>45419</v>
      </c>
      <c r="C6" s="209" t="s">
        <v>93</v>
      </c>
      <c r="D6" s="209" t="s">
        <v>104</v>
      </c>
      <c r="E6" s="189">
        <v>112570068</v>
      </c>
      <c r="F6" s="209" t="s">
        <v>107</v>
      </c>
      <c r="G6" s="209" t="s">
        <v>116</v>
      </c>
      <c r="H6" s="189" t="s">
        <v>42</v>
      </c>
      <c r="I6" s="189" t="s">
        <v>75</v>
      </c>
      <c r="J6" s="189" t="s">
        <v>76</v>
      </c>
      <c r="K6" s="211">
        <v>45555</v>
      </c>
      <c r="L6" s="212" t="s">
        <v>105</v>
      </c>
      <c r="M6" s="212" t="s">
        <v>100</v>
      </c>
      <c r="N6" s="209">
        <v>984912808</v>
      </c>
      <c r="O6" s="213">
        <v>20</v>
      </c>
      <c r="P6" s="189" t="s">
        <v>22</v>
      </c>
      <c r="Q6" s="189" t="s">
        <v>75</v>
      </c>
      <c r="R6" s="214"/>
      <c r="S6" s="209" t="s">
        <v>104</v>
      </c>
      <c r="T6" s="215">
        <v>103789335</v>
      </c>
      <c r="U6" s="216" t="s">
        <v>117</v>
      </c>
    </row>
    <row r="7" spans="1:21" ht="32.25" customHeight="1">
      <c r="A7">
        <v>2</v>
      </c>
      <c r="B7" s="210">
        <v>45419</v>
      </c>
      <c r="C7" s="209" t="s">
        <v>93</v>
      </c>
      <c r="D7" s="209" t="s">
        <v>104</v>
      </c>
      <c r="E7" s="189">
        <v>40480321</v>
      </c>
      <c r="F7" s="209" t="s">
        <v>118</v>
      </c>
      <c r="G7" s="209" t="s">
        <v>119</v>
      </c>
      <c r="H7" s="189" t="s">
        <v>42</v>
      </c>
      <c r="I7" s="189" t="s">
        <v>75</v>
      </c>
      <c r="J7" s="189" t="s">
        <v>76</v>
      </c>
      <c r="K7" s="211">
        <v>45555</v>
      </c>
      <c r="L7" s="212" t="s">
        <v>105</v>
      </c>
      <c r="M7" s="212" t="s">
        <v>100</v>
      </c>
      <c r="N7" s="209">
        <v>984912808</v>
      </c>
      <c r="O7" s="213">
        <v>30</v>
      </c>
      <c r="P7" s="189" t="s">
        <v>22</v>
      </c>
      <c r="Q7" s="189" t="s">
        <v>75</v>
      </c>
      <c r="R7" s="214"/>
      <c r="S7" s="209" t="s">
        <v>104</v>
      </c>
      <c r="T7" s="215">
        <v>103789335</v>
      </c>
      <c r="U7" s="216" t="s">
        <v>117</v>
      </c>
    </row>
    <row r="8" spans="1:21" ht="32.25" customHeight="1">
      <c r="A8">
        <v>3</v>
      </c>
      <c r="B8" s="201" t="s">
        <v>120</v>
      </c>
      <c r="C8" s="209" t="s">
        <v>121</v>
      </c>
      <c r="D8" s="209" t="s">
        <v>122</v>
      </c>
      <c r="E8" s="189">
        <v>112570128</v>
      </c>
      <c r="F8" s="209" t="s">
        <v>123</v>
      </c>
      <c r="G8" s="209" t="s">
        <v>124</v>
      </c>
      <c r="H8" s="189" t="s">
        <v>42</v>
      </c>
      <c r="I8" s="189" t="s">
        <v>75</v>
      </c>
      <c r="J8" s="189" t="s">
        <v>76</v>
      </c>
      <c r="K8" s="211">
        <v>45556</v>
      </c>
      <c r="L8" s="212" t="s">
        <v>125</v>
      </c>
      <c r="M8" s="212" t="s">
        <v>126</v>
      </c>
      <c r="N8" s="209">
        <v>987952354</v>
      </c>
      <c r="O8" s="213">
        <v>15</v>
      </c>
      <c r="P8" s="189" t="s">
        <v>22</v>
      </c>
      <c r="Q8" s="189" t="s">
        <v>75</v>
      </c>
      <c r="R8" s="214"/>
      <c r="S8" s="209" t="s">
        <v>122</v>
      </c>
      <c r="T8" s="215">
        <v>103437125</v>
      </c>
      <c r="U8" s="216" t="s">
        <v>127</v>
      </c>
    </row>
    <row r="9" spans="1:21" ht="32.25" customHeight="1">
      <c r="A9">
        <v>4</v>
      </c>
      <c r="B9" s="201" t="s">
        <v>120</v>
      </c>
      <c r="C9" s="209" t="s">
        <v>121</v>
      </c>
      <c r="D9" s="209" t="s">
        <v>122</v>
      </c>
      <c r="E9" s="189">
        <v>111000051</v>
      </c>
      <c r="F9" s="209" t="s">
        <v>88</v>
      </c>
      <c r="G9" s="209" t="s">
        <v>128</v>
      </c>
      <c r="H9" s="189" t="s">
        <v>42</v>
      </c>
      <c r="I9" s="189" t="s">
        <v>75</v>
      </c>
      <c r="J9" s="189" t="s">
        <v>76</v>
      </c>
      <c r="K9" s="211">
        <v>45556</v>
      </c>
      <c r="L9" s="212" t="s">
        <v>125</v>
      </c>
      <c r="M9" s="212" t="s">
        <v>126</v>
      </c>
      <c r="N9" s="209">
        <v>987952354</v>
      </c>
      <c r="O9" s="213">
        <v>15</v>
      </c>
      <c r="P9" s="189" t="s">
        <v>22</v>
      </c>
      <c r="Q9" s="189" t="s">
        <v>75</v>
      </c>
      <c r="R9" s="214"/>
      <c r="S9" s="209" t="s">
        <v>122</v>
      </c>
      <c r="T9" s="215">
        <v>103437125</v>
      </c>
      <c r="U9" s="216" t="s">
        <v>127</v>
      </c>
    </row>
    <row r="10" spans="1:21" ht="32.25" customHeight="1">
      <c r="A10">
        <v>5</v>
      </c>
      <c r="B10" s="201" t="s">
        <v>120</v>
      </c>
      <c r="C10" s="209" t="s">
        <v>121</v>
      </c>
      <c r="D10" s="209" t="s">
        <v>122</v>
      </c>
      <c r="E10" s="189">
        <v>40584202</v>
      </c>
      <c r="F10" s="209" t="s">
        <v>101</v>
      </c>
      <c r="G10" s="209" t="s">
        <v>129</v>
      </c>
      <c r="H10" s="189" t="s">
        <v>42</v>
      </c>
      <c r="I10" s="189" t="s">
        <v>75</v>
      </c>
      <c r="J10" s="189" t="s">
        <v>76</v>
      </c>
      <c r="K10" s="211">
        <v>45556</v>
      </c>
      <c r="L10" s="212" t="s">
        <v>125</v>
      </c>
      <c r="M10" s="212" t="s">
        <v>126</v>
      </c>
      <c r="N10" s="209">
        <v>987952354</v>
      </c>
      <c r="O10" s="213">
        <v>15</v>
      </c>
      <c r="P10" s="189" t="s">
        <v>22</v>
      </c>
      <c r="Q10" s="189" t="s">
        <v>75</v>
      </c>
      <c r="R10" s="214"/>
      <c r="S10" s="209" t="s">
        <v>122</v>
      </c>
      <c r="T10" s="215">
        <v>103437125</v>
      </c>
      <c r="U10" s="216" t="s">
        <v>127</v>
      </c>
    </row>
    <row r="11" spans="1:21" ht="32.25" customHeight="1">
      <c r="A11">
        <v>6</v>
      </c>
      <c r="B11" s="201">
        <v>45501</v>
      </c>
      <c r="C11" s="190" t="s">
        <v>87</v>
      </c>
      <c r="D11" s="190" t="s">
        <v>130</v>
      </c>
      <c r="E11" s="189">
        <v>112570068</v>
      </c>
      <c r="F11" s="190" t="s">
        <v>107</v>
      </c>
      <c r="G11" s="190" t="s">
        <v>131</v>
      </c>
      <c r="H11" s="189" t="s">
        <v>42</v>
      </c>
      <c r="I11" s="202" t="s">
        <v>75</v>
      </c>
      <c r="J11" s="202" t="s">
        <v>76</v>
      </c>
      <c r="K11" s="203">
        <v>45560</v>
      </c>
      <c r="L11" s="206" t="s">
        <v>132</v>
      </c>
      <c r="M11" s="206" t="s">
        <v>94</v>
      </c>
      <c r="N11" s="190">
        <v>995161428</v>
      </c>
      <c r="O11" s="191">
        <v>15</v>
      </c>
      <c r="P11" s="202" t="s">
        <v>22</v>
      </c>
      <c r="Q11" s="202" t="s">
        <v>75</v>
      </c>
      <c r="R11" s="192"/>
      <c r="S11" s="190" t="s">
        <v>130</v>
      </c>
      <c r="T11" s="204">
        <v>104806674</v>
      </c>
      <c r="U11" s="205" t="s">
        <v>142</v>
      </c>
    </row>
    <row r="12" spans="1:21" ht="32.25" customHeight="1">
      <c r="A12">
        <v>7</v>
      </c>
      <c r="B12" s="217">
        <v>45501</v>
      </c>
      <c r="C12" s="218" t="s">
        <v>87</v>
      </c>
      <c r="D12" s="219" t="s">
        <v>130</v>
      </c>
      <c r="E12" s="220">
        <v>40584105</v>
      </c>
      <c r="F12" s="219" t="s">
        <v>133</v>
      </c>
      <c r="G12" s="219" t="s">
        <v>134</v>
      </c>
      <c r="H12" s="220" t="s">
        <v>42</v>
      </c>
      <c r="I12" s="221" t="s">
        <v>75</v>
      </c>
      <c r="J12" s="221" t="s">
        <v>76</v>
      </c>
      <c r="K12" s="222">
        <v>45560</v>
      </c>
      <c r="L12" s="223" t="s">
        <v>132</v>
      </c>
      <c r="M12" s="223" t="s">
        <v>94</v>
      </c>
      <c r="N12" s="219">
        <v>995161428</v>
      </c>
      <c r="O12" s="232">
        <v>15</v>
      </c>
      <c r="P12" s="221" t="s">
        <v>22</v>
      </c>
      <c r="Q12" s="221" t="s">
        <v>75</v>
      </c>
      <c r="R12" s="224"/>
      <c r="S12" s="219" t="s">
        <v>130</v>
      </c>
      <c r="T12" s="225">
        <v>104806674</v>
      </c>
      <c r="U12" s="227" t="s">
        <v>142</v>
      </c>
    </row>
    <row r="13" spans="1:21" ht="32.25" customHeight="1">
      <c r="A13">
        <v>8</v>
      </c>
      <c r="B13" s="217">
        <v>45501</v>
      </c>
      <c r="C13" s="218" t="s">
        <v>87</v>
      </c>
      <c r="D13" s="219" t="s">
        <v>130</v>
      </c>
      <c r="E13" s="220">
        <v>111010028</v>
      </c>
      <c r="F13" s="219" t="s">
        <v>97</v>
      </c>
      <c r="G13" s="219" t="s">
        <v>135</v>
      </c>
      <c r="H13" s="220" t="s">
        <v>42</v>
      </c>
      <c r="I13" s="221" t="s">
        <v>75</v>
      </c>
      <c r="J13" s="221" t="s">
        <v>76</v>
      </c>
      <c r="K13" s="222">
        <v>45560</v>
      </c>
      <c r="L13" s="223" t="s">
        <v>132</v>
      </c>
      <c r="M13" s="223" t="s">
        <v>94</v>
      </c>
      <c r="N13" s="219">
        <v>995161428</v>
      </c>
      <c r="O13" s="232">
        <v>15</v>
      </c>
      <c r="P13" s="221" t="s">
        <v>22</v>
      </c>
      <c r="Q13" s="221" t="s">
        <v>75</v>
      </c>
      <c r="R13" s="224"/>
      <c r="S13" s="219" t="s">
        <v>130</v>
      </c>
      <c r="T13" s="225">
        <v>104806674</v>
      </c>
      <c r="U13" s="226" t="s">
        <v>142</v>
      </c>
    </row>
    <row r="14" spans="1:21" ht="32.25" customHeight="1">
      <c r="A14">
        <v>9</v>
      </c>
      <c r="B14" s="217">
        <v>45501</v>
      </c>
      <c r="C14" s="218" t="s">
        <v>87</v>
      </c>
      <c r="D14" s="219" t="s">
        <v>130</v>
      </c>
      <c r="E14" s="220">
        <v>40480321</v>
      </c>
      <c r="F14" s="209" t="s">
        <v>118</v>
      </c>
      <c r="G14" s="219" t="s">
        <v>136</v>
      </c>
      <c r="H14" s="220" t="s">
        <v>42</v>
      </c>
      <c r="I14" s="221" t="s">
        <v>75</v>
      </c>
      <c r="J14" s="221" t="s">
        <v>76</v>
      </c>
      <c r="K14" s="222">
        <v>45560</v>
      </c>
      <c r="L14" s="223" t="s">
        <v>132</v>
      </c>
      <c r="M14" s="223" t="s">
        <v>94</v>
      </c>
      <c r="N14" s="219">
        <v>995161428</v>
      </c>
      <c r="O14" s="232">
        <v>30</v>
      </c>
      <c r="P14" s="221" t="s">
        <v>22</v>
      </c>
      <c r="Q14" s="221" t="s">
        <v>75</v>
      </c>
      <c r="R14" s="224"/>
      <c r="S14" s="219" t="s">
        <v>130</v>
      </c>
      <c r="T14" s="225">
        <v>104806674</v>
      </c>
      <c r="U14" s="226" t="s">
        <v>142</v>
      </c>
    </row>
    <row r="15" spans="1:21" ht="32.25" customHeight="1">
      <c r="A15">
        <v>10</v>
      </c>
      <c r="B15" s="201">
        <v>45524</v>
      </c>
      <c r="C15" s="190" t="s">
        <v>89</v>
      </c>
      <c r="D15" s="190" t="s">
        <v>137</v>
      </c>
      <c r="E15" s="189">
        <v>40584305</v>
      </c>
      <c r="F15" s="190" t="s">
        <v>92</v>
      </c>
      <c r="G15" s="190" t="s">
        <v>138</v>
      </c>
      <c r="H15" s="189" t="s">
        <v>42</v>
      </c>
      <c r="I15" s="202" t="s">
        <v>75</v>
      </c>
      <c r="J15" s="202" t="s">
        <v>76</v>
      </c>
      <c r="K15" s="203">
        <v>45560</v>
      </c>
      <c r="L15" s="206" t="s">
        <v>139</v>
      </c>
      <c r="M15" s="206" t="s">
        <v>140</v>
      </c>
      <c r="N15" s="190">
        <v>999501112</v>
      </c>
      <c r="O15" s="191">
        <v>15</v>
      </c>
      <c r="P15" s="202" t="s">
        <v>22</v>
      </c>
      <c r="Q15" s="202" t="s">
        <v>75</v>
      </c>
      <c r="R15" s="192"/>
      <c r="S15" s="190" t="s">
        <v>137</v>
      </c>
      <c r="T15" s="204">
        <v>103906913</v>
      </c>
      <c r="U15" s="205" t="s">
        <v>141</v>
      </c>
    </row>
    <row r="16" spans="1:21" ht="32.25" customHeight="1">
      <c r="A16">
        <v>11</v>
      </c>
      <c r="B16" s="201">
        <v>45524</v>
      </c>
      <c r="C16" s="190" t="s">
        <v>89</v>
      </c>
      <c r="D16" s="190" t="s">
        <v>137</v>
      </c>
      <c r="E16" s="189">
        <v>41593015</v>
      </c>
      <c r="F16" s="190" t="s">
        <v>143</v>
      </c>
      <c r="G16" s="190" t="s">
        <v>144</v>
      </c>
      <c r="H16" s="189" t="s">
        <v>42</v>
      </c>
      <c r="I16" s="202" t="s">
        <v>75</v>
      </c>
      <c r="J16" s="202" t="s">
        <v>76</v>
      </c>
      <c r="K16" s="203">
        <v>45560</v>
      </c>
      <c r="L16" s="206" t="s">
        <v>139</v>
      </c>
      <c r="M16" s="206" t="s">
        <v>140</v>
      </c>
      <c r="N16" s="190">
        <v>999501112</v>
      </c>
      <c r="O16" s="191">
        <v>15</v>
      </c>
      <c r="P16" s="202" t="s">
        <v>22</v>
      </c>
      <c r="Q16" s="202" t="s">
        <v>75</v>
      </c>
      <c r="R16" s="192"/>
      <c r="S16" s="190" t="s">
        <v>137</v>
      </c>
      <c r="T16" s="204">
        <v>103906913</v>
      </c>
      <c r="U16" s="205" t="s">
        <v>141</v>
      </c>
    </row>
    <row r="17" spans="1:21" ht="32.25" customHeight="1">
      <c r="A17">
        <v>12</v>
      </c>
      <c r="B17" s="201">
        <v>45524</v>
      </c>
      <c r="C17" s="190" t="s">
        <v>89</v>
      </c>
      <c r="D17" s="190" t="s">
        <v>137</v>
      </c>
      <c r="E17" s="189">
        <v>40446712</v>
      </c>
      <c r="F17" s="190" t="s">
        <v>91</v>
      </c>
      <c r="G17" s="190" t="s">
        <v>145</v>
      </c>
      <c r="H17" s="189" t="s">
        <v>42</v>
      </c>
      <c r="I17" s="202" t="s">
        <v>75</v>
      </c>
      <c r="J17" s="202" t="s">
        <v>76</v>
      </c>
      <c r="K17" s="203">
        <v>45560</v>
      </c>
      <c r="L17" s="206" t="s">
        <v>139</v>
      </c>
      <c r="M17" s="206" t="s">
        <v>140</v>
      </c>
      <c r="N17" s="190">
        <v>999501112</v>
      </c>
      <c r="O17" s="191">
        <v>15</v>
      </c>
      <c r="P17" s="202" t="s">
        <v>22</v>
      </c>
      <c r="Q17" s="202" t="s">
        <v>75</v>
      </c>
      <c r="R17" s="192"/>
      <c r="S17" s="190" t="s">
        <v>137</v>
      </c>
      <c r="T17" s="204">
        <v>103906913</v>
      </c>
      <c r="U17" s="205" t="s">
        <v>141</v>
      </c>
    </row>
    <row r="18" spans="1:21" ht="32.25" customHeight="1">
      <c r="A18">
        <v>13</v>
      </c>
      <c r="B18" s="201">
        <v>45524</v>
      </c>
      <c r="C18" s="190" t="s">
        <v>89</v>
      </c>
      <c r="D18" s="190" t="s">
        <v>137</v>
      </c>
      <c r="E18" s="189">
        <v>112500047</v>
      </c>
      <c r="F18" s="190" t="s">
        <v>103</v>
      </c>
      <c r="G18" s="190" t="s">
        <v>146</v>
      </c>
      <c r="H18" s="189" t="s">
        <v>42</v>
      </c>
      <c r="I18" s="202" t="s">
        <v>75</v>
      </c>
      <c r="J18" s="202" t="s">
        <v>76</v>
      </c>
      <c r="K18" s="203">
        <v>45560</v>
      </c>
      <c r="L18" s="206" t="s">
        <v>139</v>
      </c>
      <c r="M18" s="206" t="s">
        <v>140</v>
      </c>
      <c r="N18" s="190">
        <v>999501112</v>
      </c>
      <c r="O18" s="191">
        <v>15</v>
      </c>
      <c r="P18" s="202" t="s">
        <v>22</v>
      </c>
      <c r="Q18" s="202" t="s">
        <v>75</v>
      </c>
      <c r="R18" s="192"/>
      <c r="S18" s="190" t="s">
        <v>137</v>
      </c>
      <c r="T18" s="204">
        <v>103906913</v>
      </c>
      <c r="U18" s="205" t="s">
        <v>141</v>
      </c>
    </row>
    <row r="19" spans="1:21" ht="32.25" customHeight="1">
      <c r="A19">
        <v>14</v>
      </c>
      <c r="B19" s="201" t="s">
        <v>147</v>
      </c>
      <c r="C19" s="190" t="s">
        <v>148</v>
      </c>
      <c r="D19" s="190" t="s">
        <v>149</v>
      </c>
      <c r="E19" s="189">
        <v>40480321</v>
      </c>
      <c r="F19" s="190" t="s">
        <v>118</v>
      </c>
      <c r="G19" s="190" t="s">
        <v>150</v>
      </c>
      <c r="H19" s="189" t="s">
        <v>42</v>
      </c>
      <c r="I19" s="202" t="s">
        <v>75</v>
      </c>
      <c r="J19" s="202" t="s">
        <v>76</v>
      </c>
      <c r="K19" s="203">
        <v>45561</v>
      </c>
      <c r="L19" s="206" t="s">
        <v>151</v>
      </c>
      <c r="M19" s="206" t="s">
        <v>152</v>
      </c>
      <c r="N19" s="190">
        <v>958870619</v>
      </c>
      <c r="O19" s="191">
        <v>30</v>
      </c>
      <c r="P19" s="202" t="s">
        <v>22</v>
      </c>
      <c r="Q19" s="202" t="s">
        <v>75</v>
      </c>
      <c r="R19" s="192"/>
      <c r="S19" s="190" t="s">
        <v>149</v>
      </c>
      <c r="T19" s="204">
        <v>103504841</v>
      </c>
      <c r="U19" s="205" t="s">
        <v>153</v>
      </c>
    </row>
    <row r="20" spans="1:21" ht="32.25" customHeight="1">
      <c r="A20">
        <v>15</v>
      </c>
      <c r="B20" s="201" t="s">
        <v>147</v>
      </c>
      <c r="C20" s="190" t="s">
        <v>148</v>
      </c>
      <c r="D20" s="190" t="s">
        <v>149</v>
      </c>
      <c r="E20" s="189">
        <v>41560061</v>
      </c>
      <c r="F20" s="190" t="s">
        <v>154</v>
      </c>
      <c r="G20" s="190" t="s">
        <v>155</v>
      </c>
      <c r="H20" s="189" t="s">
        <v>42</v>
      </c>
      <c r="I20" s="202" t="s">
        <v>75</v>
      </c>
      <c r="J20" s="202" t="s">
        <v>76</v>
      </c>
      <c r="K20" s="203">
        <v>45561</v>
      </c>
      <c r="L20" s="206" t="s">
        <v>151</v>
      </c>
      <c r="M20" s="206" t="s">
        <v>152</v>
      </c>
      <c r="N20" s="190">
        <v>958870619</v>
      </c>
      <c r="O20" s="191">
        <v>20</v>
      </c>
      <c r="P20" s="202" t="s">
        <v>22</v>
      </c>
      <c r="Q20" s="202" t="s">
        <v>75</v>
      </c>
      <c r="R20" s="192"/>
      <c r="S20" s="190" t="s">
        <v>149</v>
      </c>
      <c r="T20" s="204">
        <v>103504841</v>
      </c>
      <c r="U20" s="205" t="s">
        <v>153</v>
      </c>
    </row>
    <row r="21" spans="1:21" ht="32.25" customHeight="1">
      <c r="A21">
        <v>16</v>
      </c>
      <c r="B21" s="201">
        <v>45528</v>
      </c>
      <c r="C21" s="190" t="s">
        <v>121</v>
      </c>
      <c r="D21" s="190" t="s">
        <v>156</v>
      </c>
      <c r="E21" s="189">
        <v>111000051</v>
      </c>
      <c r="F21" s="190" t="s">
        <v>88</v>
      </c>
      <c r="G21" s="190" t="s">
        <v>157</v>
      </c>
      <c r="H21" s="189" t="s">
        <v>42</v>
      </c>
      <c r="I21" s="202" t="s">
        <v>75</v>
      </c>
      <c r="J21" s="202" t="s">
        <v>76</v>
      </c>
      <c r="K21" s="203">
        <v>45563</v>
      </c>
      <c r="L21" s="206" t="s">
        <v>158</v>
      </c>
      <c r="M21" s="206" t="s">
        <v>159</v>
      </c>
      <c r="N21" s="190">
        <v>995365267</v>
      </c>
      <c r="O21" s="191">
        <v>20</v>
      </c>
      <c r="P21" s="202" t="s">
        <v>22</v>
      </c>
      <c r="Q21" s="202" t="s">
        <v>75</v>
      </c>
      <c r="R21" s="192"/>
      <c r="S21" s="190" t="s">
        <v>156</v>
      </c>
      <c r="T21" s="204">
        <v>104211685</v>
      </c>
      <c r="U21" s="205" t="s">
        <v>160</v>
      </c>
    </row>
    <row r="22" spans="1:21" ht="32.25" customHeight="1">
      <c r="A22">
        <v>17</v>
      </c>
      <c r="B22" s="201">
        <v>45528</v>
      </c>
      <c r="C22" s="190" t="s">
        <v>121</v>
      </c>
      <c r="D22" s="190" t="s">
        <v>156</v>
      </c>
      <c r="E22" s="189">
        <v>40584202</v>
      </c>
      <c r="F22" s="190" t="s">
        <v>101</v>
      </c>
      <c r="G22" s="190" t="s">
        <v>161</v>
      </c>
      <c r="H22" s="189" t="s">
        <v>42</v>
      </c>
      <c r="I22" s="202" t="s">
        <v>75</v>
      </c>
      <c r="J22" s="202" t="s">
        <v>76</v>
      </c>
      <c r="K22" s="203">
        <v>45563</v>
      </c>
      <c r="L22" s="206" t="s">
        <v>158</v>
      </c>
      <c r="M22" s="206" t="s">
        <v>159</v>
      </c>
      <c r="N22" s="190">
        <v>995365267</v>
      </c>
      <c r="O22" s="191">
        <v>20</v>
      </c>
      <c r="P22" s="202" t="s">
        <v>22</v>
      </c>
      <c r="Q22" s="202" t="s">
        <v>75</v>
      </c>
      <c r="R22" s="192"/>
      <c r="S22" s="190" t="s">
        <v>156</v>
      </c>
      <c r="T22" s="204">
        <v>104211685</v>
      </c>
      <c r="U22" s="205" t="s">
        <v>160</v>
      </c>
    </row>
    <row r="23" spans="1:21" ht="32.25" customHeight="1">
      <c r="A23">
        <v>18</v>
      </c>
      <c r="B23" s="201">
        <v>45396</v>
      </c>
      <c r="C23" s="190" t="s">
        <v>87</v>
      </c>
      <c r="D23" s="190" t="s">
        <v>162</v>
      </c>
      <c r="E23" s="189">
        <v>40584202</v>
      </c>
      <c r="F23" s="190" t="s">
        <v>101</v>
      </c>
      <c r="G23" s="190" t="s">
        <v>163</v>
      </c>
      <c r="H23" s="189" t="s">
        <v>42</v>
      </c>
      <c r="I23" s="202" t="s">
        <v>75</v>
      </c>
      <c r="J23" s="202" t="s">
        <v>76</v>
      </c>
      <c r="K23" s="203">
        <v>45565</v>
      </c>
      <c r="L23" s="206" t="s">
        <v>164</v>
      </c>
      <c r="M23" s="206" t="s">
        <v>165</v>
      </c>
      <c r="N23" s="190">
        <v>963127819</v>
      </c>
      <c r="O23" s="191">
        <v>15</v>
      </c>
      <c r="P23" s="202" t="s">
        <v>22</v>
      </c>
      <c r="Q23" s="202" t="s">
        <v>75</v>
      </c>
      <c r="R23" s="192"/>
      <c r="S23" s="190" t="s">
        <v>162</v>
      </c>
      <c r="T23" s="204">
        <v>913008413</v>
      </c>
      <c r="U23" s="205" t="s">
        <v>167</v>
      </c>
    </row>
    <row r="24" spans="1:21" ht="32.25" customHeight="1">
      <c r="A24">
        <v>19</v>
      </c>
      <c r="B24" s="201">
        <v>45396</v>
      </c>
      <c r="C24" s="190" t="s">
        <v>87</v>
      </c>
      <c r="D24" s="190" t="s">
        <v>162</v>
      </c>
      <c r="E24" s="189">
        <v>111000050</v>
      </c>
      <c r="F24" s="190" t="s">
        <v>90</v>
      </c>
      <c r="G24" s="190" t="s">
        <v>168</v>
      </c>
      <c r="H24" s="189" t="s">
        <v>42</v>
      </c>
      <c r="I24" s="202" t="s">
        <v>75</v>
      </c>
      <c r="J24" s="202" t="s">
        <v>76</v>
      </c>
      <c r="K24" s="203">
        <v>45565</v>
      </c>
      <c r="L24" s="206" t="s">
        <v>164</v>
      </c>
      <c r="M24" s="206" t="s">
        <v>165</v>
      </c>
      <c r="N24" s="190">
        <v>963127819</v>
      </c>
      <c r="O24" s="191">
        <v>15</v>
      </c>
      <c r="P24" s="202" t="s">
        <v>22</v>
      </c>
      <c r="Q24" s="202" t="s">
        <v>75</v>
      </c>
      <c r="R24" s="192"/>
      <c r="S24" s="190" t="s">
        <v>162</v>
      </c>
      <c r="T24" s="204">
        <v>913008413</v>
      </c>
      <c r="U24" s="205" t="s">
        <v>167</v>
      </c>
    </row>
    <row r="25" spans="1:21" ht="32.25" customHeight="1">
      <c r="A25">
        <v>20</v>
      </c>
      <c r="B25" s="201">
        <v>45396</v>
      </c>
      <c r="C25" s="190" t="s">
        <v>87</v>
      </c>
      <c r="D25" s="190" t="s">
        <v>166</v>
      </c>
      <c r="E25" s="189">
        <v>112580017</v>
      </c>
      <c r="F25" s="190" t="s">
        <v>108</v>
      </c>
      <c r="G25" s="190" t="s">
        <v>169</v>
      </c>
      <c r="H25" s="189" t="s">
        <v>42</v>
      </c>
      <c r="I25" s="202" t="s">
        <v>75</v>
      </c>
      <c r="J25" s="202" t="s">
        <v>76</v>
      </c>
      <c r="K25" s="203">
        <v>45565</v>
      </c>
      <c r="L25" s="206" t="s">
        <v>164</v>
      </c>
      <c r="M25" s="206" t="s">
        <v>165</v>
      </c>
      <c r="N25" s="190">
        <v>963127819</v>
      </c>
      <c r="O25" s="191">
        <v>15</v>
      </c>
      <c r="P25" s="202" t="s">
        <v>22</v>
      </c>
      <c r="Q25" s="202" t="s">
        <v>75</v>
      </c>
      <c r="R25" s="192"/>
      <c r="S25" s="190" t="s">
        <v>166</v>
      </c>
      <c r="T25" s="204">
        <v>913008413</v>
      </c>
      <c r="U25" s="205" t="s">
        <v>167</v>
      </c>
    </row>
    <row r="26" spans="1:21" ht="32.25" customHeight="1">
      <c r="A26">
        <v>21</v>
      </c>
      <c r="B26" s="201">
        <v>45518</v>
      </c>
      <c r="C26" s="190" t="s">
        <v>121</v>
      </c>
      <c r="D26" s="190" t="s">
        <v>170</v>
      </c>
      <c r="E26" s="189">
        <v>112520025</v>
      </c>
      <c r="F26" s="190" t="s">
        <v>106</v>
      </c>
      <c r="G26" s="190" t="s">
        <v>171</v>
      </c>
      <c r="H26" s="189" t="s">
        <v>42</v>
      </c>
      <c r="I26" s="202" t="s">
        <v>75</v>
      </c>
      <c r="J26" s="202" t="s">
        <v>76</v>
      </c>
      <c r="K26" s="203">
        <v>45565</v>
      </c>
      <c r="L26" s="206" t="s">
        <v>172</v>
      </c>
      <c r="M26" s="206" t="s">
        <v>173</v>
      </c>
      <c r="N26" s="190">
        <v>2422890</v>
      </c>
      <c r="O26" s="191">
        <v>15</v>
      </c>
      <c r="P26" s="202" t="s">
        <v>22</v>
      </c>
      <c r="Q26" s="202" t="s">
        <v>75</v>
      </c>
      <c r="R26" s="192"/>
      <c r="S26" s="190" t="s">
        <v>170</v>
      </c>
      <c r="T26" s="204">
        <v>1790253856</v>
      </c>
      <c r="U26" s="205" t="s">
        <v>174</v>
      </c>
    </row>
    <row r="27" spans="1:21" ht="32.25" customHeight="1">
      <c r="A27">
        <v>22</v>
      </c>
      <c r="B27" s="201">
        <v>45518</v>
      </c>
      <c r="C27" s="190" t="s">
        <v>121</v>
      </c>
      <c r="D27" s="190" t="s">
        <v>170</v>
      </c>
      <c r="E27" s="189">
        <v>41560041</v>
      </c>
      <c r="F27" s="190" t="s">
        <v>175</v>
      </c>
      <c r="G27" s="190" t="s">
        <v>176</v>
      </c>
      <c r="H27" s="189" t="s">
        <v>42</v>
      </c>
      <c r="I27" s="202" t="s">
        <v>75</v>
      </c>
      <c r="J27" s="202" t="s">
        <v>76</v>
      </c>
      <c r="K27" s="203">
        <v>45565</v>
      </c>
      <c r="L27" s="206" t="s">
        <v>172</v>
      </c>
      <c r="M27" s="206" t="s">
        <v>173</v>
      </c>
      <c r="N27" s="190">
        <v>2422890</v>
      </c>
      <c r="O27" s="191">
        <v>15</v>
      </c>
      <c r="P27" s="202" t="s">
        <v>22</v>
      </c>
      <c r="Q27" s="202" t="s">
        <v>75</v>
      </c>
      <c r="R27" s="192"/>
      <c r="S27" s="190" t="s">
        <v>170</v>
      </c>
      <c r="T27" s="204">
        <v>1790253856</v>
      </c>
      <c r="U27" s="205" t="s">
        <v>174</v>
      </c>
    </row>
    <row r="28" spans="1:21" ht="32.25" customHeight="1">
      <c r="A28">
        <v>23</v>
      </c>
      <c r="B28" s="201">
        <v>45518</v>
      </c>
      <c r="C28" s="190" t="s">
        <v>121</v>
      </c>
      <c r="D28" s="190" t="s">
        <v>170</v>
      </c>
      <c r="E28" s="189">
        <v>40487192</v>
      </c>
      <c r="F28" s="190" t="s">
        <v>98</v>
      </c>
      <c r="G28" s="190" t="s">
        <v>177</v>
      </c>
      <c r="H28" s="189" t="s">
        <v>42</v>
      </c>
      <c r="I28" s="202" t="s">
        <v>75</v>
      </c>
      <c r="J28" s="202" t="s">
        <v>76</v>
      </c>
      <c r="K28" s="203">
        <v>45565</v>
      </c>
      <c r="L28" s="206" t="s">
        <v>172</v>
      </c>
      <c r="M28" s="206" t="s">
        <v>173</v>
      </c>
      <c r="N28" s="190">
        <v>2422890</v>
      </c>
      <c r="O28" s="191">
        <v>15</v>
      </c>
      <c r="P28" s="202" t="s">
        <v>22</v>
      </c>
      <c r="Q28" s="202" t="s">
        <v>75</v>
      </c>
      <c r="R28" s="192"/>
      <c r="S28" s="190" t="s">
        <v>170</v>
      </c>
      <c r="T28" s="204">
        <v>1790253856</v>
      </c>
      <c r="U28" s="205" t="s">
        <v>174</v>
      </c>
    </row>
    <row r="29" spans="1:21" ht="32.25" customHeight="1">
      <c r="A29">
        <v>24</v>
      </c>
      <c r="B29" s="201">
        <v>45560</v>
      </c>
      <c r="C29" s="190" t="s">
        <v>121</v>
      </c>
      <c r="D29" s="190" t="s">
        <v>178</v>
      </c>
      <c r="E29" s="189">
        <v>40487192</v>
      </c>
      <c r="F29" s="190" t="s">
        <v>98</v>
      </c>
      <c r="G29" s="190" t="s">
        <v>179</v>
      </c>
      <c r="H29" s="189" t="s">
        <v>42</v>
      </c>
      <c r="I29" s="202" t="s">
        <v>75</v>
      </c>
      <c r="J29" s="202" t="s">
        <v>76</v>
      </c>
      <c r="K29" s="203">
        <v>45566</v>
      </c>
      <c r="L29" s="206" t="s">
        <v>180</v>
      </c>
      <c r="M29" s="206" t="s">
        <v>94</v>
      </c>
      <c r="N29" s="190">
        <v>997233088</v>
      </c>
      <c r="O29" s="191">
        <v>20</v>
      </c>
      <c r="P29" s="202" t="s">
        <v>22</v>
      </c>
      <c r="Q29" s="202" t="s">
        <v>75</v>
      </c>
      <c r="R29" s="192"/>
      <c r="S29" s="190" t="s">
        <v>178</v>
      </c>
      <c r="T29" s="204">
        <v>102298635</v>
      </c>
      <c r="U29" s="205" t="s">
        <v>181</v>
      </c>
    </row>
    <row r="30" spans="1:21" ht="32.25" customHeight="1">
      <c r="A30">
        <v>25</v>
      </c>
      <c r="B30" s="217">
        <v>45560</v>
      </c>
      <c r="C30" s="218" t="s">
        <v>121</v>
      </c>
      <c r="D30" s="219" t="s">
        <v>178</v>
      </c>
      <c r="E30" s="220">
        <v>112570126</v>
      </c>
      <c r="F30" s="219" t="s">
        <v>182</v>
      </c>
      <c r="G30" s="219" t="s">
        <v>183</v>
      </c>
      <c r="H30" s="220" t="s">
        <v>42</v>
      </c>
      <c r="I30" s="221" t="s">
        <v>75</v>
      </c>
      <c r="J30" s="221" t="s">
        <v>76</v>
      </c>
      <c r="K30" s="222">
        <v>45566</v>
      </c>
      <c r="L30" s="223" t="s">
        <v>180</v>
      </c>
      <c r="M30" s="223" t="s">
        <v>94</v>
      </c>
      <c r="N30" s="219">
        <v>997233088</v>
      </c>
      <c r="O30" s="232">
        <v>20</v>
      </c>
      <c r="P30" s="221" t="s">
        <v>22</v>
      </c>
      <c r="Q30" s="221" t="s">
        <v>75</v>
      </c>
      <c r="R30" s="224"/>
      <c r="S30" s="219" t="s">
        <v>178</v>
      </c>
      <c r="T30" s="225">
        <v>102298635</v>
      </c>
      <c r="U30" s="226" t="s">
        <v>181</v>
      </c>
    </row>
    <row r="31" spans="1:21" ht="32.25" customHeight="1">
      <c r="A31">
        <v>26</v>
      </c>
      <c r="B31" s="201">
        <v>45493</v>
      </c>
      <c r="C31" s="190" t="s">
        <v>77</v>
      </c>
      <c r="D31" s="190" t="s">
        <v>184</v>
      </c>
      <c r="E31" s="189">
        <v>112570126</v>
      </c>
      <c r="F31" s="190" t="s">
        <v>182</v>
      </c>
      <c r="G31" s="190" t="s">
        <v>185</v>
      </c>
      <c r="H31" s="189" t="s">
        <v>42</v>
      </c>
      <c r="I31" s="202" t="s">
        <v>75</v>
      </c>
      <c r="J31" s="202" t="s">
        <v>76</v>
      </c>
      <c r="K31" s="203">
        <v>45566</v>
      </c>
      <c r="L31" s="206" t="s">
        <v>186</v>
      </c>
      <c r="M31" s="206" t="s">
        <v>187</v>
      </c>
      <c r="N31" s="190">
        <v>958634383</v>
      </c>
      <c r="O31" s="191">
        <v>15</v>
      </c>
      <c r="P31" s="202" t="s">
        <v>22</v>
      </c>
      <c r="Q31" s="202" t="s">
        <v>75</v>
      </c>
      <c r="R31" s="192"/>
      <c r="S31" s="190" t="s">
        <v>184</v>
      </c>
      <c r="T31" s="204">
        <v>102994589</v>
      </c>
      <c r="U31" s="205" t="s">
        <v>188</v>
      </c>
    </row>
    <row r="32" spans="1:21" ht="32.25" customHeight="1">
      <c r="A32">
        <v>27</v>
      </c>
      <c r="B32" s="201">
        <v>45493</v>
      </c>
      <c r="C32" s="190" t="s">
        <v>77</v>
      </c>
      <c r="D32" s="190" t="s">
        <v>184</v>
      </c>
      <c r="E32" s="189">
        <v>112030019</v>
      </c>
      <c r="F32" s="190" t="s">
        <v>182</v>
      </c>
      <c r="G32" s="190" t="s">
        <v>185</v>
      </c>
      <c r="H32" s="189" t="s">
        <v>42</v>
      </c>
      <c r="I32" s="202" t="s">
        <v>75</v>
      </c>
      <c r="J32" s="202" t="s">
        <v>76</v>
      </c>
      <c r="K32" s="203">
        <v>45566</v>
      </c>
      <c r="L32" s="206" t="s">
        <v>186</v>
      </c>
      <c r="M32" s="206" t="s">
        <v>187</v>
      </c>
      <c r="N32" s="190">
        <v>958634383</v>
      </c>
      <c r="O32" s="191">
        <v>15</v>
      </c>
      <c r="P32" s="202" t="s">
        <v>22</v>
      </c>
      <c r="Q32" s="202" t="s">
        <v>75</v>
      </c>
      <c r="R32" s="192"/>
      <c r="S32" s="190" t="s">
        <v>184</v>
      </c>
      <c r="T32" s="204">
        <v>102994589</v>
      </c>
      <c r="U32" s="205" t="s">
        <v>188</v>
      </c>
    </row>
    <row r="33" spans="1:21" ht="32.25" customHeight="1">
      <c r="A33">
        <v>28</v>
      </c>
      <c r="B33" s="201">
        <v>45493</v>
      </c>
      <c r="C33" s="190" t="s">
        <v>77</v>
      </c>
      <c r="D33" s="190" t="s">
        <v>184</v>
      </c>
      <c r="E33" s="189">
        <v>111010041</v>
      </c>
      <c r="F33" s="190" t="s">
        <v>99</v>
      </c>
      <c r="G33" s="190" t="s">
        <v>191</v>
      </c>
      <c r="H33" s="189" t="s">
        <v>42</v>
      </c>
      <c r="I33" s="202" t="s">
        <v>75</v>
      </c>
      <c r="J33" s="202" t="s">
        <v>76</v>
      </c>
      <c r="K33" s="203">
        <v>45566</v>
      </c>
      <c r="L33" s="206" t="s">
        <v>186</v>
      </c>
      <c r="M33" s="206" t="s">
        <v>187</v>
      </c>
      <c r="N33" s="190">
        <v>958634383</v>
      </c>
      <c r="O33" s="191">
        <v>15</v>
      </c>
      <c r="P33" s="202" t="s">
        <v>22</v>
      </c>
      <c r="Q33" s="202" t="s">
        <v>75</v>
      </c>
      <c r="R33" s="192"/>
      <c r="S33" s="190" t="s">
        <v>184</v>
      </c>
      <c r="T33" s="204">
        <v>102994589</v>
      </c>
      <c r="U33" s="205" t="s">
        <v>188</v>
      </c>
    </row>
    <row r="34" spans="1:21" ht="32.25" customHeight="1">
      <c r="A34">
        <v>29</v>
      </c>
      <c r="B34" s="201">
        <v>45493</v>
      </c>
      <c r="C34" s="190" t="s">
        <v>77</v>
      </c>
      <c r="D34" s="190" t="s">
        <v>184</v>
      </c>
      <c r="E34" s="189">
        <v>112950021</v>
      </c>
      <c r="F34" s="190" t="s">
        <v>96</v>
      </c>
      <c r="G34" s="190" t="s">
        <v>190</v>
      </c>
      <c r="H34" s="189" t="s">
        <v>42</v>
      </c>
      <c r="I34" s="202" t="s">
        <v>75</v>
      </c>
      <c r="J34" s="202" t="s">
        <v>76</v>
      </c>
      <c r="K34" s="203">
        <v>45566</v>
      </c>
      <c r="L34" s="206" t="s">
        <v>186</v>
      </c>
      <c r="M34" s="206" t="s">
        <v>187</v>
      </c>
      <c r="N34" s="190">
        <v>958634383</v>
      </c>
      <c r="O34" s="191">
        <v>15</v>
      </c>
      <c r="P34" s="202" t="s">
        <v>22</v>
      </c>
      <c r="Q34" s="202" t="s">
        <v>75</v>
      </c>
      <c r="R34" s="192"/>
      <c r="S34" s="190" t="s">
        <v>184</v>
      </c>
      <c r="T34" s="204">
        <v>102994589</v>
      </c>
      <c r="U34" s="205" t="s">
        <v>188</v>
      </c>
    </row>
    <row r="35" spans="1:21" ht="32.25" customHeight="1">
      <c r="A35">
        <v>30</v>
      </c>
      <c r="B35" s="201">
        <v>45493</v>
      </c>
      <c r="C35" s="190" t="s">
        <v>77</v>
      </c>
      <c r="D35" s="190" t="s">
        <v>184</v>
      </c>
      <c r="E35" s="189">
        <v>113610005</v>
      </c>
      <c r="F35" s="190" t="s">
        <v>102</v>
      </c>
      <c r="G35" s="190" t="s">
        <v>189</v>
      </c>
      <c r="H35" s="189" t="s">
        <v>42</v>
      </c>
      <c r="I35" s="202" t="s">
        <v>75</v>
      </c>
      <c r="J35" s="202" t="s">
        <v>76</v>
      </c>
      <c r="K35" s="203">
        <v>45566</v>
      </c>
      <c r="L35" s="206" t="s">
        <v>186</v>
      </c>
      <c r="M35" s="206" t="s">
        <v>187</v>
      </c>
      <c r="N35" s="190">
        <v>958634383</v>
      </c>
      <c r="O35" s="191">
        <v>15</v>
      </c>
      <c r="P35" s="202" t="s">
        <v>22</v>
      </c>
      <c r="Q35" s="202" t="s">
        <v>75</v>
      </c>
      <c r="R35" s="192"/>
      <c r="S35" s="190" t="s">
        <v>184</v>
      </c>
      <c r="T35" s="204">
        <v>102994589</v>
      </c>
      <c r="U35" s="205" t="s">
        <v>188</v>
      </c>
    </row>
    <row r="36" spans="1:21" ht="32.25" customHeight="1">
      <c r="A36">
        <v>31</v>
      </c>
      <c r="B36" s="201">
        <v>45345</v>
      </c>
      <c r="C36" s="190" t="s">
        <v>95</v>
      </c>
      <c r="D36" s="190" t="s">
        <v>192</v>
      </c>
      <c r="E36" s="189">
        <v>112570209</v>
      </c>
      <c r="F36" s="190" t="s">
        <v>193</v>
      </c>
      <c r="G36" s="190" t="s">
        <v>194</v>
      </c>
      <c r="H36" s="189" t="s">
        <v>42</v>
      </c>
      <c r="I36" s="202" t="s">
        <v>75</v>
      </c>
      <c r="J36" s="202" t="s">
        <v>76</v>
      </c>
      <c r="K36" s="203">
        <v>45567</v>
      </c>
      <c r="L36" s="206" t="s">
        <v>195</v>
      </c>
      <c r="M36" s="206" t="s">
        <v>110</v>
      </c>
      <c r="N36" s="190">
        <v>991097710</v>
      </c>
      <c r="O36" s="191">
        <v>20</v>
      </c>
      <c r="P36" s="202" t="s">
        <v>22</v>
      </c>
      <c r="Q36" s="202" t="s">
        <v>75</v>
      </c>
      <c r="R36" s="192"/>
      <c r="S36" s="190" t="s">
        <v>192</v>
      </c>
      <c r="T36" s="204">
        <v>103660817</v>
      </c>
      <c r="U36" s="205" t="s">
        <v>196</v>
      </c>
    </row>
    <row r="37" spans="1:21" ht="32.25" customHeight="1">
      <c r="A37">
        <v>32</v>
      </c>
      <c r="B37" s="201">
        <v>45345</v>
      </c>
      <c r="C37" s="190" t="s">
        <v>95</v>
      </c>
      <c r="D37" s="190" t="s">
        <v>192</v>
      </c>
      <c r="E37" s="189">
        <v>111040006</v>
      </c>
      <c r="F37" s="190" t="s">
        <v>197</v>
      </c>
      <c r="G37" s="190" t="s">
        <v>198</v>
      </c>
      <c r="H37" s="189" t="s">
        <v>42</v>
      </c>
      <c r="I37" s="202" t="s">
        <v>75</v>
      </c>
      <c r="J37" s="202" t="s">
        <v>76</v>
      </c>
      <c r="K37" s="203">
        <v>45567</v>
      </c>
      <c r="L37" s="206" t="s">
        <v>195</v>
      </c>
      <c r="M37" s="206" t="s">
        <v>110</v>
      </c>
      <c r="N37" s="190">
        <v>991097710</v>
      </c>
      <c r="O37" s="191">
        <v>20</v>
      </c>
      <c r="P37" s="202" t="s">
        <v>22</v>
      </c>
      <c r="Q37" s="202" t="s">
        <v>75</v>
      </c>
      <c r="R37" s="192"/>
      <c r="S37" s="190" t="s">
        <v>192</v>
      </c>
      <c r="T37" s="204">
        <v>103660817</v>
      </c>
      <c r="U37" s="205" t="s">
        <v>196</v>
      </c>
    </row>
    <row r="38" spans="1:21" ht="32.25" customHeight="1">
      <c r="A38">
        <v>33</v>
      </c>
      <c r="B38" s="201">
        <v>45475</v>
      </c>
      <c r="C38" s="190" t="s">
        <v>199</v>
      </c>
      <c r="D38" s="190" t="s">
        <v>200</v>
      </c>
      <c r="E38" s="189">
        <v>40446712</v>
      </c>
      <c r="F38" s="190" t="s">
        <v>91</v>
      </c>
      <c r="G38" s="190" t="s">
        <v>201</v>
      </c>
      <c r="H38" s="189" t="s">
        <v>42</v>
      </c>
      <c r="I38" s="202" t="s">
        <v>75</v>
      </c>
      <c r="J38" s="202" t="s">
        <v>76</v>
      </c>
      <c r="K38" s="203">
        <v>45567</v>
      </c>
      <c r="L38" s="206" t="s">
        <v>202</v>
      </c>
      <c r="M38" s="206" t="s">
        <v>110</v>
      </c>
      <c r="N38" s="190">
        <v>72888566</v>
      </c>
      <c r="O38" s="191">
        <v>20</v>
      </c>
      <c r="P38" s="202" t="s">
        <v>22</v>
      </c>
      <c r="Q38" s="202" t="s">
        <v>75</v>
      </c>
      <c r="R38" s="192"/>
      <c r="S38" s="190" t="s">
        <v>200</v>
      </c>
      <c r="T38" s="204">
        <v>195096988</v>
      </c>
      <c r="U38" s="205" t="s">
        <v>203</v>
      </c>
    </row>
    <row r="39" spans="1:21" ht="32.25" customHeight="1">
      <c r="A39">
        <v>34</v>
      </c>
      <c r="B39" s="201">
        <v>45475</v>
      </c>
      <c r="C39" s="190" t="s">
        <v>199</v>
      </c>
      <c r="D39" s="190" t="s">
        <v>200</v>
      </c>
      <c r="E39" s="189">
        <v>40446712</v>
      </c>
      <c r="F39" s="190" t="s">
        <v>91</v>
      </c>
      <c r="G39" s="190" t="s">
        <v>204</v>
      </c>
      <c r="H39" s="189" t="s">
        <v>42</v>
      </c>
      <c r="I39" s="202" t="s">
        <v>75</v>
      </c>
      <c r="J39" s="202" t="s">
        <v>76</v>
      </c>
      <c r="K39" s="203">
        <v>45567</v>
      </c>
      <c r="L39" s="206" t="s">
        <v>202</v>
      </c>
      <c r="M39" s="206" t="s">
        <v>110</v>
      </c>
      <c r="N39" s="190">
        <v>72888566</v>
      </c>
      <c r="O39" s="191">
        <v>20</v>
      </c>
      <c r="P39" s="202" t="s">
        <v>22</v>
      </c>
      <c r="Q39" s="202" t="s">
        <v>75</v>
      </c>
      <c r="R39" s="192"/>
      <c r="S39" s="190" t="s">
        <v>200</v>
      </c>
      <c r="T39" s="204">
        <v>195096988</v>
      </c>
      <c r="U39" s="205" t="s">
        <v>203</v>
      </c>
    </row>
    <row r="40" spans="1:21" ht="32.25" customHeight="1">
      <c r="A40">
        <v>35</v>
      </c>
      <c r="B40" s="201">
        <v>45553</v>
      </c>
      <c r="C40" s="190" t="s">
        <v>77</v>
      </c>
      <c r="D40" s="190" t="s">
        <v>205</v>
      </c>
      <c r="E40" s="189">
        <v>112950021</v>
      </c>
      <c r="F40" s="190" t="s">
        <v>96</v>
      </c>
      <c r="G40" s="190" t="s">
        <v>206</v>
      </c>
      <c r="H40" s="189" t="s">
        <v>42</v>
      </c>
      <c r="I40" s="202" t="s">
        <v>75</v>
      </c>
      <c r="J40" s="202" t="s">
        <v>76</v>
      </c>
      <c r="K40" s="203">
        <v>45568</v>
      </c>
      <c r="L40" s="206" t="s">
        <v>207</v>
      </c>
      <c r="M40" s="206" t="s">
        <v>159</v>
      </c>
      <c r="N40" s="190">
        <v>983009654</v>
      </c>
      <c r="O40" s="191">
        <v>20</v>
      </c>
      <c r="P40" s="202" t="s">
        <v>22</v>
      </c>
      <c r="Q40" s="202" t="s">
        <v>75</v>
      </c>
      <c r="R40" s="192"/>
      <c r="S40" s="190" t="s">
        <v>205</v>
      </c>
      <c r="T40" s="204">
        <v>104851647</v>
      </c>
      <c r="U40" s="205" t="s">
        <v>208</v>
      </c>
    </row>
    <row r="41" spans="1:21" ht="32.25" customHeight="1">
      <c r="A41">
        <v>36</v>
      </c>
      <c r="B41" s="201">
        <v>45553</v>
      </c>
      <c r="C41" s="190" t="s">
        <v>77</v>
      </c>
      <c r="D41" s="190" t="s">
        <v>205</v>
      </c>
      <c r="E41" s="189">
        <v>111030002</v>
      </c>
      <c r="F41" s="190" t="s">
        <v>209</v>
      </c>
      <c r="G41" s="190" t="s">
        <v>210</v>
      </c>
      <c r="H41" s="189" t="s">
        <v>42</v>
      </c>
      <c r="I41" s="202" t="s">
        <v>75</v>
      </c>
      <c r="J41" s="202" t="s">
        <v>76</v>
      </c>
      <c r="K41" s="203">
        <v>45568</v>
      </c>
      <c r="L41" s="206" t="s">
        <v>207</v>
      </c>
      <c r="M41" s="206" t="s">
        <v>159</v>
      </c>
      <c r="N41" s="190">
        <v>983009654</v>
      </c>
      <c r="O41" s="191">
        <v>20</v>
      </c>
      <c r="P41" s="202" t="s">
        <v>22</v>
      </c>
      <c r="Q41" s="202" t="s">
        <v>75</v>
      </c>
      <c r="R41" s="192"/>
      <c r="S41" s="190" t="s">
        <v>205</v>
      </c>
      <c r="T41" s="204">
        <v>104851647</v>
      </c>
      <c r="U41" s="205" t="s">
        <v>208</v>
      </c>
    </row>
    <row r="42" spans="1:21" ht="32.25" customHeight="1">
      <c r="A42">
        <v>37</v>
      </c>
      <c r="B42" s="201">
        <v>45520</v>
      </c>
      <c r="C42" s="190" t="s">
        <v>93</v>
      </c>
      <c r="D42" s="190" t="s">
        <v>211</v>
      </c>
      <c r="E42" s="189">
        <v>111000051</v>
      </c>
      <c r="F42" s="190" t="s">
        <v>88</v>
      </c>
      <c r="G42" s="190" t="s">
        <v>212</v>
      </c>
      <c r="H42" s="189" t="s">
        <v>42</v>
      </c>
      <c r="I42" s="202" t="s">
        <v>75</v>
      </c>
      <c r="J42" s="202" t="s">
        <v>76</v>
      </c>
      <c r="K42" s="203">
        <v>45568</v>
      </c>
      <c r="L42" s="206" t="s">
        <v>213</v>
      </c>
      <c r="M42" s="206" t="s">
        <v>214</v>
      </c>
      <c r="N42" s="190">
        <v>995635852</v>
      </c>
      <c r="O42" s="191">
        <v>15</v>
      </c>
      <c r="P42" s="202" t="s">
        <v>22</v>
      </c>
      <c r="Q42" s="202" t="s">
        <v>75</v>
      </c>
      <c r="R42" s="192"/>
      <c r="S42" s="190" t="s">
        <v>211</v>
      </c>
      <c r="T42" s="204">
        <v>103206249</v>
      </c>
      <c r="U42" s="205" t="s">
        <v>215</v>
      </c>
    </row>
    <row r="43" spans="1:21" ht="32.25" customHeight="1">
      <c r="A43">
        <v>38</v>
      </c>
      <c r="B43" s="201">
        <v>45520</v>
      </c>
      <c r="C43" s="190" t="s">
        <v>93</v>
      </c>
      <c r="D43" s="190" t="s">
        <v>211</v>
      </c>
      <c r="E43" s="189">
        <v>40455334</v>
      </c>
      <c r="F43" s="190" t="s">
        <v>216</v>
      </c>
      <c r="G43" s="190" t="s">
        <v>217</v>
      </c>
      <c r="H43" s="189" t="s">
        <v>42</v>
      </c>
      <c r="I43" s="202" t="s">
        <v>75</v>
      </c>
      <c r="J43" s="202" t="s">
        <v>76</v>
      </c>
      <c r="K43" s="203">
        <v>45568</v>
      </c>
      <c r="L43" s="206" t="s">
        <v>213</v>
      </c>
      <c r="M43" s="206" t="s">
        <v>214</v>
      </c>
      <c r="N43" s="190">
        <v>995635852</v>
      </c>
      <c r="O43" s="191">
        <v>15</v>
      </c>
      <c r="P43" s="202" t="s">
        <v>22</v>
      </c>
      <c r="Q43" s="202" t="s">
        <v>75</v>
      </c>
      <c r="R43" s="192"/>
      <c r="S43" s="190" t="s">
        <v>211</v>
      </c>
      <c r="T43" s="204">
        <v>103206249</v>
      </c>
      <c r="U43" s="205" t="s">
        <v>215</v>
      </c>
    </row>
    <row r="44" spans="1:21" ht="32.25" customHeight="1">
      <c r="A44">
        <v>39</v>
      </c>
      <c r="B44" s="201">
        <v>45520</v>
      </c>
      <c r="C44" s="190" t="s">
        <v>93</v>
      </c>
      <c r="D44" s="190" t="s">
        <v>211</v>
      </c>
      <c r="E44" s="189">
        <v>112570128</v>
      </c>
      <c r="F44" s="190" t="s">
        <v>123</v>
      </c>
      <c r="G44" s="190" t="s">
        <v>218</v>
      </c>
      <c r="H44" s="189" t="s">
        <v>42</v>
      </c>
      <c r="I44" s="202" t="s">
        <v>75</v>
      </c>
      <c r="J44" s="202" t="s">
        <v>76</v>
      </c>
      <c r="K44" s="203">
        <v>45568</v>
      </c>
      <c r="L44" s="206" t="s">
        <v>213</v>
      </c>
      <c r="M44" s="206" t="s">
        <v>214</v>
      </c>
      <c r="N44" s="190">
        <v>995635852</v>
      </c>
      <c r="O44" s="191">
        <v>15</v>
      </c>
      <c r="P44" s="202" t="s">
        <v>22</v>
      </c>
      <c r="Q44" s="202" t="s">
        <v>75</v>
      </c>
      <c r="R44" s="192"/>
      <c r="S44" s="190" t="s">
        <v>211</v>
      </c>
      <c r="T44" s="204">
        <v>103206249</v>
      </c>
      <c r="U44" s="205" t="s">
        <v>215</v>
      </c>
    </row>
    <row r="45" spans="1:21" ht="32.25" customHeight="1">
      <c r="A45">
        <v>40</v>
      </c>
      <c r="B45" s="201"/>
      <c r="C45" s="190"/>
      <c r="D45" s="190"/>
      <c r="E45" s="189">
        <v>111630008</v>
      </c>
      <c r="F45" s="190" t="s">
        <v>219</v>
      </c>
      <c r="G45" s="190" t="s">
        <v>220</v>
      </c>
      <c r="H45" s="189" t="s">
        <v>42</v>
      </c>
      <c r="I45" s="202" t="s">
        <v>75</v>
      </c>
      <c r="J45" s="202" t="s">
        <v>76</v>
      </c>
      <c r="K45" s="203">
        <v>45572</v>
      </c>
      <c r="L45" s="206" t="s">
        <v>223</v>
      </c>
      <c r="M45" s="206" t="s">
        <v>224</v>
      </c>
      <c r="N45" s="190">
        <v>999773565</v>
      </c>
      <c r="O45" s="191">
        <v>20</v>
      </c>
      <c r="P45" s="202" t="s">
        <v>22</v>
      </c>
      <c r="Q45" s="202" t="s">
        <v>75</v>
      </c>
      <c r="R45" s="192"/>
      <c r="S45" s="190"/>
      <c r="T45" s="204"/>
      <c r="U45" s="205"/>
    </row>
    <row r="46" spans="1:21" ht="32.25" customHeight="1">
      <c r="A46">
        <v>41</v>
      </c>
      <c r="B46" s="201"/>
      <c r="C46" s="190"/>
      <c r="D46" s="190"/>
      <c r="E46" s="189">
        <v>112030010</v>
      </c>
      <c r="F46" s="190" t="s">
        <v>221</v>
      </c>
      <c r="G46" s="190" t="s">
        <v>222</v>
      </c>
      <c r="H46" s="189" t="s">
        <v>42</v>
      </c>
      <c r="I46" s="202" t="s">
        <v>75</v>
      </c>
      <c r="J46" s="202" t="s">
        <v>76</v>
      </c>
      <c r="K46" s="203">
        <v>45572</v>
      </c>
      <c r="L46" s="206" t="s">
        <v>223</v>
      </c>
      <c r="M46" s="206" t="s">
        <v>224</v>
      </c>
      <c r="N46" s="190">
        <v>999773565</v>
      </c>
      <c r="O46" s="191">
        <v>20</v>
      </c>
      <c r="P46" s="202" t="s">
        <v>22</v>
      </c>
      <c r="Q46" s="202" t="s">
        <v>75</v>
      </c>
      <c r="R46" s="192"/>
      <c r="S46" s="190"/>
      <c r="T46" s="204"/>
      <c r="U46" s="205"/>
    </row>
    <row r="47" spans="1:21" ht="32.25" customHeight="1">
      <c r="A47">
        <v>42</v>
      </c>
      <c r="B47" s="201">
        <v>45545</v>
      </c>
      <c r="C47" s="190" t="s">
        <v>250</v>
      </c>
      <c r="D47" s="190" t="s">
        <v>318</v>
      </c>
      <c r="E47" s="189">
        <v>112570093</v>
      </c>
      <c r="F47" s="190" t="s">
        <v>319</v>
      </c>
      <c r="G47" s="190" t="s">
        <v>320</v>
      </c>
      <c r="H47" s="189" t="s">
        <v>42</v>
      </c>
      <c r="I47" s="202" t="s">
        <v>75</v>
      </c>
      <c r="J47" s="202" t="s">
        <v>76</v>
      </c>
      <c r="K47" s="203">
        <v>45572</v>
      </c>
      <c r="L47" s="206" t="s">
        <v>321</v>
      </c>
      <c r="M47" s="206" t="s">
        <v>322</v>
      </c>
      <c r="N47" s="190">
        <v>967889276</v>
      </c>
      <c r="O47" s="191">
        <v>15</v>
      </c>
      <c r="P47" s="202" t="s">
        <v>22</v>
      </c>
      <c r="Q47" s="202" t="s">
        <v>75</v>
      </c>
      <c r="R47" s="192"/>
      <c r="S47" s="190" t="s">
        <v>318</v>
      </c>
      <c r="T47" s="204">
        <v>102328820</v>
      </c>
      <c r="U47" s="205"/>
    </row>
    <row r="48" spans="1:21" ht="32.25" customHeight="1">
      <c r="A48">
        <v>43</v>
      </c>
      <c r="B48" s="201">
        <v>45545</v>
      </c>
      <c r="C48" s="190" t="s">
        <v>250</v>
      </c>
      <c r="D48" s="190" t="s">
        <v>318</v>
      </c>
      <c r="E48" s="189">
        <v>41560124</v>
      </c>
      <c r="F48" s="190" t="s">
        <v>323</v>
      </c>
      <c r="G48" s="190" t="s">
        <v>324</v>
      </c>
      <c r="H48" s="189" t="s">
        <v>42</v>
      </c>
      <c r="I48" s="202" t="s">
        <v>75</v>
      </c>
      <c r="J48" s="202" t="s">
        <v>76</v>
      </c>
      <c r="K48" s="203">
        <v>45572</v>
      </c>
      <c r="L48" s="206" t="s">
        <v>321</v>
      </c>
      <c r="M48" s="206" t="s">
        <v>322</v>
      </c>
      <c r="N48" s="190">
        <v>967889276</v>
      </c>
      <c r="O48" s="191">
        <v>15</v>
      </c>
      <c r="P48" s="202" t="s">
        <v>22</v>
      </c>
      <c r="Q48" s="202" t="s">
        <v>75</v>
      </c>
      <c r="R48" s="192"/>
      <c r="S48" s="190" t="s">
        <v>318</v>
      </c>
      <c r="T48" s="204">
        <v>102328820</v>
      </c>
      <c r="U48" s="205"/>
    </row>
    <row r="49" spans="1:21" ht="32.25" customHeight="1">
      <c r="A49">
        <v>44</v>
      </c>
      <c r="B49" s="201">
        <v>45545</v>
      </c>
      <c r="C49" s="190" t="s">
        <v>250</v>
      </c>
      <c r="D49" s="190" t="s">
        <v>318</v>
      </c>
      <c r="E49" s="189">
        <v>40466241</v>
      </c>
      <c r="F49" s="190" t="s">
        <v>314</v>
      </c>
      <c r="G49" s="190" t="s">
        <v>325</v>
      </c>
      <c r="H49" s="189" t="s">
        <v>42</v>
      </c>
      <c r="I49" s="202" t="s">
        <v>75</v>
      </c>
      <c r="J49" s="202" t="s">
        <v>76</v>
      </c>
      <c r="K49" s="203">
        <v>45572</v>
      </c>
      <c r="L49" s="206" t="s">
        <v>321</v>
      </c>
      <c r="M49" s="206" t="s">
        <v>322</v>
      </c>
      <c r="N49" s="190">
        <v>967889276</v>
      </c>
      <c r="O49" s="191">
        <v>15</v>
      </c>
      <c r="P49" s="202" t="s">
        <v>22</v>
      </c>
      <c r="Q49" s="202" t="s">
        <v>75</v>
      </c>
      <c r="R49" s="192"/>
      <c r="S49" s="190" t="s">
        <v>318</v>
      </c>
      <c r="T49" s="204">
        <v>102328820</v>
      </c>
      <c r="U49" s="205"/>
    </row>
    <row r="50" spans="1:21" ht="32.25" customHeight="1">
      <c r="A50">
        <v>45</v>
      </c>
      <c r="B50" s="201">
        <v>45568</v>
      </c>
      <c r="C50" s="190" t="s">
        <v>77</v>
      </c>
      <c r="D50" s="190" t="s">
        <v>225</v>
      </c>
      <c r="E50" s="189">
        <v>111010040</v>
      </c>
      <c r="F50" s="190" t="s">
        <v>226</v>
      </c>
      <c r="G50" s="190" t="s">
        <v>227</v>
      </c>
      <c r="H50" s="189" t="s">
        <v>42</v>
      </c>
      <c r="I50" s="202" t="s">
        <v>75</v>
      </c>
      <c r="J50" s="202" t="s">
        <v>76</v>
      </c>
      <c r="K50" s="203">
        <v>45573</v>
      </c>
      <c r="L50" s="206" t="s">
        <v>228</v>
      </c>
      <c r="M50" s="206" t="s">
        <v>229</v>
      </c>
      <c r="N50" s="190">
        <v>998426866</v>
      </c>
      <c r="O50" s="191">
        <v>20</v>
      </c>
      <c r="P50" s="202" t="s">
        <v>22</v>
      </c>
      <c r="Q50" s="202" t="s">
        <v>75</v>
      </c>
      <c r="R50" s="192"/>
      <c r="S50" s="190" t="s">
        <v>225</v>
      </c>
      <c r="T50" s="204">
        <v>101135325</v>
      </c>
      <c r="U50" s="205" t="s">
        <v>230</v>
      </c>
    </row>
    <row r="51" spans="1:21" ht="32.25" customHeight="1">
      <c r="A51">
        <v>46</v>
      </c>
      <c r="B51" s="201">
        <v>45568</v>
      </c>
      <c r="C51" s="190" t="s">
        <v>77</v>
      </c>
      <c r="D51" s="190" t="s">
        <v>225</v>
      </c>
      <c r="E51" s="189">
        <v>40467320</v>
      </c>
      <c r="F51" s="190" t="s">
        <v>231</v>
      </c>
      <c r="G51" s="190" t="s">
        <v>232</v>
      </c>
      <c r="H51" s="189" t="s">
        <v>42</v>
      </c>
      <c r="I51" s="202" t="s">
        <v>75</v>
      </c>
      <c r="J51" s="202" t="s">
        <v>76</v>
      </c>
      <c r="K51" s="203">
        <v>45573</v>
      </c>
      <c r="L51" s="206" t="s">
        <v>228</v>
      </c>
      <c r="M51" s="206" t="s">
        <v>229</v>
      </c>
      <c r="N51" s="190">
        <v>998426866</v>
      </c>
      <c r="O51" s="191">
        <v>20</v>
      </c>
      <c r="P51" s="202" t="s">
        <v>22</v>
      </c>
      <c r="Q51" s="202" t="s">
        <v>75</v>
      </c>
      <c r="R51" s="192"/>
      <c r="S51" s="190" t="s">
        <v>225</v>
      </c>
      <c r="T51" s="204">
        <v>101135325</v>
      </c>
      <c r="U51" s="205" t="s">
        <v>230</v>
      </c>
    </row>
    <row r="52" spans="1:21" ht="32.25" customHeight="1">
      <c r="A52">
        <v>47</v>
      </c>
      <c r="B52" s="201">
        <v>45348</v>
      </c>
      <c r="C52" s="190" t="s">
        <v>121</v>
      </c>
      <c r="D52" s="190" t="s">
        <v>233</v>
      </c>
      <c r="E52" s="189">
        <v>111910000</v>
      </c>
      <c r="F52" s="190" t="s">
        <v>234</v>
      </c>
      <c r="G52" s="228">
        <v>1119100000000130</v>
      </c>
      <c r="H52" s="189" t="s">
        <v>42</v>
      </c>
      <c r="I52" s="202" t="s">
        <v>75</v>
      </c>
      <c r="J52" s="202" t="s">
        <v>76</v>
      </c>
      <c r="K52" s="203">
        <v>45574</v>
      </c>
      <c r="L52" s="206" t="s">
        <v>235</v>
      </c>
      <c r="M52" s="206" t="s">
        <v>236</v>
      </c>
      <c r="N52" s="190">
        <v>983116214</v>
      </c>
      <c r="O52" s="191">
        <v>15</v>
      </c>
      <c r="P52" s="202" t="s">
        <v>22</v>
      </c>
      <c r="Q52" s="202" t="s">
        <v>75</v>
      </c>
      <c r="R52" s="192"/>
      <c r="S52" s="190" t="s">
        <v>233</v>
      </c>
      <c r="T52" s="204">
        <v>103689550</v>
      </c>
      <c r="U52" s="205" t="s">
        <v>237</v>
      </c>
    </row>
    <row r="53" spans="1:21" ht="32.25" customHeight="1">
      <c r="A53">
        <v>48</v>
      </c>
      <c r="B53" s="201">
        <v>45348</v>
      </c>
      <c r="C53" s="190" t="s">
        <v>121</v>
      </c>
      <c r="D53" s="190" t="s">
        <v>233</v>
      </c>
      <c r="E53" s="189">
        <v>40297051</v>
      </c>
      <c r="F53" s="190" t="s">
        <v>238</v>
      </c>
      <c r="G53" s="228">
        <v>221007583</v>
      </c>
      <c r="H53" s="189" t="s">
        <v>42</v>
      </c>
      <c r="I53" s="202" t="s">
        <v>75</v>
      </c>
      <c r="J53" s="202" t="s">
        <v>76</v>
      </c>
      <c r="K53" s="203">
        <v>45574</v>
      </c>
      <c r="L53" s="206" t="s">
        <v>235</v>
      </c>
      <c r="M53" s="206" t="s">
        <v>236</v>
      </c>
      <c r="N53" s="190">
        <v>983116214</v>
      </c>
      <c r="O53" s="191">
        <v>15</v>
      </c>
      <c r="P53" s="202" t="s">
        <v>22</v>
      </c>
      <c r="Q53" s="202" t="s">
        <v>75</v>
      </c>
      <c r="R53" s="192"/>
      <c r="S53" s="190" t="s">
        <v>233</v>
      </c>
      <c r="T53" s="204">
        <v>103689550</v>
      </c>
      <c r="U53" s="205" t="s">
        <v>237</v>
      </c>
    </row>
    <row r="54" spans="1:21" ht="32.25" customHeight="1">
      <c r="A54">
        <v>49</v>
      </c>
      <c r="B54" s="201">
        <v>45348</v>
      </c>
      <c r="C54" s="190" t="s">
        <v>121</v>
      </c>
      <c r="D54" s="190" t="s">
        <v>233</v>
      </c>
      <c r="E54" s="189">
        <v>113430018</v>
      </c>
      <c r="F54" s="190" t="s">
        <v>239</v>
      </c>
      <c r="G54" s="228" t="s">
        <v>240</v>
      </c>
      <c r="H54" s="189" t="s">
        <v>42</v>
      </c>
      <c r="I54" s="202" t="s">
        <v>75</v>
      </c>
      <c r="J54" s="202" t="s">
        <v>76</v>
      </c>
      <c r="K54" s="203">
        <v>45574</v>
      </c>
      <c r="L54" s="206" t="s">
        <v>235</v>
      </c>
      <c r="M54" s="206" t="s">
        <v>236</v>
      </c>
      <c r="N54" s="190">
        <v>983116214</v>
      </c>
      <c r="O54" s="191">
        <v>15</v>
      </c>
      <c r="P54" s="202" t="s">
        <v>22</v>
      </c>
      <c r="Q54" s="202" t="s">
        <v>75</v>
      </c>
      <c r="R54" s="192"/>
      <c r="S54" s="190" t="s">
        <v>233</v>
      </c>
      <c r="T54" s="204">
        <v>103689550</v>
      </c>
      <c r="U54" s="205" t="s">
        <v>237</v>
      </c>
    </row>
    <row r="55" spans="1:21" ht="32.25" customHeight="1">
      <c r="A55">
        <v>50</v>
      </c>
      <c r="B55" s="201">
        <v>45345</v>
      </c>
      <c r="C55" s="190" t="s">
        <v>95</v>
      </c>
      <c r="D55" s="190" t="s">
        <v>192</v>
      </c>
      <c r="E55" s="189">
        <v>113430016</v>
      </c>
      <c r="F55" s="190" t="s">
        <v>241</v>
      </c>
      <c r="G55" s="228" t="s">
        <v>242</v>
      </c>
      <c r="H55" s="189" t="s">
        <v>42</v>
      </c>
      <c r="I55" s="202" t="s">
        <v>75</v>
      </c>
      <c r="J55" s="202" t="s">
        <v>76</v>
      </c>
      <c r="K55" s="203">
        <v>45575</v>
      </c>
      <c r="L55" s="206" t="s">
        <v>243</v>
      </c>
      <c r="M55" s="206" t="s">
        <v>100</v>
      </c>
      <c r="N55" s="190">
        <v>992649691</v>
      </c>
      <c r="O55" s="191">
        <v>20</v>
      </c>
      <c r="P55" s="202" t="s">
        <v>22</v>
      </c>
      <c r="Q55" s="202" t="s">
        <v>75</v>
      </c>
      <c r="R55" s="192"/>
      <c r="S55" s="190" t="s">
        <v>192</v>
      </c>
      <c r="T55" s="204" t="s">
        <v>244</v>
      </c>
      <c r="U55" s="205" t="s">
        <v>245</v>
      </c>
    </row>
    <row r="56" spans="1:21" ht="32.25" customHeight="1">
      <c r="A56">
        <v>51</v>
      </c>
      <c r="B56" s="201">
        <v>45345</v>
      </c>
      <c r="C56" s="190" t="s">
        <v>95</v>
      </c>
      <c r="D56" s="190" t="s">
        <v>192</v>
      </c>
      <c r="E56" s="189">
        <v>114270004</v>
      </c>
      <c r="F56" s="190" t="s">
        <v>246</v>
      </c>
      <c r="G56" s="228" t="s">
        <v>247</v>
      </c>
      <c r="H56" s="189" t="s">
        <v>42</v>
      </c>
      <c r="I56" s="202" t="s">
        <v>75</v>
      </c>
      <c r="J56" s="202" t="s">
        <v>76</v>
      </c>
      <c r="K56" s="203">
        <v>45575</v>
      </c>
      <c r="L56" s="206" t="s">
        <v>243</v>
      </c>
      <c r="M56" s="206" t="s">
        <v>100</v>
      </c>
      <c r="N56" s="190">
        <v>992649691</v>
      </c>
      <c r="O56" s="191">
        <v>20</v>
      </c>
      <c r="P56" s="202" t="s">
        <v>22</v>
      </c>
      <c r="Q56" s="202" t="s">
        <v>75</v>
      </c>
      <c r="R56" s="192"/>
      <c r="S56" s="190" t="s">
        <v>192</v>
      </c>
      <c r="T56" s="204" t="s">
        <v>244</v>
      </c>
      <c r="U56" s="205" t="s">
        <v>245</v>
      </c>
    </row>
    <row r="57" spans="1:21" ht="32.25" customHeight="1">
      <c r="A57">
        <v>52</v>
      </c>
      <c r="B57" s="201"/>
      <c r="C57" s="190"/>
      <c r="D57" s="190"/>
      <c r="E57" s="189">
        <v>40782128</v>
      </c>
      <c r="F57" s="190" t="s">
        <v>248</v>
      </c>
      <c r="G57" s="228" t="s">
        <v>249</v>
      </c>
      <c r="H57" s="189" t="s">
        <v>42</v>
      </c>
      <c r="I57" s="202" t="s">
        <v>75</v>
      </c>
      <c r="J57" s="202" t="s">
        <v>76</v>
      </c>
      <c r="K57" s="203">
        <v>45576</v>
      </c>
      <c r="L57" s="206" t="s">
        <v>223</v>
      </c>
      <c r="M57" s="206" t="s">
        <v>224</v>
      </c>
      <c r="N57" s="190">
        <v>999773565</v>
      </c>
      <c r="O57" s="191">
        <v>20</v>
      </c>
      <c r="P57" s="229" t="s">
        <v>22</v>
      </c>
      <c r="Q57" s="221" t="s">
        <v>75</v>
      </c>
      <c r="R57" s="192"/>
      <c r="S57" s="190"/>
      <c r="T57" s="204"/>
      <c r="U57" s="205"/>
    </row>
    <row r="58" spans="1:21" ht="32.25" customHeight="1">
      <c r="A58">
        <v>53</v>
      </c>
      <c r="B58" s="201">
        <v>45565</v>
      </c>
      <c r="C58" s="190" t="s">
        <v>250</v>
      </c>
      <c r="D58" s="190" t="s">
        <v>251</v>
      </c>
      <c r="E58" s="189">
        <v>112570126</v>
      </c>
      <c r="F58" s="190" t="s">
        <v>182</v>
      </c>
      <c r="G58" s="228" t="s">
        <v>252</v>
      </c>
      <c r="H58" s="189" t="s">
        <v>42</v>
      </c>
      <c r="I58" s="202" t="s">
        <v>75</v>
      </c>
      <c r="J58" s="202" t="s">
        <v>76</v>
      </c>
      <c r="K58" s="203">
        <v>45576</v>
      </c>
      <c r="L58" s="206" t="s">
        <v>253</v>
      </c>
      <c r="M58" s="206" t="s">
        <v>254</v>
      </c>
      <c r="N58" s="190">
        <v>980621824</v>
      </c>
      <c r="O58" s="191">
        <v>15</v>
      </c>
      <c r="P58" s="230" t="s">
        <v>22</v>
      </c>
      <c r="Q58" s="231" t="s">
        <v>75</v>
      </c>
      <c r="R58" s="192"/>
      <c r="S58" s="190" t="s">
        <v>251</v>
      </c>
      <c r="T58" s="204">
        <v>105168850</v>
      </c>
      <c r="U58" s="205"/>
    </row>
    <row r="59" spans="1:21" ht="32.25" customHeight="1">
      <c r="A59">
        <v>54</v>
      </c>
      <c r="B59" s="201">
        <v>45565</v>
      </c>
      <c r="C59" s="190" t="s">
        <v>250</v>
      </c>
      <c r="D59" s="190" t="s">
        <v>251</v>
      </c>
      <c r="E59" s="189">
        <v>111000051</v>
      </c>
      <c r="F59" s="190" t="s">
        <v>88</v>
      </c>
      <c r="G59" s="228" t="s">
        <v>255</v>
      </c>
      <c r="H59" s="189" t="s">
        <v>42</v>
      </c>
      <c r="I59" s="202" t="s">
        <v>75</v>
      </c>
      <c r="J59" s="202" t="s">
        <v>76</v>
      </c>
      <c r="K59" s="203">
        <v>45576</v>
      </c>
      <c r="L59" s="206" t="s">
        <v>253</v>
      </c>
      <c r="M59" s="206" t="s">
        <v>254</v>
      </c>
      <c r="N59" s="190">
        <v>980621824</v>
      </c>
      <c r="O59" s="191">
        <v>15</v>
      </c>
      <c r="P59" s="230" t="s">
        <v>22</v>
      </c>
      <c r="Q59" s="231" t="s">
        <v>75</v>
      </c>
      <c r="R59" s="192"/>
      <c r="S59" s="190" t="s">
        <v>251</v>
      </c>
      <c r="T59" s="204">
        <v>105168850</v>
      </c>
      <c r="U59" s="205"/>
    </row>
    <row r="60" spans="1:21" ht="32.25" customHeight="1">
      <c r="A60">
        <v>55</v>
      </c>
      <c r="B60" s="201">
        <v>45565</v>
      </c>
      <c r="C60" s="190" t="s">
        <v>250</v>
      </c>
      <c r="D60" s="190" t="s">
        <v>251</v>
      </c>
      <c r="E60" s="189">
        <v>40584105</v>
      </c>
      <c r="F60" s="190" t="s">
        <v>133</v>
      </c>
      <c r="G60" s="228" t="s">
        <v>256</v>
      </c>
      <c r="H60" s="189" t="s">
        <v>42</v>
      </c>
      <c r="I60" s="202" t="s">
        <v>75</v>
      </c>
      <c r="J60" s="202" t="s">
        <v>76</v>
      </c>
      <c r="K60" s="203">
        <v>45576</v>
      </c>
      <c r="L60" s="206" t="s">
        <v>253</v>
      </c>
      <c r="M60" s="206" t="s">
        <v>254</v>
      </c>
      <c r="N60" s="190">
        <v>980621824</v>
      </c>
      <c r="O60" s="191">
        <v>15</v>
      </c>
      <c r="P60" s="230" t="s">
        <v>22</v>
      </c>
      <c r="Q60" s="231" t="s">
        <v>75</v>
      </c>
      <c r="R60" s="192"/>
      <c r="S60" s="190" t="s">
        <v>251</v>
      </c>
      <c r="T60" s="204">
        <v>105168850</v>
      </c>
      <c r="U60" s="205"/>
    </row>
    <row r="61" spans="1:21" ht="32.25" customHeight="1">
      <c r="A61">
        <v>56</v>
      </c>
      <c r="B61" s="201">
        <v>45442</v>
      </c>
      <c r="C61" s="190" t="s">
        <v>121</v>
      </c>
      <c r="D61" s="190" t="s">
        <v>257</v>
      </c>
      <c r="E61" s="189">
        <v>112580058</v>
      </c>
      <c r="F61" s="190" t="s">
        <v>258</v>
      </c>
      <c r="G61" s="228" t="s">
        <v>259</v>
      </c>
      <c r="H61" s="189" t="s">
        <v>42</v>
      </c>
      <c r="I61" s="202" t="s">
        <v>75</v>
      </c>
      <c r="J61" s="202" t="s">
        <v>76</v>
      </c>
      <c r="K61" s="203">
        <v>45576</v>
      </c>
      <c r="L61" s="206" t="s">
        <v>260</v>
      </c>
      <c r="M61" s="206" t="s">
        <v>261</v>
      </c>
      <c r="N61" s="190">
        <v>994208823</v>
      </c>
      <c r="O61" s="191">
        <v>20</v>
      </c>
      <c r="P61" s="229" t="s">
        <v>22</v>
      </c>
      <c r="Q61" s="221" t="s">
        <v>75</v>
      </c>
      <c r="R61" s="192"/>
      <c r="S61" s="190" t="s">
        <v>257</v>
      </c>
      <c r="T61" s="204">
        <v>101075968</v>
      </c>
      <c r="U61" s="205" t="s">
        <v>262</v>
      </c>
    </row>
    <row r="62" spans="1:21" ht="32.25" customHeight="1">
      <c r="A62">
        <v>57</v>
      </c>
      <c r="B62" s="201">
        <v>45442</v>
      </c>
      <c r="C62" s="190" t="s">
        <v>121</v>
      </c>
      <c r="D62" s="190" t="s">
        <v>257</v>
      </c>
      <c r="E62" s="189">
        <v>112580058</v>
      </c>
      <c r="F62" s="190" t="s">
        <v>258</v>
      </c>
      <c r="G62" s="228" t="s">
        <v>263</v>
      </c>
      <c r="H62" s="189" t="s">
        <v>42</v>
      </c>
      <c r="I62" s="202" t="s">
        <v>75</v>
      </c>
      <c r="J62" s="202" t="s">
        <v>76</v>
      </c>
      <c r="K62" s="203">
        <v>45576</v>
      </c>
      <c r="L62" s="206" t="s">
        <v>260</v>
      </c>
      <c r="M62" s="206" t="s">
        <v>261</v>
      </c>
      <c r="N62" s="190">
        <v>994208823</v>
      </c>
      <c r="O62" s="191">
        <v>20</v>
      </c>
      <c r="P62" s="229" t="s">
        <v>22</v>
      </c>
      <c r="Q62" s="221" t="s">
        <v>75</v>
      </c>
      <c r="R62" s="192"/>
      <c r="S62" s="190" t="s">
        <v>257</v>
      </c>
      <c r="T62" s="204">
        <v>101075968</v>
      </c>
      <c r="U62" s="205" t="s">
        <v>262</v>
      </c>
    </row>
    <row r="63" spans="1:21" ht="32.25" customHeight="1">
      <c r="A63">
        <v>58</v>
      </c>
      <c r="B63" s="201">
        <v>45514</v>
      </c>
      <c r="C63" s="190" t="s">
        <v>121</v>
      </c>
      <c r="D63" s="190" t="s">
        <v>264</v>
      </c>
      <c r="E63" s="189">
        <v>112570008</v>
      </c>
      <c r="F63" s="190" t="s">
        <v>265</v>
      </c>
      <c r="G63" s="228" t="s">
        <v>266</v>
      </c>
      <c r="H63" s="189" t="s">
        <v>42</v>
      </c>
      <c r="I63" s="202" t="s">
        <v>75</v>
      </c>
      <c r="J63" s="202" t="s">
        <v>76</v>
      </c>
      <c r="K63" s="203">
        <v>45579</v>
      </c>
      <c r="L63" s="206" t="s">
        <v>267</v>
      </c>
      <c r="M63" s="206" t="s">
        <v>268</v>
      </c>
      <c r="N63" s="190">
        <v>960640731</v>
      </c>
      <c r="O63" s="191">
        <v>15</v>
      </c>
      <c r="P63" s="229" t="s">
        <v>22</v>
      </c>
      <c r="Q63" s="221" t="s">
        <v>75</v>
      </c>
      <c r="R63" s="192"/>
      <c r="S63" s="190" t="s">
        <v>264</v>
      </c>
      <c r="T63" s="204">
        <v>101663318</v>
      </c>
      <c r="U63" s="205" t="s">
        <v>269</v>
      </c>
    </row>
    <row r="64" spans="1:21" ht="32.25" customHeight="1">
      <c r="A64">
        <v>59</v>
      </c>
      <c r="B64" s="201">
        <v>45514</v>
      </c>
      <c r="C64" s="190" t="s">
        <v>121</v>
      </c>
      <c r="D64" s="190" t="s">
        <v>264</v>
      </c>
      <c r="E64" s="189">
        <v>40590835</v>
      </c>
      <c r="F64" s="190" t="s">
        <v>270</v>
      </c>
      <c r="G64" s="228" t="s">
        <v>271</v>
      </c>
      <c r="H64" s="189" t="s">
        <v>42</v>
      </c>
      <c r="I64" s="202" t="s">
        <v>75</v>
      </c>
      <c r="J64" s="202" t="s">
        <v>76</v>
      </c>
      <c r="K64" s="203">
        <v>45579</v>
      </c>
      <c r="L64" s="206" t="s">
        <v>267</v>
      </c>
      <c r="M64" s="206" t="s">
        <v>268</v>
      </c>
      <c r="N64" s="190">
        <v>960640731</v>
      </c>
      <c r="O64" s="191">
        <v>15</v>
      </c>
      <c r="P64" s="229" t="s">
        <v>22</v>
      </c>
      <c r="Q64" s="221" t="s">
        <v>75</v>
      </c>
      <c r="R64" s="192"/>
      <c r="S64" s="190" t="s">
        <v>264</v>
      </c>
      <c r="T64" s="204">
        <v>101663318</v>
      </c>
      <c r="U64" s="205" t="s">
        <v>269</v>
      </c>
    </row>
    <row r="65" spans="1:21" ht="32.25" customHeight="1">
      <c r="A65">
        <v>60</v>
      </c>
      <c r="B65" s="201">
        <v>45514</v>
      </c>
      <c r="C65" s="190" t="s">
        <v>121</v>
      </c>
      <c r="D65" s="190" t="s">
        <v>264</v>
      </c>
      <c r="E65" s="189">
        <v>40466111</v>
      </c>
      <c r="F65" s="190" t="s">
        <v>272</v>
      </c>
      <c r="G65" s="228" t="s">
        <v>273</v>
      </c>
      <c r="H65" s="189" t="s">
        <v>42</v>
      </c>
      <c r="I65" s="202" t="s">
        <v>75</v>
      </c>
      <c r="J65" s="202" t="s">
        <v>76</v>
      </c>
      <c r="K65" s="203">
        <v>45579</v>
      </c>
      <c r="L65" s="206" t="s">
        <v>267</v>
      </c>
      <c r="M65" s="206" t="s">
        <v>268</v>
      </c>
      <c r="N65" s="190">
        <v>960640731</v>
      </c>
      <c r="O65" s="191">
        <v>15</v>
      </c>
      <c r="P65" s="229" t="s">
        <v>22</v>
      </c>
      <c r="Q65" s="221" t="s">
        <v>75</v>
      </c>
      <c r="R65" s="192"/>
      <c r="S65" s="190" t="s">
        <v>264</v>
      </c>
      <c r="T65" s="204">
        <v>101663318</v>
      </c>
      <c r="U65" s="205" t="s">
        <v>269</v>
      </c>
    </row>
    <row r="66" spans="1:21" ht="32.25" customHeight="1">
      <c r="A66">
        <v>61</v>
      </c>
      <c r="B66" s="201" t="s">
        <v>274</v>
      </c>
      <c r="C66" s="190" t="s">
        <v>77</v>
      </c>
      <c r="D66" s="190" t="s">
        <v>275</v>
      </c>
      <c r="E66" s="189">
        <v>40466111</v>
      </c>
      <c r="F66" s="190" t="s">
        <v>272</v>
      </c>
      <c r="G66" s="228" t="s">
        <v>276</v>
      </c>
      <c r="H66" s="189" t="s">
        <v>42</v>
      </c>
      <c r="I66" s="202" t="s">
        <v>75</v>
      </c>
      <c r="J66" s="202" t="s">
        <v>76</v>
      </c>
      <c r="K66" s="203">
        <v>45579</v>
      </c>
      <c r="L66" s="206" t="s">
        <v>277</v>
      </c>
      <c r="M66" s="206" t="s">
        <v>278</v>
      </c>
      <c r="N66" s="190">
        <v>958826789</v>
      </c>
      <c r="O66" s="191">
        <v>20</v>
      </c>
      <c r="P66" s="230" t="s">
        <v>22</v>
      </c>
      <c r="Q66" s="231" t="s">
        <v>75</v>
      </c>
      <c r="R66" s="192"/>
      <c r="S66" s="190" t="s">
        <v>275</v>
      </c>
      <c r="T66" s="204">
        <v>104563655</v>
      </c>
      <c r="U66" s="205" t="s">
        <v>279</v>
      </c>
    </row>
    <row r="67" spans="1:21" ht="32.25" customHeight="1">
      <c r="A67">
        <v>62</v>
      </c>
      <c r="B67" s="201" t="s">
        <v>274</v>
      </c>
      <c r="C67" s="190" t="s">
        <v>77</v>
      </c>
      <c r="D67" s="190" t="s">
        <v>275</v>
      </c>
      <c r="E67" s="189">
        <v>112520025</v>
      </c>
      <c r="F67" s="190" t="s">
        <v>106</v>
      </c>
      <c r="G67" s="228" t="s">
        <v>280</v>
      </c>
      <c r="H67" s="189" t="s">
        <v>42</v>
      </c>
      <c r="I67" s="202" t="s">
        <v>75</v>
      </c>
      <c r="J67" s="202" t="s">
        <v>76</v>
      </c>
      <c r="K67" s="203">
        <v>45579</v>
      </c>
      <c r="L67" s="206" t="s">
        <v>277</v>
      </c>
      <c r="M67" s="206" t="s">
        <v>278</v>
      </c>
      <c r="N67" s="190">
        <v>958826789</v>
      </c>
      <c r="O67" s="191">
        <v>20</v>
      </c>
      <c r="P67" s="230" t="s">
        <v>22</v>
      </c>
      <c r="Q67" s="231" t="s">
        <v>75</v>
      </c>
      <c r="R67" s="192"/>
      <c r="S67" s="190" t="s">
        <v>275</v>
      </c>
      <c r="T67" s="204">
        <v>104563655</v>
      </c>
      <c r="U67" s="205" t="s">
        <v>279</v>
      </c>
    </row>
    <row r="68" spans="1:21" ht="32.25" customHeight="1">
      <c r="A68">
        <v>63</v>
      </c>
      <c r="B68" s="201">
        <v>45419</v>
      </c>
      <c r="C68" s="190" t="s">
        <v>93</v>
      </c>
      <c r="D68" s="190" t="s">
        <v>104</v>
      </c>
      <c r="E68" s="189">
        <v>40782128</v>
      </c>
      <c r="F68" s="190" t="s">
        <v>248</v>
      </c>
      <c r="G68" s="190" t="s">
        <v>281</v>
      </c>
      <c r="H68" s="189" t="s">
        <v>42</v>
      </c>
      <c r="I68" s="202" t="s">
        <v>75</v>
      </c>
      <c r="J68" s="202" t="s">
        <v>76</v>
      </c>
      <c r="K68" s="203">
        <v>45579</v>
      </c>
      <c r="L68" s="206" t="s">
        <v>282</v>
      </c>
      <c r="M68" s="206" t="s">
        <v>100</v>
      </c>
      <c r="N68" s="190">
        <v>984912808</v>
      </c>
      <c r="O68" s="191">
        <v>20</v>
      </c>
      <c r="P68" s="202" t="s">
        <v>22</v>
      </c>
      <c r="Q68" s="202" t="s">
        <v>75</v>
      </c>
      <c r="R68" s="192"/>
      <c r="S68" s="190" t="s">
        <v>104</v>
      </c>
      <c r="T68" s="204">
        <v>103789331</v>
      </c>
      <c r="U68" s="205" t="s">
        <v>117</v>
      </c>
    </row>
    <row r="69" spans="1:21" ht="32.25" customHeight="1">
      <c r="A69">
        <v>64</v>
      </c>
      <c r="B69" s="201">
        <v>45433</v>
      </c>
      <c r="C69" s="190" t="s">
        <v>93</v>
      </c>
      <c r="D69" s="190" t="s">
        <v>298</v>
      </c>
      <c r="E69" s="189">
        <v>40782128</v>
      </c>
      <c r="F69" s="190" t="s">
        <v>248</v>
      </c>
      <c r="G69" s="190" t="s">
        <v>283</v>
      </c>
      <c r="H69" s="189" t="s">
        <v>42</v>
      </c>
      <c r="I69" s="202" t="s">
        <v>75</v>
      </c>
      <c r="J69" s="202" t="s">
        <v>76</v>
      </c>
      <c r="K69" s="203">
        <v>45579</v>
      </c>
      <c r="L69" s="206" t="s">
        <v>282</v>
      </c>
      <c r="M69" s="206" t="s">
        <v>100</v>
      </c>
      <c r="N69" s="190">
        <v>984912808</v>
      </c>
      <c r="O69" s="191">
        <v>20</v>
      </c>
      <c r="P69" s="202" t="s">
        <v>22</v>
      </c>
      <c r="Q69" s="202" t="s">
        <v>75</v>
      </c>
      <c r="R69" s="192"/>
      <c r="S69" s="190" t="s">
        <v>298</v>
      </c>
      <c r="T69" s="204">
        <v>103789331</v>
      </c>
      <c r="U69" s="205" t="s">
        <v>117</v>
      </c>
    </row>
    <row r="70" spans="1:21" ht="32.25" customHeight="1">
      <c r="A70">
        <v>65</v>
      </c>
      <c r="B70" s="201">
        <v>45570</v>
      </c>
      <c r="C70" s="190" t="s">
        <v>121</v>
      </c>
      <c r="D70" s="190" t="s">
        <v>522</v>
      </c>
      <c r="E70" s="189">
        <v>40782128</v>
      </c>
      <c r="F70" s="190" t="s">
        <v>248</v>
      </c>
      <c r="G70" s="190" t="s">
        <v>284</v>
      </c>
      <c r="H70" s="189" t="s">
        <v>42</v>
      </c>
      <c r="I70" s="202" t="s">
        <v>75</v>
      </c>
      <c r="J70" s="202" t="s">
        <v>76</v>
      </c>
      <c r="K70" s="203">
        <v>45579</v>
      </c>
      <c r="L70" s="206" t="s">
        <v>285</v>
      </c>
      <c r="M70" s="206" t="s">
        <v>286</v>
      </c>
      <c r="N70" s="190">
        <v>979656380</v>
      </c>
      <c r="O70" s="191">
        <v>20</v>
      </c>
      <c r="P70" s="202" t="s">
        <v>22</v>
      </c>
      <c r="Q70" s="202" t="s">
        <v>75</v>
      </c>
      <c r="R70" s="192"/>
      <c r="S70" s="190" t="s">
        <v>298</v>
      </c>
      <c r="T70" s="204">
        <v>601095623</v>
      </c>
      <c r="U70" s="205" t="s">
        <v>287</v>
      </c>
    </row>
    <row r="71" spans="1:21" ht="32.25" customHeight="1">
      <c r="A71">
        <v>66</v>
      </c>
      <c r="B71" s="201">
        <v>45238</v>
      </c>
      <c r="C71" s="190" t="s">
        <v>121</v>
      </c>
      <c r="D71" s="190" t="s">
        <v>530</v>
      </c>
      <c r="E71" s="189">
        <v>112570126</v>
      </c>
      <c r="F71" s="190" t="s">
        <v>531</v>
      </c>
      <c r="G71" s="190" t="s">
        <v>532</v>
      </c>
      <c r="H71" s="189" t="s">
        <v>42</v>
      </c>
      <c r="I71" s="202" t="s">
        <v>75</v>
      </c>
      <c r="J71" s="202" t="s">
        <v>76</v>
      </c>
      <c r="K71" s="203">
        <v>45579</v>
      </c>
      <c r="L71" s="206" t="s">
        <v>285</v>
      </c>
      <c r="M71" s="206" t="s">
        <v>286</v>
      </c>
      <c r="N71" s="190">
        <v>979656380</v>
      </c>
      <c r="O71" s="191">
        <v>20</v>
      </c>
      <c r="P71" s="202" t="s">
        <v>22</v>
      </c>
      <c r="Q71" s="202" t="s">
        <v>75</v>
      </c>
      <c r="R71" s="192"/>
      <c r="S71" s="190" t="s">
        <v>522</v>
      </c>
      <c r="T71" s="204">
        <v>601095623</v>
      </c>
      <c r="U71" s="205" t="s">
        <v>287</v>
      </c>
    </row>
    <row r="72" spans="1:21" ht="32.25" customHeight="1">
      <c r="A72">
        <v>67</v>
      </c>
      <c r="B72" s="201">
        <v>45570</v>
      </c>
      <c r="C72" s="190" t="s">
        <v>121</v>
      </c>
      <c r="D72" s="190" t="s">
        <v>299</v>
      </c>
      <c r="E72" s="189">
        <v>40480321</v>
      </c>
      <c r="F72" s="190" t="s">
        <v>118</v>
      </c>
      <c r="G72" s="190" t="s">
        <v>300</v>
      </c>
      <c r="H72" s="189" t="s">
        <v>42</v>
      </c>
      <c r="I72" s="202" t="s">
        <v>75</v>
      </c>
      <c r="J72" s="202" t="s">
        <v>76</v>
      </c>
      <c r="K72" s="203">
        <v>45582</v>
      </c>
      <c r="L72" s="206" t="s">
        <v>301</v>
      </c>
      <c r="M72" s="206" t="s">
        <v>165</v>
      </c>
      <c r="N72" s="190">
        <v>998274028</v>
      </c>
      <c r="O72" s="191">
        <v>30</v>
      </c>
      <c r="P72" s="202" t="s">
        <v>22</v>
      </c>
      <c r="Q72" s="202" t="s">
        <v>75</v>
      </c>
      <c r="R72" s="192"/>
      <c r="S72" s="190" t="s">
        <v>299</v>
      </c>
      <c r="T72" s="204">
        <v>103877015</v>
      </c>
      <c r="U72" s="205" t="s">
        <v>302</v>
      </c>
    </row>
    <row r="73" spans="1:21" ht="32.25" customHeight="1">
      <c r="A73">
        <v>68</v>
      </c>
      <c r="B73" s="201">
        <v>45570</v>
      </c>
      <c r="C73" s="190" t="s">
        <v>121</v>
      </c>
      <c r="D73" s="190" t="s">
        <v>299</v>
      </c>
      <c r="E73" s="189">
        <v>112580027</v>
      </c>
      <c r="F73" s="190" t="s">
        <v>303</v>
      </c>
      <c r="G73" s="190" t="s">
        <v>304</v>
      </c>
      <c r="H73" s="189" t="s">
        <v>42</v>
      </c>
      <c r="I73" s="202" t="s">
        <v>75</v>
      </c>
      <c r="J73" s="202" t="s">
        <v>76</v>
      </c>
      <c r="K73" s="203">
        <v>45582</v>
      </c>
      <c r="L73" s="206" t="s">
        <v>301</v>
      </c>
      <c r="M73" s="206" t="s">
        <v>165</v>
      </c>
      <c r="N73" s="190">
        <v>998274028</v>
      </c>
      <c r="O73" s="191">
        <v>15</v>
      </c>
      <c r="P73" s="202" t="s">
        <v>22</v>
      </c>
      <c r="Q73" s="202" t="s">
        <v>75</v>
      </c>
      <c r="R73" s="192"/>
      <c r="S73" s="190" t="s">
        <v>299</v>
      </c>
      <c r="T73" s="204">
        <v>103877015</v>
      </c>
      <c r="U73" s="205" t="s">
        <v>302</v>
      </c>
    </row>
    <row r="74" spans="1:21" ht="32.25" customHeight="1">
      <c r="A74">
        <v>69</v>
      </c>
      <c r="B74" s="201">
        <v>45570</v>
      </c>
      <c r="C74" s="190" t="s">
        <v>121</v>
      </c>
      <c r="D74" s="190" t="s">
        <v>299</v>
      </c>
      <c r="E74" s="189">
        <v>111020071</v>
      </c>
      <c r="F74" s="190" t="s">
        <v>305</v>
      </c>
      <c r="G74" s="190" t="s">
        <v>306</v>
      </c>
      <c r="H74" s="189" t="s">
        <v>42</v>
      </c>
      <c r="I74" s="202" t="s">
        <v>75</v>
      </c>
      <c r="J74" s="202" t="s">
        <v>76</v>
      </c>
      <c r="K74" s="203">
        <v>45582</v>
      </c>
      <c r="L74" s="206" t="s">
        <v>301</v>
      </c>
      <c r="M74" s="206" t="s">
        <v>165</v>
      </c>
      <c r="N74" s="190">
        <v>998274028</v>
      </c>
      <c r="O74" s="191">
        <v>15</v>
      </c>
      <c r="P74" s="202" t="s">
        <v>22</v>
      </c>
      <c r="Q74" s="202" t="s">
        <v>75</v>
      </c>
      <c r="R74" s="192"/>
      <c r="S74" s="190" t="s">
        <v>299</v>
      </c>
      <c r="T74" s="204">
        <v>103877015</v>
      </c>
      <c r="U74" s="205" t="s">
        <v>302</v>
      </c>
    </row>
    <row r="75" spans="1:21" ht="32.25" customHeight="1">
      <c r="A75">
        <v>70</v>
      </c>
      <c r="B75" s="201">
        <v>45570</v>
      </c>
      <c r="C75" s="190" t="s">
        <v>121</v>
      </c>
      <c r="D75" s="190" t="s">
        <v>299</v>
      </c>
      <c r="E75" s="189">
        <v>40590835</v>
      </c>
      <c r="F75" s="190" t="s">
        <v>270</v>
      </c>
      <c r="G75" s="190" t="s">
        <v>307</v>
      </c>
      <c r="H75" s="189" t="s">
        <v>42</v>
      </c>
      <c r="I75" s="202" t="s">
        <v>75</v>
      </c>
      <c r="J75" s="202" t="s">
        <v>76</v>
      </c>
      <c r="K75" s="203">
        <v>45582</v>
      </c>
      <c r="L75" s="206" t="s">
        <v>301</v>
      </c>
      <c r="M75" s="206" t="s">
        <v>165</v>
      </c>
      <c r="N75" s="190">
        <v>998274028</v>
      </c>
      <c r="O75" s="191">
        <v>15</v>
      </c>
      <c r="P75" s="202" t="s">
        <v>22</v>
      </c>
      <c r="Q75" s="202" t="s">
        <v>75</v>
      </c>
      <c r="R75" s="192"/>
      <c r="S75" s="190" t="s">
        <v>299</v>
      </c>
      <c r="T75" s="204">
        <v>103877015</v>
      </c>
      <c r="U75" s="205" t="s">
        <v>302</v>
      </c>
    </row>
    <row r="76" spans="1:21" ht="32.25" customHeight="1">
      <c r="A76">
        <v>71</v>
      </c>
      <c r="B76" s="201">
        <v>45475</v>
      </c>
      <c r="C76" s="190" t="s">
        <v>199</v>
      </c>
      <c r="D76" s="190" t="s">
        <v>200</v>
      </c>
      <c r="E76" s="189">
        <v>40446712</v>
      </c>
      <c r="F76" s="190" t="s">
        <v>91</v>
      </c>
      <c r="G76" s="190" t="s">
        <v>308</v>
      </c>
      <c r="H76" s="189" t="s">
        <v>42</v>
      </c>
      <c r="I76" s="202" t="s">
        <v>75</v>
      </c>
      <c r="J76" s="202" t="s">
        <v>76</v>
      </c>
      <c r="K76" s="203">
        <v>45582</v>
      </c>
      <c r="L76" s="206" t="s">
        <v>309</v>
      </c>
      <c r="M76" s="206" t="s">
        <v>310</v>
      </c>
      <c r="N76" s="190">
        <v>994399512</v>
      </c>
      <c r="O76" s="191">
        <v>20</v>
      </c>
      <c r="P76" s="202" t="s">
        <v>22</v>
      </c>
      <c r="Q76" s="202" t="s">
        <v>75</v>
      </c>
      <c r="R76" s="192"/>
      <c r="S76" s="190" t="s">
        <v>200</v>
      </c>
      <c r="T76" s="204">
        <v>190494039</v>
      </c>
      <c r="U76" s="205" t="s">
        <v>311</v>
      </c>
    </row>
    <row r="77" spans="1:21" ht="32.25" customHeight="1">
      <c r="A77">
        <v>72</v>
      </c>
      <c r="B77" s="201">
        <v>45475</v>
      </c>
      <c r="C77" s="190" t="s">
        <v>199</v>
      </c>
      <c r="D77" s="190" t="s">
        <v>200</v>
      </c>
      <c r="E77" s="189">
        <v>40446712</v>
      </c>
      <c r="F77" s="190" t="s">
        <v>91</v>
      </c>
      <c r="G77" s="190" t="s">
        <v>312</v>
      </c>
      <c r="H77" s="189" t="s">
        <v>42</v>
      </c>
      <c r="I77" s="202" t="s">
        <v>75</v>
      </c>
      <c r="J77" s="202" t="s">
        <v>76</v>
      </c>
      <c r="K77" s="203">
        <v>45582</v>
      </c>
      <c r="L77" s="206" t="s">
        <v>309</v>
      </c>
      <c r="M77" s="206" t="s">
        <v>310</v>
      </c>
      <c r="N77" s="190">
        <v>994399512</v>
      </c>
      <c r="O77" s="191">
        <v>20</v>
      </c>
      <c r="P77" s="202" t="s">
        <v>22</v>
      </c>
      <c r="Q77" s="202" t="s">
        <v>75</v>
      </c>
      <c r="R77" s="192"/>
      <c r="S77" s="190" t="s">
        <v>200</v>
      </c>
      <c r="T77" s="204">
        <v>190494039</v>
      </c>
      <c r="U77" s="205" t="s">
        <v>311</v>
      </c>
    </row>
    <row r="78" spans="1:21" ht="32.25" customHeight="1">
      <c r="A78">
        <v>73</v>
      </c>
      <c r="B78" s="201">
        <v>45575</v>
      </c>
      <c r="C78" s="190" t="s">
        <v>121</v>
      </c>
      <c r="D78" s="190" t="s">
        <v>313</v>
      </c>
      <c r="E78" s="189">
        <v>40466241</v>
      </c>
      <c r="F78" s="190" t="s">
        <v>314</v>
      </c>
      <c r="G78" s="190" t="s">
        <v>315</v>
      </c>
      <c r="H78" s="189" t="s">
        <v>42</v>
      </c>
      <c r="I78" s="202" t="s">
        <v>75</v>
      </c>
      <c r="J78" s="202" t="s">
        <v>76</v>
      </c>
      <c r="K78" s="203">
        <v>45582</v>
      </c>
      <c r="L78" s="206" t="s">
        <v>316</v>
      </c>
      <c r="M78" s="206" t="s">
        <v>317</v>
      </c>
      <c r="N78" s="190">
        <v>939801698</v>
      </c>
      <c r="O78" s="191">
        <v>20</v>
      </c>
      <c r="P78" s="202" t="s">
        <v>22</v>
      </c>
      <c r="Q78" s="202" t="s">
        <v>75</v>
      </c>
      <c r="R78" s="192"/>
      <c r="S78" s="190" t="s">
        <v>313</v>
      </c>
      <c r="T78" s="204">
        <v>101034106</v>
      </c>
      <c r="U78" s="205"/>
    </row>
    <row r="79" spans="1:21" ht="32.25" customHeight="1">
      <c r="A79">
        <v>74</v>
      </c>
      <c r="B79" s="201">
        <v>45575</v>
      </c>
      <c r="C79" s="190" t="s">
        <v>121</v>
      </c>
      <c r="D79" s="190" t="s">
        <v>313</v>
      </c>
      <c r="E79" s="189">
        <v>40466241</v>
      </c>
      <c r="F79" s="190" t="s">
        <v>314</v>
      </c>
      <c r="G79" s="190" t="s">
        <v>315</v>
      </c>
      <c r="H79" s="189" t="s">
        <v>42</v>
      </c>
      <c r="I79" s="202" t="s">
        <v>75</v>
      </c>
      <c r="J79" s="202" t="s">
        <v>76</v>
      </c>
      <c r="K79" s="203">
        <v>45582</v>
      </c>
      <c r="L79" s="206" t="s">
        <v>316</v>
      </c>
      <c r="M79" s="206" t="s">
        <v>317</v>
      </c>
      <c r="N79" s="190">
        <v>939801698</v>
      </c>
      <c r="O79" s="191">
        <v>20</v>
      </c>
      <c r="P79" s="202" t="s">
        <v>22</v>
      </c>
      <c r="Q79" s="202" t="s">
        <v>75</v>
      </c>
      <c r="R79" s="192"/>
      <c r="S79" s="190" t="s">
        <v>313</v>
      </c>
      <c r="T79" s="204">
        <v>101034106</v>
      </c>
      <c r="U79" s="205"/>
    </row>
    <row r="80" spans="1:21" ht="32.25" customHeight="1">
      <c r="A80">
        <v>75</v>
      </c>
      <c r="B80" s="201">
        <v>45388</v>
      </c>
      <c r="C80" s="190" t="s">
        <v>250</v>
      </c>
      <c r="D80" s="190" t="s">
        <v>288</v>
      </c>
      <c r="E80" s="189">
        <v>112500048</v>
      </c>
      <c r="F80" s="190" t="s">
        <v>289</v>
      </c>
      <c r="G80" s="190" t="s">
        <v>290</v>
      </c>
      <c r="H80" s="189" t="s">
        <v>42</v>
      </c>
      <c r="I80" s="202" t="s">
        <v>75</v>
      </c>
      <c r="J80" s="202" t="s">
        <v>76</v>
      </c>
      <c r="K80" s="203">
        <v>45583</v>
      </c>
      <c r="L80" s="206" t="s">
        <v>291</v>
      </c>
      <c r="M80" s="206" t="s">
        <v>292</v>
      </c>
      <c r="N80" s="190">
        <v>984886262</v>
      </c>
      <c r="O80" s="191">
        <v>15</v>
      </c>
      <c r="P80" s="202" t="s">
        <v>22</v>
      </c>
      <c r="Q80" s="202" t="s">
        <v>75</v>
      </c>
      <c r="R80" s="192"/>
      <c r="S80" s="190" t="s">
        <v>288</v>
      </c>
      <c r="T80" s="204">
        <v>301485611</v>
      </c>
      <c r="U80" s="205" t="s">
        <v>293</v>
      </c>
    </row>
    <row r="81" spans="1:21" ht="32.25" customHeight="1">
      <c r="A81">
        <v>76</v>
      </c>
      <c r="B81" s="201">
        <v>45388</v>
      </c>
      <c r="C81" s="190" t="s">
        <v>250</v>
      </c>
      <c r="D81" s="190" t="s">
        <v>288</v>
      </c>
      <c r="E81" s="189">
        <v>113430016</v>
      </c>
      <c r="F81" s="190" t="s">
        <v>241</v>
      </c>
      <c r="G81" s="190" t="s">
        <v>294</v>
      </c>
      <c r="H81" s="189" t="s">
        <v>42</v>
      </c>
      <c r="I81" s="202" t="s">
        <v>75</v>
      </c>
      <c r="J81" s="202" t="s">
        <v>76</v>
      </c>
      <c r="K81" s="203">
        <v>45583</v>
      </c>
      <c r="L81" s="206" t="s">
        <v>291</v>
      </c>
      <c r="M81" s="206" t="s">
        <v>292</v>
      </c>
      <c r="N81" s="190">
        <v>984886262</v>
      </c>
      <c r="O81" s="191">
        <v>15</v>
      </c>
      <c r="P81" s="202" t="s">
        <v>22</v>
      </c>
      <c r="Q81" s="202" t="s">
        <v>75</v>
      </c>
      <c r="R81" s="192"/>
      <c r="S81" s="190" t="s">
        <v>288</v>
      </c>
      <c r="T81" s="204">
        <v>301485611</v>
      </c>
      <c r="U81" s="205" t="s">
        <v>293</v>
      </c>
    </row>
    <row r="82" spans="1:21" ht="32.25" customHeight="1">
      <c r="A82">
        <v>77</v>
      </c>
      <c r="B82" s="201">
        <v>45388</v>
      </c>
      <c r="C82" s="190" t="s">
        <v>250</v>
      </c>
      <c r="D82" s="190" t="s">
        <v>288</v>
      </c>
      <c r="E82" s="189">
        <v>111000051</v>
      </c>
      <c r="F82" s="190" t="s">
        <v>295</v>
      </c>
      <c r="G82" s="190" t="s">
        <v>296</v>
      </c>
      <c r="H82" s="189" t="s">
        <v>42</v>
      </c>
      <c r="I82" s="202" t="s">
        <v>75</v>
      </c>
      <c r="J82" s="202" t="s">
        <v>76</v>
      </c>
      <c r="K82" s="203">
        <v>45583</v>
      </c>
      <c r="L82" s="206" t="s">
        <v>291</v>
      </c>
      <c r="M82" s="206" t="s">
        <v>292</v>
      </c>
      <c r="N82" s="190">
        <v>984886262</v>
      </c>
      <c r="O82" s="191">
        <v>15</v>
      </c>
      <c r="P82" s="202" t="s">
        <v>22</v>
      </c>
      <c r="Q82" s="202" t="s">
        <v>75</v>
      </c>
      <c r="R82" s="192"/>
      <c r="S82" s="190" t="s">
        <v>288</v>
      </c>
      <c r="T82" s="204">
        <v>301485611</v>
      </c>
      <c r="U82" s="205" t="s">
        <v>293</v>
      </c>
    </row>
    <row r="83" spans="1:21" ht="32.25" customHeight="1">
      <c r="A83">
        <v>78</v>
      </c>
      <c r="B83" s="201">
        <v>45388</v>
      </c>
      <c r="C83" s="190" t="s">
        <v>250</v>
      </c>
      <c r="D83" s="190" t="s">
        <v>288</v>
      </c>
      <c r="E83" s="189">
        <v>40584325</v>
      </c>
      <c r="F83" s="190" t="s">
        <v>92</v>
      </c>
      <c r="G83" s="190" t="s">
        <v>297</v>
      </c>
      <c r="H83" s="189" t="s">
        <v>42</v>
      </c>
      <c r="I83" s="202" t="s">
        <v>75</v>
      </c>
      <c r="J83" s="202" t="s">
        <v>76</v>
      </c>
      <c r="K83" s="203">
        <v>45583</v>
      </c>
      <c r="L83" s="206" t="s">
        <v>291</v>
      </c>
      <c r="M83" s="206" t="s">
        <v>292</v>
      </c>
      <c r="N83" s="190">
        <v>984886262</v>
      </c>
      <c r="O83" s="191">
        <v>15</v>
      </c>
      <c r="P83" s="202" t="s">
        <v>22</v>
      </c>
      <c r="Q83" s="202" t="s">
        <v>75</v>
      </c>
      <c r="R83" s="192"/>
      <c r="S83" s="190" t="s">
        <v>288</v>
      </c>
      <c r="T83" s="204">
        <v>301485611</v>
      </c>
      <c r="U83" s="205" t="s">
        <v>293</v>
      </c>
    </row>
    <row r="84" spans="1:21" ht="32.25" customHeight="1">
      <c r="A84">
        <v>79</v>
      </c>
      <c r="B84" s="201">
        <v>45530</v>
      </c>
      <c r="C84" s="190" t="s">
        <v>121</v>
      </c>
      <c r="D84" s="190" t="s">
        <v>326</v>
      </c>
      <c r="E84" s="189">
        <v>40483182</v>
      </c>
      <c r="F84" s="190" t="s">
        <v>327</v>
      </c>
      <c r="G84" s="190" t="s">
        <v>328</v>
      </c>
      <c r="H84" s="189" t="s">
        <v>42</v>
      </c>
      <c r="I84" s="202" t="s">
        <v>75</v>
      </c>
      <c r="J84" s="202" t="s">
        <v>76</v>
      </c>
      <c r="K84" s="203">
        <v>45583</v>
      </c>
      <c r="L84" s="206" t="s">
        <v>329</v>
      </c>
      <c r="M84" s="206" t="s">
        <v>330</v>
      </c>
      <c r="N84" s="190">
        <v>963963111</v>
      </c>
      <c r="O84" s="191">
        <v>30</v>
      </c>
      <c r="P84" s="202" t="s">
        <v>22</v>
      </c>
      <c r="Q84" s="202" t="s">
        <v>75</v>
      </c>
      <c r="R84" s="192"/>
      <c r="S84" s="190" t="s">
        <v>326</v>
      </c>
      <c r="T84" s="204">
        <v>104513304</v>
      </c>
      <c r="U84" s="205"/>
    </row>
    <row r="85" spans="1:21" ht="32.25" customHeight="1">
      <c r="A85">
        <v>80</v>
      </c>
      <c r="B85" s="201">
        <v>45530</v>
      </c>
      <c r="C85" s="190" t="s">
        <v>121</v>
      </c>
      <c r="D85" s="190" t="s">
        <v>326</v>
      </c>
      <c r="E85" s="189">
        <v>112570073</v>
      </c>
      <c r="F85" s="190" t="s">
        <v>331</v>
      </c>
      <c r="G85" s="190" t="s">
        <v>332</v>
      </c>
      <c r="H85" s="189" t="s">
        <v>42</v>
      </c>
      <c r="I85" s="202" t="s">
        <v>75</v>
      </c>
      <c r="J85" s="202" t="s">
        <v>76</v>
      </c>
      <c r="K85" s="203">
        <v>45583</v>
      </c>
      <c r="L85" s="206" t="s">
        <v>329</v>
      </c>
      <c r="M85" s="206" t="s">
        <v>330</v>
      </c>
      <c r="N85" s="190">
        <v>963963111</v>
      </c>
      <c r="O85" s="191">
        <v>15</v>
      </c>
      <c r="P85" s="202" t="s">
        <v>22</v>
      </c>
      <c r="Q85" s="202" t="s">
        <v>75</v>
      </c>
      <c r="R85" s="192"/>
      <c r="S85" s="190" t="s">
        <v>326</v>
      </c>
      <c r="T85" s="204">
        <v>104513304</v>
      </c>
      <c r="U85" s="205"/>
    </row>
    <row r="86" spans="1:21" ht="32.25" customHeight="1">
      <c r="A86">
        <v>81</v>
      </c>
      <c r="B86" s="201">
        <v>45530</v>
      </c>
      <c r="C86" s="190" t="s">
        <v>121</v>
      </c>
      <c r="D86" s="190" t="s">
        <v>326</v>
      </c>
      <c r="E86" s="189">
        <v>111010028</v>
      </c>
      <c r="F86" s="190" t="s">
        <v>97</v>
      </c>
      <c r="G86" s="190" t="s">
        <v>333</v>
      </c>
      <c r="H86" s="189" t="s">
        <v>42</v>
      </c>
      <c r="I86" s="202" t="s">
        <v>75</v>
      </c>
      <c r="J86" s="202" t="s">
        <v>76</v>
      </c>
      <c r="K86" s="203">
        <v>45583</v>
      </c>
      <c r="L86" s="206" t="s">
        <v>329</v>
      </c>
      <c r="M86" s="206" t="s">
        <v>330</v>
      </c>
      <c r="N86" s="190">
        <v>963963111</v>
      </c>
      <c r="O86" s="191">
        <v>15</v>
      </c>
      <c r="P86" s="202" t="s">
        <v>22</v>
      </c>
      <c r="Q86" s="202" t="s">
        <v>75</v>
      </c>
      <c r="R86" s="192"/>
      <c r="S86" s="190" t="s">
        <v>326</v>
      </c>
      <c r="T86" s="204">
        <v>104513304</v>
      </c>
      <c r="U86" s="205"/>
    </row>
    <row r="87" spans="1:21" ht="32.25" customHeight="1">
      <c r="A87">
        <v>82</v>
      </c>
      <c r="B87" s="201">
        <v>45530</v>
      </c>
      <c r="C87" s="190" t="s">
        <v>121</v>
      </c>
      <c r="D87" s="190" t="s">
        <v>326</v>
      </c>
      <c r="E87" s="189">
        <v>40584105</v>
      </c>
      <c r="F87" s="190" t="s">
        <v>133</v>
      </c>
      <c r="G87" s="190" t="s">
        <v>334</v>
      </c>
      <c r="H87" s="189" t="s">
        <v>42</v>
      </c>
      <c r="I87" s="202" t="s">
        <v>75</v>
      </c>
      <c r="J87" s="202" t="s">
        <v>76</v>
      </c>
      <c r="K87" s="203">
        <v>45583</v>
      </c>
      <c r="L87" s="206" t="s">
        <v>329</v>
      </c>
      <c r="M87" s="206" t="s">
        <v>330</v>
      </c>
      <c r="N87" s="190">
        <v>963963111</v>
      </c>
      <c r="O87" s="191">
        <v>15</v>
      </c>
      <c r="P87" s="202" t="s">
        <v>22</v>
      </c>
      <c r="Q87" s="202" t="s">
        <v>75</v>
      </c>
      <c r="R87" s="192"/>
      <c r="S87" s="190" t="s">
        <v>326</v>
      </c>
      <c r="T87" s="204">
        <v>104513304</v>
      </c>
      <c r="U87" s="205"/>
    </row>
    <row r="88" spans="1:21" ht="32.25" customHeight="1">
      <c r="A88">
        <v>83</v>
      </c>
      <c r="B88" s="201">
        <v>45503</v>
      </c>
      <c r="C88" s="190" t="s">
        <v>77</v>
      </c>
      <c r="D88" s="190" t="s">
        <v>341</v>
      </c>
      <c r="E88" s="189">
        <v>112570073</v>
      </c>
      <c r="F88" s="190" t="s">
        <v>331</v>
      </c>
      <c r="G88" s="190" t="s">
        <v>342</v>
      </c>
      <c r="H88" s="189" t="s">
        <v>42</v>
      </c>
      <c r="I88" s="202" t="s">
        <v>75</v>
      </c>
      <c r="J88" s="202" t="s">
        <v>76</v>
      </c>
      <c r="K88" s="203">
        <v>45583</v>
      </c>
      <c r="L88" s="206" t="s">
        <v>343</v>
      </c>
      <c r="M88" s="206" t="s">
        <v>344</v>
      </c>
      <c r="N88" s="190">
        <v>988772894</v>
      </c>
      <c r="O88" s="191">
        <v>15</v>
      </c>
      <c r="P88" s="202" t="s">
        <v>22</v>
      </c>
      <c r="Q88" s="202" t="s">
        <v>75</v>
      </c>
      <c r="R88" s="192"/>
      <c r="S88" s="190" t="s">
        <v>341</v>
      </c>
      <c r="T88" s="204">
        <v>105072797</v>
      </c>
      <c r="U88" s="205" t="s">
        <v>345</v>
      </c>
    </row>
    <row r="89" spans="1:21" ht="32.25" customHeight="1">
      <c r="A89">
        <v>84</v>
      </c>
      <c r="B89" s="201">
        <v>45503</v>
      </c>
      <c r="C89" s="190" t="s">
        <v>77</v>
      </c>
      <c r="D89" s="190" t="s">
        <v>341</v>
      </c>
      <c r="E89" s="189">
        <v>40467305</v>
      </c>
      <c r="F89" s="190" t="s">
        <v>346</v>
      </c>
      <c r="G89" s="190" t="s">
        <v>347</v>
      </c>
      <c r="H89" s="189" t="s">
        <v>42</v>
      </c>
      <c r="I89" s="202" t="s">
        <v>75</v>
      </c>
      <c r="J89" s="202" t="s">
        <v>76</v>
      </c>
      <c r="K89" s="203">
        <v>45583</v>
      </c>
      <c r="L89" s="206" t="s">
        <v>343</v>
      </c>
      <c r="M89" s="206" t="s">
        <v>344</v>
      </c>
      <c r="N89" s="190">
        <v>988772894</v>
      </c>
      <c r="O89" s="191">
        <v>15</v>
      </c>
      <c r="P89" s="202" t="s">
        <v>22</v>
      </c>
      <c r="Q89" s="202" t="s">
        <v>75</v>
      </c>
      <c r="R89" s="192"/>
      <c r="S89" s="190" t="s">
        <v>341</v>
      </c>
      <c r="T89" s="204">
        <v>105072797</v>
      </c>
      <c r="U89" s="205" t="s">
        <v>345</v>
      </c>
    </row>
    <row r="90" spans="1:21" ht="32.25" customHeight="1">
      <c r="A90">
        <v>85</v>
      </c>
      <c r="B90" s="217">
        <v>45503</v>
      </c>
      <c r="C90" s="218" t="s">
        <v>77</v>
      </c>
      <c r="D90" s="219" t="s">
        <v>341</v>
      </c>
      <c r="E90" s="220">
        <v>40590835</v>
      </c>
      <c r="F90" s="219" t="s">
        <v>270</v>
      </c>
      <c r="G90" s="219" t="s">
        <v>348</v>
      </c>
      <c r="H90" s="220" t="s">
        <v>42</v>
      </c>
      <c r="I90" s="221" t="s">
        <v>75</v>
      </c>
      <c r="J90" s="221" t="s">
        <v>76</v>
      </c>
      <c r="K90" s="222">
        <v>45583</v>
      </c>
      <c r="L90" s="223" t="s">
        <v>343</v>
      </c>
      <c r="M90" s="223" t="s">
        <v>344</v>
      </c>
      <c r="N90" s="219">
        <v>988772894</v>
      </c>
      <c r="O90" s="232">
        <v>15</v>
      </c>
      <c r="P90" s="221" t="s">
        <v>22</v>
      </c>
      <c r="Q90" s="221" t="s">
        <v>75</v>
      </c>
      <c r="R90" s="224"/>
      <c r="S90" s="219" t="s">
        <v>341</v>
      </c>
      <c r="T90" s="225">
        <v>105072797</v>
      </c>
      <c r="U90" s="226" t="s">
        <v>345</v>
      </c>
    </row>
    <row r="91" spans="1:21" ht="32.25" customHeight="1">
      <c r="A91">
        <v>86</v>
      </c>
      <c r="B91" s="201">
        <v>45523</v>
      </c>
      <c r="C91" s="190" t="s">
        <v>121</v>
      </c>
      <c r="D91" s="190" t="s">
        <v>336</v>
      </c>
      <c r="E91" s="189">
        <v>40466241</v>
      </c>
      <c r="F91" s="190" t="s">
        <v>314</v>
      </c>
      <c r="G91" s="190" t="s">
        <v>337</v>
      </c>
      <c r="H91" s="189" t="s">
        <v>42</v>
      </c>
      <c r="I91" s="202" t="s">
        <v>75</v>
      </c>
      <c r="J91" s="202" t="s">
        <v>76</v>
      </c>
      <c r="K91" s="203">
        <v>45584</v>
      </c>
      <c r="L91" s="206" t="s">
        <v>338</v>
      </c>
      <c r="M91" s="206" t="s">
        <v>224</v>
      </c>
      <c r="N91" s="190">
        <v>999681970</v>
      </c>
      <c r="O91" s="191">
        <v>20</v>
      </c>
      <c r="P91" s="202" t="s">
        <v>22</v>
      </c>
      <c r="Q91" s="202" t="s">
        <v>75</v>
      </c>
      <c r="R91" s="192"/>
      <c r="S91" s="190" t="s">
        <v>336</v>
      </c>
      <c r="T91" s="204">
        <v>300323110</v>
      </c>
      <c r="U91" s="205" t="s">
        <v>339</v>
      </c>
    </row>
    <row r="92" spans="1:21" ht="32.25" customHeight="1">
      <c r="A92">
        <v>87</v>
      </c>
      <c r="B92" s="201">
        <v>45523</v>
      </c>
      <c r="C92" s="190" t="s">
        <v>121</v>
      </c>
      <c r="D92" s="190" t="s">
        <v>336</v>
      </c>
      <c r="E92" s="189">
        <v>112580053</v>
      </c>
      <c r="F92" s="190" t="s">
        <v>258</v>
      </c>
      <c r="G92" s="190" t="s">
        <v>340</v>
      </c>
      <c r="H92" s="189" t="s">
        <v>42</v>
      </c>
      <c r="I92" s="202" t="s">
        <v>75</v>
      </c>
      <c r="J92" s="202" t="s">
        <v>76</v>
      </c>
      <c r="K92" s="203">
        <v>45584</v>
      </c>
      <c r="L92" s="206" t="s">
        <v>338</v>
      </c>
      <c r="M92" s="206" t="s">
        <v>224</v>
      </c>
      <c r="N92" s="190">
        <v>999681970</v>
      </c>
      <c r="O92" s="191">
        <v>20</v>
      </c>
      <c r="P92" s="202" t="s">
        <v>22</v>
      </c>
      <c r="Q92" s="202" t="s">
        <v>75</v>
      </c>
      <c r="R92" s="192"/>
      <c r="S92" s="190" t="s">
        <v>336</v>
      </c>
      <c r="T92" s="204">
        <v>300323110</v>
      </c>
      <c r="U92" s="205" t="s">
        <v>339</v>
      </c>
    </row>
    <row r="94" spans="1:21">
      <c r="O94" s="133">
        <f>SUM(O6:O93)</f>
        <v>1545</v>
      </c>
    </row>
    <row r="95" spans="1:21">
      <c r="K95">
        <v>5</v>
      </c>
      <c r="L95">
        <v>30</v>
      </c>
      <c r="M95">
        <f>K95*L95</f>
        <v>150</v>
      </c>
    </row>
    <row r="96" spans="1:21">
      <c r="K96">
        <v>49</v>
      </c>
      <c r="L96">
        <v>15</v>
      </c>
      <c r="M96">
        <f>K96*L96</f>
        <v>735</v>
      </c>
    </row>
    <row r="97" spans="11:13">
      <c r="K97">
        <v>33</v>
      </c>
      <c r="L97">
        <v>20</v>
      </c>
      <c r="M97">
        <f>K97*L97</f>
        <v>660</v>
      </c>
    </row>
    <row r="98" spans="11:13">
      <c r="M98">
        <f>SUM(M95:M97)</f>
        <v>1545</v>
      </c>
    </row>
  </sheetData>
  <hyperlinks>
    <hyperlink ref="U6" r:id="rId1" xr:uid="{A23FF6CC-7099-E344-9527-F456ADF17C32}"/>
    <hyperlink ref="U7" r:id="rId2" xr:uid="{C25AEEB1-AD3F-FE41-9D8F-88FF334D30DF}"/>
    <hyperlink ref="U8" r:id="rId3" xr:uid="{D10B95C0-4C60-0F4B-8948-7182A8F41F18}"/>
    <hyperlink ref="U9" r:id="rId4" xr:uid="{42231C76-C737-3741-A648-22F97CEDB436}"/>
    <hyperlink ref="U10" r:id="rId5" xr:uid="{2512ED8B-03FB-BC49-9DE4-09184F7F0153}"/>
    <hyperlink ref="U15" r:id="rId6" xr:uid="{2765D88A-B0F2-7044-9A01-4791EA4F4370}"/>
    <hyperlink ref="U11" r:id="rId7" xr:uid="{C7049A8D-FDC1-0F40-8422-C295D5DD929A}"/>
    <hyperlink ref="U13" r:id="rId8" xr:uid="{9557DED8-676A-BD4F-B402-9863A88AA82C}"/>
    <hyperlink ref="U14" r:id="rId9" xr:uid="{10D5747D-D666-1948-B231-8478A5E6A277}"/>
    <hyperlink ref="U12" r:id="rId10" xr:uid="{469DC649-9AC8-2245-B548-18CC9DAC0478}"/>
    <hyperlink ref="U16" r:id="rId11" xr:uid="{BD1F6DA6-6A0C-4C4B-B626-1831E7BB7B24}"/>
    <hyperlink ref="U17" r:id="rId12" xr:uid="{845F94BD-1CCD-E443-A0B5-7CCC47BD8E40}"/>
    <hyperlink ref="U18" r:id="rId13" xr:uid="{1EFC4357-0950-C34A-986B-6BB84645CAD3}"/>
    <hyperlink ref="U19" r:id="rId14" xr:uid="{4A3C0663-F6B0-E740-91C0-F1742EDBA831}"/>
    <hyperlink ref="U20" r:id="rId15" xr:uid="{01A45001-5E8B-204F-84C0-E24BF809C4E2}"/>
    <hyperlink ref="U21" r:id="rId16" xr:uid="{3E2FD672-F6C0-8743-80D3-F2B115ED4560}"/>
    <hyperlink ref="U22" r:id="rId17" xr:uid="{EFFF61D6-5488-9F48-9FF7-51E8A18BFB95}"/>
    <hyperlink ref="U23" r:id="rId18" xr:uid="{1D12A4DD-6E49-9146-826C-4B173FA02616}"/>
    <hyperlink ref="U24" r:id="rId19" xr:uid="{45B6E0DA-F526-8544-A7A7-F6AE7DCDE0DB}"/>
    <hyperlink ref="U25" r:id="rId20" xr:uid="{A4C61D29-F633-5042-85E7-5AF245F66221}"/>
    <hyperlink ref="U26" r:id="rId21" xr:uid="{51F2CA79-31F1-B94A-B001-D3AACF9BB0F0}"/>
    <hyperlink ref="U27" r:id="rId22" xr:uid="{CE0C1CAA-7627-8344-BA5E-1E889D3EFC99}"/>
    <hyperlink ref="U28" r:id="rId23" xr:uid="{5C9FF554-FDDD-F749-BDE2-9066A19688C1}"/>
    <hyperlink ref="U29" r:id="rId24" xr:uid="{0ACE7A48-21E9-F645-A6E5-231826696EE0}"/>
    <hyperlink ref="U30" r:id="rId25" display="mailto:juanpabloordo%C3%B1ezf@gmail.com" xr:uid="{1F2E9877-9C25-8141-A37A-C4479020FCBC}"/>
    <hyperlink ref="U31" r:id="rId26" xr:uid="{A7168BE4-E822-0246-A165-E3AC4CC510DB}"/>
    <hyperlink ref="U32" r:id="rId27" xr:uid="{3AF5BCB9-EBBA-AB47-B0FC-3699F0DB9FB7}"/>
    <hyperlink ref="U33" r:id="rId28" xr:uid="{A2E243D1-FA69-E047-944A-2F28CB6358EA}"/>
    <hyperlink ref="U34" r:id="rId29" xr:uid="{B421A2AA-C8F3-0B48-9C62-647C6CDB219A}"/>
    <hyperlink ref="U35" r:id="rId30" xr:uid="{7EC3E61C-C137-A549-B085-8351DC3262D1}"/>
    <hyperlink ref="U36" r:id="rId31" xr:uid="{0363E5DC-5C17-C940-B8BC-2EFD8963E2F2}"/>
    <hyperlink ref="U37" r:id="rId32" xr:uid="{4BF77FD3-6DF7-D541-9159-AA4B7EEB2362}"/>
    <hyperlink ref="U40" r:id="rId33" xr:uid="{B296C41E-A5CB-1D49-BF18-ADE105677CBA}"/>
    <hyperlink ref="U41" r:id="rId34" xr:uid="{CEC84207-F0B2-9C4B-A533-80826499CD57}"/>
    <hyperlink ref="U42" r:id="rId35" xr:uid="{A49748D9-5F68-A04B-92E4-B30236FB384B}"/>
    <hyperlink ref="U43" r:id="rId36" xr:uid="{54CEF389-7775-6048-8798-3EB8A67E4B04}"/>
    <hyperlink ref="U44" r:id="rId37" xr:uid="{ADFE867C-A91B-A042-8C0E-F2B9C89CB21B}"/>
    <hyperlink ref="U50" r:id="rId38" xr:uid="{0BEA2345-431D-E041-95F4-578E340EAEF0}"/>
    <hyperlink ref="U51" r:id="rId39" xr:uid="{8CD55614-7051-8C45-A708-A7EA6004A351}"/>
    <hyperlink ref="U52" r:id="rId40" xr:uid="{BD5C5B3F-A30F-4043-A43E-8283CF0B47E6}"/>
    <hyperlink ref="U53" r:id="rId41" xr:uid="{82C74864-DC56-B943-A7E4-9139ED95E299}"/>
    <hyperlink ref="U54" r:id="rId42" xr:uid="{2D8710A8-FD7D-534B-B10E-F124B96B89D6}"/>
    <hyperlink ref="U55" r:id="rId43" xr:uid="{BC1DBEDD-69DE-874A-A578-D0B0978E465C}"/>
    <hyperlink ref="U56" r:id="rId44" xr:uid="{6FE48F66-E363-F644-A9E6-FD1635BD66E8}"/>
    <hyperlink ref="U61" r:id="rId45" xr:uid="{4D2CB8F2-AC43-8E49-9C71-FA49A3E7D64F}"/>
    <hyperlink ref="U62" r:id="rId46" xr:uid="{F6488B6D-48E3-3F47-9B2C-757D5BEB21F9}"/>
    <hyperlink ref="U63" r:id="rId47" xr:uid="{CD0AF893-FFB5-3A46-A77A-B5C7FAA23F2D}"/>
    <hyperlink ref="U64" r:id="rId48" xr:uid="{E843420A-5866-AE4E-A4F8-EE530D2AE30D}"/>
    <hyperlink ref="U65" r:id="rId49" xr:uid="{D3C46268-D379-1C42-9160-96B26C42414B}"/>
    <hyperlink ref="U66" r:id="rId50" xr:uid="{F19719B6-EF04-E64F-BD1A-5CDAED5D8E44}"/>
    <hyperlink ref="U67" r:id="rId51" xr:uid="{69CC6880-4536-B040-9B0A-A019BB1E160B}"/>
    <hyperlink ref="U68" r:id="rId52" xr:uid="{203D2429-9C20-104A-A404-035BAC7A22CE}"/>
    <hyperlink ref="U69" r:id="rId53" xr:uid="{EDB13B9F-2DA8-4C4C-A308-02E443DEE053}"/>
    <hyperlink ref="U70" r:id="rId54" xr:uid="{F0647D75-7F78-3842-89DD-5A5F9F09048D}"/>
    <hyperlink ref="U80" r:id="rId55" xr:uid="{06BAF580-CBE3-E24B-8E2A-7C6F5B4178CB}"/>
    <hyperlink ref="U81" r:id="rId56" xr:uid="{E2507095-0041-644F-B148-C269624E53AB}"/>
    <hyperlink ref="U82" r:id="rId57" xr:uid="{67F3504E-9ADF-7242-B62B-30F8AFB40933}"/>
    <hyperlink ref="U83" r:id="rId58" xr:uid="{214785BF-B4E5-C04E-8FBB-A5DEE4325F31}"/>
    <hyperlink ref="U72" r:id="rId59" xr:uid="{341756D2-3620-4840-BD54-247148095D42}"/>
    <hyperlink ref="U73" r:id="rId60" xr:uid="{4CD438B2-9FF5-A74D-9BBA-6BB4563C2275}"/>
    <hyperlink ref="U74" r:id="rId61" xr:uid="{0F9D0F70-8192-8947-9A0C-D81D6783CE1D}"/>
    <hyperlink ref="U75" r:id="rId62" xr:uid="{136E66C0-365D-D041-B99F-07B9A7D44AEE}"/>
    <hyperlink ref="U76" r:id="rId63" xr:uid="{8ACD78DA-3647-2140-827D-ECF52FFD7D39}"/>
    <hyperlink ref="U77" r:id="rId64" xr:uid="{ED36A9CB-55F7-4147-AA65-8D12793A5821}"/>
    <hyperlink ref="U71" r:id="rId65" xr:uid="{70360F29-400A-1345-BDDB-4F4A7C4E8343}"/>
    <hyperlink ref="U91" r:id="rId66" xr:uid="{B9514E42-084A-AA47-8DA9-5BE23F1D304B}"/>
    <hyperlink ref="U92" r:id="rId67" xr:uid="{71A3B092-1097-D94F-B5CB-9584D661F7EC}"/>
    <hyperlink ref="U88" r:id="rId68" xr:uid="{23669830-597C-A144-89F7-EEC941C1A34D}"/>
    <hyperlink ref="U89" r:id="rId69" xr:uid="{28608C09-CC7B-DE4F-8751-9B7EF3C04244}"/>
    <hyperlink ref="U90" r:id="rId70" display="mailto:kamila.molinaorellana@gmail.com" xr:uid="{5D4327C9-6ED7-1747-B9AC-F7C8A8528D5E}"/>
  </hyperlinks>
  <pageMargins left="0.7" right="0.7" top="0.75" bottom="0.75" header="0.3" footer="0.3"/>
  <pageSetup paperSize="9" orientation="portrait" horizontalDpi="0" verticalDpi="0" r:id="rId71"/>
  <drawing r:id="rId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55"/>
  <sheetViews>
    <sheetView topLeftCell="A5" zoomScaleNormal="100" workbookViewId="0">
      <selection activeCell="N20" sqref="N20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17.6640625" customWidth="1"/>
    <col min="17" max="18" width="11.6640625" bestFit="1" customWidth="1"/>
    <col min="19" max="19" width="12.1640625" bestFit="1" customWidth="1"/>
  </cols>
  <sheetData>
    <row r="2" spans="1:20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0">
      <c r="A3" s="42"/>
      <c r="B3" s="43"/>
      <c r="C3" s="44" t="s">
        <v>0</v>
      </c>
      <c r="D3" s="45"/>
      <c r="E3" s="46"/>
      <c r="F3" s="47"/>
      <c r="G3" s="48"/>
      <c r="H3" s="49"/>
      <c r="I3" s="49"/>
      <c r="J3" s="49"/>
      <c r="K3" s="49"/>
      <c r="L3" s="49"/>
      <c r="M3" s="50"/>
      <c r="N3" s="49"/>
      <c r="O3" s="42"/>
      <c r="P3" s="49"/>
      <c r="Q3" s="49"/>
      <c r="R3" s="49"/>
      <c r="S3" s="49"/>
    </row>
    <row r="4" spans="1:20">
      <c r="A4" s="42"/>
      <c r="B4" s="43"/>
      <c r="C4" s="51" t="s">
        <v>1</v>
      </c>
      <c r="D4" s="52"/>
      <c r="E4" s="53"/>
      <c r="F4" s="53"/>
      <c r="G4" s="48"/>
      <c r="H4" s="49"/>
      <c r="I4" s="49"/>
      <c r="J4" s="49"/>
      <c r="K4" s="49"/>
      <c r="L4" s="49"/>
      <c r="M4" s="50"/>
      <c r="N4" s="49"/>
      <c r="O4" s="42"/>
      <c r="P4" s="49"/>
      <c r="Q4" s="49"/>
      <c r="R4" s="49"/>
      <c r="S4" s="49"/>
    </row>
    <row r="5" spans="1:20" ht="28.5" customHeight="1">
      <c r="B5" s="54" t="s">
        <v>81</v>
      </c>
      <c r="C5" s="55"/>
      <c r="D5" s="56"/>
      <c r="E5" s="57" t="s">
        <v>24</v>
      </c>
      <c r="F5" s="58"/>
      <c r="G5" s="59"/>
      <c r="H5" s="60"/>
      <c r="I5" s="56"/>
      <c r="J5" s="61"/>
      <c r="K5" s="61"/>
      <c r="L5" s="62"/>
      <c r="M5" s="63" t="s">
        <v>112</v>
      </c>
      <c r="O5" s="64"/>
    </row>
    <row r="6" spans="1:20">
      <c r="B6" s="65" t="s">
        <v>25</v>
      </c>
      <c r="C6" s="66"/>
      <c r="D6" s="67"/>
      <c r="E6" s="67"/>
      <c r="F6" s="67"/>
      <c r="G6" s="67"/>
      <c r="H6" s="67"/>
      <c r="I6" s="67"/>
      <c r="J6" s="67"/>
      <c r="K6" s="67"/>
      <c r="L6" s="67"/>
      <c r="M6" s="68"/>
      <c r="O6" s="64"/>
    </row>
    <row r="7" spans="1:20">
      <c r="B7" s="69" t="s">
        <v>113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  <c r="O7" s="64"/>
    </row>
    <row r="8" spans="1:20" s="39" customFormat="1" ht="34">
      <c r="A8"/>
      <c r="B8" s="134" t="s">
        <v>26</v>
      </c>
      <c r="C8" s="134" t="s">
        <v>27</v>
      </c>
      <c r="D8" s="134" t="s">
        <v>28</v>
      </c>
      <c r="E8" s="134" t="s">
        <v>29</v>
      </c>
      <c r="F8" s="134" t="s">
        <v>30</v>
      </c>
      <c r="G8" s="134" t="s">
        <v>31</v>
      </c>
      <c r="H8" s="134" t="s">
        <v>32</v>
      </c>
      <c r="I8" s="134" t="s">
        <v>33</v>
      </c>
      <c r="J8" s="134" t="s">
        <v>34</v>
      </c>
      <c r="K8" s="134" t="s">
        <v>35</v>
      </c>
      <c r="L8" s="134" t="s">
        <v>36</v>
      </c>
      <c r="M8" s="134" t="s">
        <v>37</v>
      </c>
      <c r="N8" s="134" t="s">
        <v>38</v>
      </c>
      <c r="O8" s="134" t="s">
        <v>39</v>
      </c>
      <c r="P8" s="134" t="s">
        <v>40</v>
      </c>
      <c r="Q8" s="134" t="s">
        <v>41</v>
      </c>
      <c r="R8" s="135" t="s">
        <v>18</v>
      </c>
      <c r="S8" s="136" t="s">
        <v>19</v>
      </c>
    </row>
    <row r="9" spans="1:20" s="186" customFormat="1" ht="56.25" customHeight="1">
      <c r="A9" s="173">
        <v>3</v>
      </c>
      <c r="B9" s="174">
        <v>45367</v>
      </c>
      <c r="C9" s="175">
        <v>45556</v>
      </c>
      <c r="D9" s="176"/>
      <c r="E9" s="176"/>
      <c r="F9" s="177" t="s">
        <v>350</v>
      </c>
      <c r="G9" s="178"/>
      <c r="H9" s="179" t="s">
        <v>351</v>
      </c>
      <c r="I9" s="180" t="s">
        <v>352</v>
      </c>
      <c r="J9" s="181" t="s">
        <v>42</v>
      </c>
      <c r="K9" s="178" t="s">
        <v>349</v>
      </c>
      <c r="L9" s="178" t="s">
        <v>353</v>
      </c>
      <c r="M9" s="177" t="s">
        <v>354</v>
      </c>
      <c r="N9" s="182">
        <v>12.5</v>
      </c>
      <c r="O9" s="183">
        <v>1707397723</v>
      </c>
      <c r="P9" s="184" t="s">
        <v>355</v>
      </c>
      <c r="Q9" s="169">
        <v>999440846</v>
      </c>
      <c r="R9" s="169"/>
      <c r="S9" s="169" t="s">
        <v>356</v>
      </c>
      <c r="T9" s="185"/>
    </row>
    <row r="10" spans="1:20" s="186" customFormat="1" ht="56.25" customHeight="1">
      <c r="A10" s="173">
        <v>4</v>
      </c>
      <c r="B10" s="174">
        <v>45220</v>
      </c>
      <c r="C10" s="175">
        <v>45557</v>
      </c>
      <c r="D10" s="176">
        <v>1</v>
      </c>
      <c r="E10" s="176">
        <v>81590760</v>
      </c>
      <c r="F10" s="177" t="s">
        <v>524</v>
      </c>
      <c r="G10" s="178">
        <v>40590835</v>
      </c>
      <c r="H10" s="179" t="s">
        <v>270</v>
      </c>
      <c r="I10" s="180" t="s">
        <v>357</v>
      </c>
      <c r="J10" s="181" t="s">
        <v>42</v>
      </c>
      <c r="K10" s="178" t="s">
        <v>349</v>
      </c>
      <c r="L10" s="178" t="s">
        <v>358</v>
      </c>
      <c r="M10" s="177" t="s">
        <v>359</v>
      </c>
      <c r="N10" s="182">
        <v>15</v>
      </c>
      <c r="O10" s="183">
        <v>103903746001</v>
      </c>
      <c r="P10" s="184" t="s">
        <v>360</v>
      </c>
      <c r="Q10" s="169"/>
      <c r="R10" s="169"/>
      <c r="S10" s="169" t="s">
        <v>361</v>
      </c>
      <c r="T10" s="185"/>
    </row>
    <row r="11" spans="1:20" s="186" customFormat="1" ht="56.25" customHeight="1">
      <c r="A11" s="173">
        <v>5</v>
      </c>
      <c r="B11" s="174">
        <v>45238</v>
      </c>
      <c r="C11" s="175">
        <v>45558</v>
      </c>
      <c r="D11" s="176"/>
      <c r="E11" s="176"/>
      <c r="F11" s="177" t="s">
        <v>350</v>
      </c>
      <c r="G11" s="178">
        <v>12570126</v>
      </c>
      <c r="H11" s="179" t="s">
        <v>182</v>
      </c>
      <c r="I11" s="180" t="s">
        <v>362</v>
      </c>
      <c r="J11" s="181" t="s">
        <v>42</v>
      </c>
      <c r="K11" s="178" t="s">
        <v>349</v>
      </c>
      <c r="L11" s="178" t="s">
        <v>363</v>
      </c>
      <c r="M11" s="177" t="s">
        <v>364</v>
      </c>
      <c r="N11" s="182">
        <v>12.5</v>
      </c>
      <c r="O11" s="183">
        <v>1700174731</v>
      </c>
      <c r="P11" s="184" t="s">
        <v>365</v>
      </c>
      <c r="Q11" s="169">
        <v>998691372</v>
      </c>
      <c r="R11" s="169"/>
      <c r="S11" s="169" t="s">
        <v>366</v>
      </c>
      <c r="T11" s="185"/>
    </row>
    <row r="12" spans="1:20" s="186" customFormat="1" ht="56.25" customHeight="1">
      <c r="A12" s="173">
        <v>7</v>
      </c>
      <c r="B12" s="174">
        <v>45247</v>
      </c>
      <c r="C12" s="175">
        <v>45561</v>
      </c>
      <c r="D12" s="176"/>
      <c r="E12" s="176"/>
      <c r="F12" s="177" t="s">
        <v>398</v>
      </c>
      <c r="G12" s="178">
        <v>40584305</v>
      </c>
      <c r="H12" s="179" t="s">
        <v>92</v>
      </c>
      <c r="I12" s="180" t="s">
        <v>367</v>
      </c>
      <c r="J12" s="181" t="s">
        <v>42</v>
      </c>
      <c r="K12" s="178" t="s">
        <v>349</v>
      </c>
      <c r="L12" s="178" t="s">
        <v>368</v>
      </c>
      <c r="M12" s="177" t="s">
        <v>525</v>
      </c>
      <c r="N12" s="182">
        <v>15</v>
      </c>
      <c r="O12" s="183">
        <v>106138555</v>
      </c>
      <c r="P12" s="184" t="s">
        <v>369</v>
      </c>
      <c r="Q12" s="169">
        <v>994807239</v>
      </c>
      <c r="R12" s="169"/>
      <c r="S12" s="169" t="s">
        <v>370</v>
      </c>
      <c r="T12" s="185"/>
    </row>
    <row r="13" spans="1:20" s="186" customFormat="1" ht="56.25" customHeight="1">
      <c r="A13" s="173">
        <v>8</v>
      </c>
      <c r="B13" s="174">
        <v>45360</v>
      </c>
      <c r="C13" s="175">
        <v>45569</v>
      </c>
      <c r="D13" s="176">
        <v>1</v>
      </c>
      <c r="E13" s="176">
        <v>89830345</v>
      </c>
      <c r="F13" s="177" t="s">
        <v>371</v>
      </c>
      <c r="G13" s="178">
        <v>40584012</v>
      </c>
      <c r="H13" s="179" t="s">
        <v>372</v>
      </c>
      <c r="I13" s="180" t="s">
        <v>373</v>
      </c>
      <c r="J13" s="181" t="s">
        <v>42</v>
      </c>
      <c r="K13" s="178" t="s">
        <v>349</v>
      </c>
      <c r="L13" s="178" t="s">
        <v>374</v>
      </c>
      <c r="M13" s="177" t="s">
        <v>375</v>
      </c>
      <c r="N13" s="182">
        <v>15</v>
      </c>
      <c r="O13" s="183">
        <v>104838789</v>
      </c>
      <c r="P13" s="184" t="s">
        <v>376</v>
      </c>
      <c r="Q13" s="169">
        <v>995856951</v>
      </c>
      <c r="R13" s="169"/>
      <c r="S13" s="169" t="s">
        <v>377</v>
      </c>
      <c r="T13" s="185"/>
    </row>
    <row r="14" spans="1:20" s="186" customFormat="1" ht="56.25" customHeight="1">
      <c r="A14" s="173">
        <v>9</v>
      </c>
      <c r="B14" s="174"/>
      <c r="C14" s="175">
        <v>45569</v>
      </c>
      <c r="D14" s="176">
        <v>1</v>
      </c>
      <c r="E14" s="176">
        <v>81214208</v>
      </c>
      <c r="F14" s="177" t="s">
        <v>378</v>
      </c>
      <c r="G14" s="178">
        <v>112570211</v>
      </c>
      <c r="H14" s="179" t="s">
        <v>379</v>
      </c>
      <c r="I14" s="180" t="s">
        <v>380</v>
      </c>
      <c r="J14" s="181" t="s">
        <v>42</v>
      </c>
      <c r="K14" s="178" t="s">
        <v>349</v>
      </c>
      <c r="L14" s="178" t="s">
        <v>223</v>
      </c>
      <c r="M14" s="177" t="s">
        <v>375</v>
      </c>
      <c r="N14" s="182">
        <v>12.5</v>
      </c>
      <c r="O14" s="183"/>
      <c r="P14" s="184"/>
      <c r="Q14" s="169">
        <v>999773565</v>
      </c>
      <c r="R14" s="169"/>
      <c r="S14" s="169"/>
      <c r="T14" s="185"/>
    </row>
    <row r="15" spans="1:20" s="186" customFormat="1" ht="56.25" customHeight="1">
      <c r="A15" s="173">
        <v>10</v>
      </c>
      <c r="B15" s="174"/>
      <c r="C15" s="175">
        <v>45569</v>
      </c>
      <c r="D15" s="176"/>
      <c r="E15" s="176"/>
      <c r="F15" s="177"/>
      <c r="G15" s="178">
        <v>112500047</v>
      </c>
      <c r="H15" s="179" t="s">
        <v>103</v>
      </c>
      <c r="I15" s="180" t="s">
        <v>381</v>
      </c>
      <c r="J15" s="181" t="s">
        <v>42</v>
      </c>
      <c r="K15" s="178" t="s">
        <v>349</v>
      </c>
      <c r="L15" s="178" t="s">
        <v>382</v>
      </c>
      <c r="M15" s="177" t="s">
        <v>526</v>
      </c>
      <c r="N15" s="182">
        <v>12.5</v>
      </c>
      <c r="O15" s="183">
        <v>103318341</v>
      </c>
      <c r="P15" s="184" t="s">
        <v>383</v>
      </c>
      <c r="Q15" s="169">
        <v>980913525</v>
      </c>
      <c r="R15" s="169"/>
      <c r="S15" s="169" t="s">
        <v>528</v>
      </c>
      <c r="T15" s="185"/>
    </row>
    <row r="16" spans="1:20" s="186" customFormat="1" ht="56.25" customHeight="1">
      <c r="A16" s="173">
        <v>11</v>
      </c>
      <c r="B16" s="174">
        <v>45401</v>
      </c>
      <c r="C16" s="175">
        <v>45572</v>
      </c>
      <c r="D16" s="176"/>
      <c r="E16" s="176"/>
      <c r="F16" s="177" t="s">
        <v>384</v>
      </c>
      <c r="G16" s="178">
        <v>40466241</v>
      </c>
      <c r="H16" s="179" t="s">
        <v>385</v>
      </c>
      <c r="I16" s="180" t="s">
        <v>386</v>
      </c>
      <c r="J16" s="181" t="s">
        <v>42</v>
      </c>
      <c r="K16" s="178" t="s">
        <v>349</v>
      </c>
      <c r="L16" s="178" t="s">
        <v>387</v>
      </c>
      <c r="M16" s="177" t="s">
        <v>388</v>
      </c>
      <c r="N16" s="182">
        <v>12.5</v>
      </c>
      <c r="O16" s="183">
        <v>301202784001</v>
      </c>
      <c r="P16" s="184" t="s">
        <v>389</v>
      </c>
      <c r="Q16" s="169">
        <v>998902685</v>
      </c>
      <c r="R16" s="169"/>
      <c r="S16" s="169" t="s">
        <v>390</v>
      </c>
      <c r="T16" s="185"/>
    </row>
    <row r="17" spans="1:20" s="186" customFormat="1" ht="56.25" customHeight="1">
      <c r="A17" s="173">
        <v>13</v>
      </c>
      <c r="B17" s="174">
        <v>44893</v>
      </c>
      <c r="C17" s="175">
        <v>45574</v>
      </c>
      <c r="D17" s="176">
        <v>1</v>
      </c>
      <c r="E17" s="176">
        <v>81483283</v>
      </c>
      <c r="F17" s="177" t="s">
        <v>391</v>
      </c>
      <c r="G17" s="178">
        <v>112930048</v>
      </c>
      <c r="H17" s="179" t="s">
        <v>392</v>
      </c>
      <c r="I17" s="180" t="s">
        <v>393</v>
      </c>
      <c r="J17" s="181" t="s">
        <v>42</v>
      </c>
      <c r="K17" s="178" t="s">
        <v>349</v>
      </c>
      <c r="L17" s="178" t="s">
        <v>394</v>
      </c>
      <c r="M17" s="177" t="s">
        <v>395</v>
      </c>
      <c r="N17" s="182">
        <v>15</v>
      </c>
      <c r="O17" s="183">
        <v>102924420</v>
      </c>
      <c r="P17" s="184" t="s">
        <v>396</v>
      </c>
      <c r="Q17" s="169">
        <v>989324361</v>
      </c>
      <c r="R17" s="169"/>
      <c r="S17" s="169" t="s">
        <v>397</v>
      </c>
      <c r="T17" s="185"/>
    </row>
    <row r="18" spans="1:20" s="186" customFormat="1" ht="56.25" customHeight="1">
      <c r="A18" s="173">
        <v>14</v>
      </c>
      <c r="B18" s="249">
        <v>45388</v>
      </c>
      <c r="C18" s="175">
        <v>45576</v>
      </c>
      <c r="D18" s="176"/>
      <c r="E18" s="176"/>
      <c r="F18" s="177"/>
      <c r="G18" s="248">
        <v>113430016</v>
      </c>
      <c r="H18" s="248" t="s">
        <v>241</v>
      </c>
      <c r="I18" s="248" t="s">
        <v>294</v>
      </c>
      <c r="J18" s="181" t="s">
        <v>42</v>
      </c>
      <c r="K18" s="178" t="s">
        <v>349</v>
      </c>
      <c r="L18" s="178" t="s">
        <v>291</v>
      </c>
      <c r="M18" s="177" t="s">
        <v>527</v>
      </c>
      <c r="N18" s="182">
        <v>18.75</v>
      </c>
      <c r="O18" s="183">
        <v>301485611</v>
      </c>
      <c r="P18" s="216" t="s">
        <v>293</v>
      </c>
      <c r="Q18" s="209">
        <v>984886262</v>
      </c>
      <c r="R18" s="209"/>
      <c r="S18" s="209" t="s">
        <v>288</v>
      </c>
      <c r="T18" s="185"/>
    </row>
    <row r="19" spans="1:20" s="186" customFormat="1" ht="56.25" customHeight="1">
      <c r="A19" s="173">
        <v>15</v>
      </c>
      <c r="B19" s="249">
        <v>45553</v>
      </c>
      <c r="C19" s="175">
        <v>45579</v>
      </c>
      <c r="D19" s="176"/>
      <c r="E19" s="176"/>
      <c r="F19" s="177"/>
      <c r="G19" s="189">
        <v>111030002</v>
      </c>
      <c r="H19" s="209" t="s">
        <v>209</v>
      </c>
      <c r="I19" s="209" t="s">
        <v>210</v>
      </c>
      <c r="J19" s="181" t="s">
        <v>42</v>
      </c>
      <c r="K19" s="178" t="s">
        <v>349</v>
      </c>
      <c r="L19" s="178" t="s">
        <v>207</v>
      </c>
      <c r="M19" s="177" t="s">
        <v>529</v>
      </c>
      <c r="N19" s="182">
        <v>18.75</v>
      </c>
      <c r="O19" s="183">
        <v>10485647</v>
      </c>
      <c r="P19" s="250" t="s">
        <v>208</v>
      </c>
      <c r="Q19" s="251">
        <v>983009654</v>
      </c>
      <c r="R19" s="251"/>
      <c r="S19" s="251" t="s">
        <v>205</v>
      </c>
      <c r="T19" s="185"/>
    </row>
    <row r="20" spans="1:20" s="186" customFormat="1" ht="56.25" customHeight="1">
      <c r="A20" s="173">
        <v>16</v>
      </c>
      <c r="B20" s="174">
        <v>44741</v>
      </c>
      <c r="C20" s="175">
        <v>45579</v>
      </c>
      <c r="D20" s="176">
        <v>2</v>
      </c>
      <c r="E20" s="176">
        <v>93162407</v>
      </c>
      <c r="F20" s="177" t="s">
        <v>398</v>
      </c>
      <c r="G20" s="178">
        <v>40584305</v>
      </c>
      <c r="H20" s="179" t="s">
        <v>92</v>
      </c>
      <c r="I20" s="180" t="s">
        <v>399</v>
      </c>
      <c r="J20" s="181" t="s">
        <v>42</v>
      </c>
      <c r="K20" s="178" t="s">
        <v>349</v>
      </c>
      <c r="L20" s="178" t="s">
        <v>400</v>
      </c>
      <c r="M20" s="177" t="s">
        <v>401</v>
      </c>
      <c r="N20" s="182">
        <v>15</v>
      </c>
      <c r="O20" s="183">
        <v>102902483</v>
      </c>
      <c r="P20" s="184" t="s">
        <v>402</v>
      </c>
      <c r="Q20" s="169">
        <v>998438244</v>
      </c>
      <c r="R20" s="169"/>
      <c r="S20" s="169" t="s">
        <v>403</v>
      </c>
      <c r="T20" s="185"/>
    </row>
    <row r="21" spans="1:20" s="186" customFormat="1" ht="56.25" customHeight="1">
      <c r="A21" s="193"/>
      <c r="B21" s="194"/>
      <c r="C21" s="195"/>
      <c r="D21" s="195"/>
      <c r="E21" s="196"/>
      <c r="F21" s="187"/>
      <c r="G21" s="197"/>
      <c r="H21" s="198"/>
      <c r="I21" s="199"/>
      <c r="J21"/>
      <c r="K21"/>
      <c r="L21"/>
      <c r="M21" s="185"/>
      <c r="N21" s="233">
        <f>SUM(N9:N20)</f>
        <v>175</v>
      </c>
      <c r="O21" s="200"/>
      <c r="S21" s="185"/>
    </row>
    <row r="22" spans="1:20" s="186" customFormat="1" ht="56.25" customHeight="1">
      <c r="A22"/>
      <c r="B22"/>
      <c r="C22"/>
      <c r="D22"/>
      <c r="E22"/>
      <c r="F22"/>
      <c r="G22"/>
      <c r="H22"/>
      <c r="I22"/>
      <c r="J22"/>
      <c r="K22"/>
      <c r="L22"/>
      <c r="M22" s="185"/>
      <c r="N22" s="204"/>
      <c r="S22" s="185"/>
    </row>
    <row r="23" spans="1:20" s="186" customFormat="1" ht="56.25" customHeight="1">
      <c r="A23"/>
      <c r="B23"/>
      <c r="C23"/>
      <c r="D23"/>
      <c r="E23"/>
      <c r="F23"/>
      <c r="G23"/>
      <c r="H23"/>
      <c r="I23"/>
      <c r="J23"/>
      <c r="K23"/>
      <c r="L23"/>
      <c r="M23" s="185"/>
      <c r="S23" s="185"/>
    </row>
    <row r="24" spans="1:20" s="186" customFormat="1" ht="56.25" customHeight="1">
      <c r="A24"/>
      <c r="B24"/>
      <c r="C24"/>
      <c r="D24"/>
      <c r="E24"/>
      <c r="F24"/>
      <c r="G24"/>
      <c r="H24"/>
      <c r="I24">
        <v>3</v>
      </c>
      <c r="J24"/>
      <c r="K24"/>
      <c r="L24"/>
      <c r="M24" s="185"/>
      <c r="S24" s="185"/>
    </row>
    <row r="25" spans="1:20" s="186" customFormat="1" ht="56.25" customHeight="1">
      <c r="A25" s="173"/>
      <c r="B25"/>
      <c r="C25"/>
      <c r="D25"/>
      <c r="E25"/>
      <c r="F25"/>
      <c r="G25"/>
      <c r="H25"/>
      <c r="I25"/>
      <c r="J25"/>
      <c r="K25"/>
      <c r="L25"/>
      <c r="M25"/>
      <c r="N25" s="185"/>
      <c r="T25" s="185"/>
    </row>
    <row r="26" spans="1:20" s="186" customFormat="1" ht="56.25" customHeight="1">
      <c r="A26" s="173"/>
      <c r="B26"/>
      <c r="C26"/>
      <c r="D26"/>
      <c r="E26"/>
      <c r="F26"/>
      <c r="G26"/>
      <c r="H26"/>
      <c r="I26"/>
      <c r="J26"/>
      <c r="K26"/>
      <c r="L26"/>
      <c r="M26"/>
      <c r="T26" s="185"/>
    </row>
    <row r="27" spans="1:20" s="186" customFormat="1" ht="56.25" customHeight="1">
      <c r="A27" s="173"/>
      <c r="B27"/>
      <c r="C27"/>
      <c r="D27"/>
      <c r="E27"/>
      <c r="F27"/>
      <c r="G27"/>
      <c r="H27"/>
      <c r="I27"/>
      <c r="J27"/>
      <c r="K27"/>
      <c r="L27"/>
      <c r="M27"/>
      <c r="T27" s="185"/>
    </row>
    <row r="28" spans="1:20" s="186" customFormat="1" ht="56.25" customHeight="1">
      <c r="A28" s="173"/>
      <c r="B28"/>
      <c r="C28"/>
      <c r="D28"/>
      <c r="E28"/>
      <c r="F28"/>
      <c r="G28"/>
      <c r="H28"/>
      <c r="I28"/>
      <c r="J28"/>
      <c r="K28"/>
      <c r="L28"/>
      <c r="M28"/>
      <c r="T28" s="185"/>
    </row>
    <row r="29" spans="1:20" s="186" customFormat="1" ht="56.25" customHeight="1">
      <c r="A29" s="173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T29" s="185"/>
    </row>
    <row r="30" spans="1:20" s="186" customFormat="1" ht="56.25" customHeight="1">
      <c r="A30" s="173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s="185"/>
    </row>
    <row r="31" spans="1:20" s="186" customFormat="1" ht="56.25" customHeight="1">
      <c r="A31" s="173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 s="167"/>
      <c r="Q31" s="167"/>
      <c r="R31" s="167"/>
      <c r="S31" s="167"/>
      <c r="T31" s="185"/>
    </row>
    <row r="32" spans="1:20" s="186" customFormat="1" ht="56.25" customHeight="1">
      <c r="A32" s="173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 s="72"/>
      <c r="Q32" s="72"/>
      <c r="R32" s="72"/>
      <c r="S32" s="72"/>
      <c r="T32" s="185"/>
    </row>
    <row r="33" spans="1:20" s="186" customFormat="1" ht="56.25" customHeight="1">
      <c r="A33" s="17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s="72"/>
      <c r="Q33" s="72"/>
      <c r="R33" s="72"/>
      <c r="S33" s="72"/>
      <c r="T33" s="185"/>
    </row>
    <row r="34" spans="1:20" s="186" customFormat="1" ht="56.25" customHeight="1">
      <c r="A34" s="173">
        <v>2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20" s="186" customFormat="1" ht="56.25" customHeight="1">
      <c r="A35" s="173">
        <v>3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20" s="186" customFormat="1" ht="56.25" customHeight="1">
      <c r="A36" s="173">
        <v>4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20" s="186" customFormat="1" ht="56.25" customHeight="1">
      <c r="A37" s="173">
        <v>5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20" s="186" customFormat="1" ht="56.25" customHeight="1">
      <c r="A38" s="173">
        <v>6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20" s="186" customFormat="1" ht="56.25" customHeight="1">
      <c r="A39" s="173">
        <v>7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20" s="186" customFormat="1" ht="56.25" customHeight="1">
      <c r="A40" s="173">
        <v>8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20" s="186" customFormat="1" ht="51" customHeight="1">
      <c r="A41" s="173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20" s="186" customFormat="1" ht="56.25" customHeight="1">
      <c r="A42" s="173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20" s="186" customFormat="1" ht="36.75" customHeight="1">
      <c r="A43" s="17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20" s="167" customFormat="1" ht="56.25" customHeight="1">
      <c r="A44" s="166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20" s="167" customFormat="1" ht="31.5" customHeight="1">
      <c r="A45" s="166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20" s="167" customFormat="1" ht="30" customHeight="1">
      <c r="A46" s="16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20" s="167" customFormat="1" ht="30" customHeight="1">
      <c r="A47" s="166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20" s="167" customFormat="1" ht="24.75" customHeight="1">
      <c r="A48" s="16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s="167" customFormat="1" ht="56.25" customHeight="1">
      <c r="A49" s="166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s="167" customFormat="1" ht="56.25" customHeight="1">
      <c r="A50" s="166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s="167" customFormat="1" ht="56.25" customHeight="1">
      <c r="A51" s="166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s="167" customFormat="1" ht="17">
      <c r="A52" s="168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s="167" customFormat="1" ht="17">
      <c r="A53" s="168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s="72" customFormat="1" ht="17">
      <c r="A54" s="73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s="72" customFormat="1" ht="17">
      <c r="A55" s="73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</sheetData>
  <hyperlinks>
    <hyperlink ref="V51" r:id="rId1" display="santiago2217@icloud.com" xr:uid="{00000000-0004-0000-0100-000000000000}"/>
    <hyperlink ref="P9" r:id="rId2" xr:uid="{F1D258DE-949E-8D40-A818-62D563EFFA46}"/>
    <hyperlink ref="P10" r:id="rId3" xr:uid="{2042A395-3BFC-D641-A21D-5553F8A6A1B5}"/>
    <hyperlink ref="P11" r:id="rId4" xr:uid="{C53B70B3-546D-114B-A8B8-6636BD32D1B9}"/>
    <hyperlink ref="P12" r:id="rId5" xr:uid="{17C5FEEC-8E55-F949-B2FF-E0CE2298E5F5}"/>
    <hyperlink ref="P13" r:id="rId6" xr:uid="{7A49B08C-7424-FA48-868D-EE9BC47A2469}"/>
    <hyperlink ref="P15" r:id="rId7" xr:uid="{87884A4E-87F6-1546-AC57-C070D92A9103}"/>
    <hyperlink ref="P16" r:id="rId8" xr:uid="{C12E07B4-4F66-B347-9DC3-5BA03C4AC06A}"/>
    <hyperlink ref="P17" r:id="rId9" xr:uid="{9874B495-D4D1-A94C-A14F-CAF04746E15C}"/>
    <hyperlink ref="P20" r:id="rId10" xr:uid="{3B639112-DCAF-CC49-AEB4-B5662FF0F8F8}"/>
    <hyperlink ref="P18" r:id="rId11" xr:uid="{FC6E196F-9C53-4C4B-9E8A-D5CE5EAE1554}"/>
    <hyperlink ref="P19" r:id="rId12" xr:uid="{72FD3A39-7040-544C-850F-C29E8150764C}"/>
  </hyperlinks>
  <pageMargins left="0.7" right="0.7" top="0.75" bottom="0.75" header="0.3" footer="0.3"/>
  <pageSetup paperSize="9" orientation="portrait" horizontalDpi="0" verticalDpi="0" r:id="rId1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5"/>
  <sheetViews>
    <sheetView topLeftCell="B1" zoomScale="147" zoomScaleNormal="147" workbookViewId="0">
      <selection activeCell="U8" sqref="U8"/>
    </sheetView>
  </sheetViews>
  <sheetFormatPr baseColWidth="10" defaultRowHeight="15"/>
  <cols>
    <col min="2" max="2" width="11.33203125" bestFit="1" customWidth="1"/>
    <col min="5" max="5" width="16.6640625" customWidth="1"/>
    <col min="6" max="6" width="26.1640625" customWidth="1"/>
    <col min="7" max="7" width="16" customWidth="1"/>
    <col min="11" max="11" width="11.33203125" bestFit="1" customWidth="1"/>
    <col min="14" max="14" width="11.1640625" bestFit="1" customWidth="1"/>
    <col min="16" max="16" width="13.33203125" bestFit="1" customWidth="1"/>
    <col min="20" max="20" width="13.83203125" bestFit="1" customWidth="1"/>
  </cols>
  <sheetData>
    <row r="3" spans="1:21">
      <c r="A3" s="74"/>
      <c r="B3" s="75"/>
      <c r="C3" s="76" t="s">
        <v>43</v>
      </c>
      <c r="D3" s="75"/>
      <c r="E3" s="77"/>
      <c r="F3" s="75"/>
      <c r="G3" s="78"/>
      <c r="H3" s="75"/>
      <c r="I3" s="75"/>
      <c r="J3" s="75"/>
      <c r="K3" s="79"/>
      <c r="L3" s="79"/>
      <c r="M3" s="75"/>
      <c r="N3" s="75"/>
      <c r="O3" s="80"/>
      <c r="P3" s="75"/>
      <c r="Q3" s="75"/>
      <c r="R3" s="75"/>
      <c r="S3" s="75"/>
      <c r="T3" s="75"/>
      <c r="U3" s="81"/>
    </row>
    <row r="4" spans="1:21">
      <c r="A4" s="74"/>
      <c r="B4" s="75"/>
      <c r="C4" s="82" t="s">
        <v>44</v>
      </c>
      <c r="D4" s="75"/>
      <c r="E4" s="75"/>
      <c r="F4" s="75"/>
      <c r="G4" s="78"/>
      <c r="H4" s="75"/>
      <c r="I4" s="75" t="s">
        <v>45</v>
      </c>
      <c r="J4" s="75"/>
      <c r="K4" s="79"/>
      <c r="L4" s="79"/>
      <c r="M4" s="138" t="s">
        <v>86</v>
      </c>
      <c r="N4" s="75"/>
      <c r="O4" s="80"/>
      <c r="P4" s="75"/>
      <c r="Q4" s="83"/>
      <c r="R4" s="75"/>
      <c r="S4" s="75"/>
      <c r="T4" s="84"/>
      <c r="U4" s="85">
        <v>45536</v>
      </c>
    </row>
    <row r="5" spans="1:21" ht="37">
      <c r="A5" s="81"/>
      <c r="B5" s="86" t="s">
        <v>2</v>
      </c>
      <c r="C5" s="86" t="s">
        <v>3</v>
      </c>
      <c r="D5" s="86" t="s">
        <v>4</v>
      </c>
      <c r="E5" s="86" t="s">
        <v>5</v>
      </c>
      <c r="F5" s="86" t="s">
        <v>6</v>
      </c>
      <c r="G5" s="86" t="s">
        <v>7</v>
      </c>
      <c r="H5" s="86" t="s">
        <v>8</v>
      </c>
      <c r="I5" s="86" t="s">
        <v>9</v>
      </c>
      <c r="J5" s="86" t="s">
        <v>10</v>
      </c>
      <c r="K5" s="87" t="s">
        <v>46</v>
      </c>
      <c r="L5" s="87" t="s">
        <v>12</v>
      </c>
      <c r="M5" s="87" t="s">
        <v>13</v>
      </c>
      <c r="N5" s="87" t="s">
        <v>14</v>
      </c>
      <c r="O5" s="88" t="s">
        <v>15</v>
      </c>
      <c r="P5" s="87" t="s">
        <v>47</v>
      </c>
      <c r="Q5" s="87" t="s">
        <v>48</v>
      </c>
      <c r="R5" s="89" t="s">
        <v>49</v>
      </c>
      <c r="S5" s="89" t="s">
        <v>19</v>
      </c>
      <c r="T5" s="90" t="s">
        <v>20</v>
      </c>
      <c r="U5" s="91" t="s">
        <v>50</v>
      </c>
    </row>
    <row r="6" spans="1:21" s="38" customFormat="1" ht="23.25" customHeight="1">
      <c r="A6" s="92">
        <v>1</v>
      </c>
      <c r="B6" s="97">
        <v>45559</v>
      </c>
      <c r="C6" s="98" t="s">
        <v>77</v>
      </c>
      <c r="D6" s="93"/>
      <c r="E6" s="94">
        <v>111570003</v>
      </c>
      <c r="F6" s="95" t="s">
        <v>80</v>
      </c>
      <c r="G6" s="99" t="s">
        <v>404</v>
      </c>
      <c r="H6" s="100">
        <v>400020</v>
      </c>
      <c r="I6" s="101" t="s">
        <v>75</v>
      </c>
      <c r="J6" s="101" t="s">
        <v>76</v>
      </c>
      <c r="K6" s="97">
        <v>45559</v>
      </c>
      <c r="L6" s="98" t="s">
        <v>77</v>
      </c>
      <c r="M6" s="96" t="s">
        <v>405</v>
      </c>
      <c r="N6" s="171">
        <v>991172261</v>
      </c>
      <c r="O6" s="102">
        <v>29</v>
      </c>
      <c r="P6" s="98" t="s">
        <v>51</v>
      </c>
      <c r="Q6" s="98" t="s">
        <v>75</v>
      </c>
      <c r="R6" s="103">
        <v>0</v>
      </c>
      <c r="S6" s="103">
        <v>0</v>
      </c>
      <c r="T6" s="104">
        <v>104088265</v>
      </c>
      <c r="U6" s="137" t="s">
        <v>406</v>
      </c>
    </row>
    <row r="7" spans="1:21" ht="18">
      <c r="A7">
        <v>2</v>
      </c>
      <c r="B7" s="234">
        <v>45566</v>
      </c>
      <c r="C7" s="235" t="s">
        <v>93</v>
      </c>
      <c r="D7" s="236" t="s">
        <v>407</v>
      </c>
      <c r="E7" s="237">
        <v>111570003</v>
      </c>
      <c r="F7" s="238" t="s">
        <v>80</v>
      </c>
      <c r="G7" s="237" t="s">
        <v>408</v>
      </c>
      <c r="H7" s="239">
        <v>412672</v>
      </c>
      <c r="I7" s="240" t="s">
        <v>75</v>
      </c>
      <c r="J7" s="240" t="s">
        <v>76</v>
      </c>
      <c r="K7" s="234">
        <v>45567</v>
      </c>
      <c r="L7" s="235" t="s">
        <v>409</v>
      </c>
      <c r="M7" s="241" t="s">
        <v>410</v>
      </c>
      <c r="N7" s="242">
        <v>998090616</v>
      </c>
      <c r="O7" s="243">
        <v>29</v>
      </c>
      <c r="P7" s="235" t="s">
        <v>51</v>
      </c>
      <c r="Q7" s="235" t="s">
        <v>75</v>
      </c>
      <c r="R7" s="244">
        <v>0</v>
      </c>
      <c r="S7" s="244">
        <v>0</v>
      </c>
      <c r="T7" s="245">
        <v>103580668</v>
      </c>
      <c r="U7" s="246" t="s">
        <v>411</v>
      </c>
    </row>
    <row r="8" spans="1:21">
      <c r="O8" s="188">
        <f>SUM(O6:O7)</f>
        <v>58</v>
      </c>
    </row>
    <row r="25" spans="4:4">
      <c r="D25" t="s">
        <v>85</v>
      </c>
    </row>
  </sheetData>
  <hyperlinks>
    <hyperlink ref="U6" r:id="rId1" xr:uid="{97C04628-8874-D746-82B2-E8D2D07369A9}"/>
    <hyperlink ref="U7" r:id="rId2" xr:uid="{D0BB5606-2203-3F4F-8AA2-E1A43579CD17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8"/>
  <sheetViews>
    <sheetView workbookViewId="0">
      <selection activeCell="F16" sqref="F16"/>
    </sheetView>
  </sheetViews>
  <sheetFormatPr baseColWidth="10" defaultRowHeight="15"/>
  <cols>
    <col min="5" max="5" width="15.33203125" customWidth="1"/>
    <col min="6" max="6" width="39.33203125" bestFit="1" customWidth="1"/>
    <col min="7" max="7" width="15.6640625" bestFit="1" customWidth="1"/>
    <col min="10" max="10" width="15.6640625" customWidth="1"/>
    <col min="11" max="11" width="18.664062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105" t="s">
        <v>52</v>
      </c>
      <c r="D4" s="106"/>
      <c r="E4" s="106"/>
      <c r="F4" s="5"/>
      <c r="G4" s="106"/>
      <c r="H4" s="106"/>
      <c r="I4" s="106"/>
      <c r="J4" s="106"/>
      <c r="K4" s="106"/>
      <c r="L4" s="106"/>
      <c r="M4" s="106"/>
      <c r="N4" s="106"/>
      <c r="O4" s="106"/>
      <c r="P4" s="5"/>
    </row>
    <row r="5" spans="1:22" ht="16" thickBot="1">
      <c r="A5" s="5"/>
      <c r="B5" s="106"/>
      <c r="C5" s="107" t="s">
        <v>1</v>
      </c>
      <c r="D5" s="107"/>
      <c r="E5" s="107"/>
      <c r="F5" s="5"/>
      <c r="J5" t="s">
        <v>63</v>
      </c>
      <c r="K5" s="5"/>
      <c r="L5" s="114" t="s">
        <v>111</v>
      </c>
      <c r="P5" s="5"/>
    </row>
    <row r="6" spans="1:22" s="23" customFormat="1" ht="58.5" customHeight="1">
      <c r="A6" s="108"/>
      <c r="B6" s="109" t="s">
        <v>53</v>
      </c>
      <c r="C6" s="110" t="s">
        <v>54</v>
      </c>
      <c r="D6" s="110" t="s">
        <v>4</v>
      </c>
      <c r="E6" s="111" t="s">
        <v>55</v>
      </c>
      <c r="F6" s="110" t="s">
        <v>56</v>
      </c>
      <c r="G6" s="110" t="s">
        <v>57</v>
      </c>
      <c r="H6" s="109" t="s">
        <v>8</v>
      </c>
      <c r="I6" s="110" t="s">
        <v>58</v>
      </c>
      <c r="J6" s="110" t="s">
        <v>59</v>
      </c>
      <c r="K6" s="110" t="s">
        <v>60</v>
      </c>
      <c r="L6" s="110" t="s">
        <v>12</v>
      </c>
      <c r="M6" s="112" t="s">
        <v>61</v>
      </c>
      <c r="N6" s="110" t="s">
        <v>14</v>
      </c>
      <c r="O6" s="113" t="s">
        <v>15</v>
      </c>
      <c r="P6" s="110" t="s">
        <v>62</v>
      </c>
      <c r="Q6" s="112"/>
      <c r="R6" s="112"/>
    </row>
    <row r="7" spans="1:22" s="38" customFormat="1" ht="24" customHeight="1">
      <c r="A7" s="24">
        <v>1</v>
      </c>
      <c r="B7" s="25"/>
      <c r="C7" s="26"/>
      <c r="D7" s="26"/>
      <c r="E7" s="27"/>
      <c r="F7" s="28"/>
      <c r="G7" s="29"/>
      <c r="H7" s="30" t="s">
        <v>42</v>
      </c>
      <c r="I7" s="26" t="s">
        <v>78</v>
      </c>
      <c r="J7" s="29" t="s">
        <v>79</v>
      </c>
      <c r="K7" s="31"/>
      <c r="L7" s="32"/>
      <c r="M7" s="32"/>
      <c r="N7" s="170"/>
      <c r="O7" s="33"/>
      <c r="P7" s="26" t="s">
        <v>84</v>
      </c>
      <c r="Q7" s="26"/>
      <c r="R7" s="172"/>
      <c r="S7" s="34"/>
      <c r="T7" s="35"/>
      <c r="U7" s="36"/>
      <c r="V7" s="37"/>
    </row>
    <row r="8" spans="1:22" s="38" customFormat="1" ht="24" customHeight="1">
      <c r="A8" s="24">
        <v>2</v>
      </c>
      <c r="B8" s="25"/>
      <c r="C8" s="26"/>
      <c r="D8" s="26"/>
      <c r="E8" s="27"/>
      <c r="F8" s="28"/>
      <c r="G8" s="29"/>
      <c r="H8" s="30" t="s">
        <v>42</v>
      </c>
      <c r="I8" s="26" t="s">
        <v>78</v>
      </c>
      <c r="J8" s="29" t="s">
        <v>79</v>
      </c>
      <c r="K8" s="31"/>
      <c r="L8" s="32"/>
      <c r="M8" s="32"/>
      <c r="N8" s="170"/>
      <c r="O8" s="33"/>
      <c r="P8" s="26" t="s">
        <v>84</v>
      </c>
      <c r="Q8" s="26"/>
      <c r="R8" s="172"/>
      <c r="S8" s="34"/>
      <c r="T8" s="35"/>
      <c r="U8" s="36"/>
      <c r="V8" s="3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G14" sqref="G14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15"/>
      <c r="B1" s="116" t="s">
        <v>64</v>
      </c>
      <c r="C1" s="117"/>
      <c r="D1" s="116"/>
      <c r="E1" s="118"/>
      <c r="F1" s="118"/>
      <c r="G1" s="119"/>
      <c r="H1" s="119"/>
      <c r="I1" s="119"/>
      <c r="J1" s="119"/>
      <c r="K1" s="119"/>
      <c r="L1" s="119"/>
      <c r="M1" s="120"/>
      <c r="N1" s="119"/>
      <c r="O1" s="119"/>
      <c r="P1" s="119"/>
    </row>
    <row r="2" spans="1:21">
      <c r="A2" s="115"/>
      <c r="B2" s="121" t="s">
        <v>109</v>
      </c>
      <c r="C2" s="122"/>
      <c r="D2" s="118"/>
      <c r="E2" s="118"/>
      <c r="F2" s="118"/>
      <c r="G2" s="119"/>
      <c r="H2" s="119"/>
      <c r="I2" s="119"/>
      <c r="J2" s="119"/>
      <c r="K2" s="119"/>
      <c r="L2" s="119"/>
      <c r="M2" s="120"/>
      <c r="N2" s="119"/>
      <c r="O2" s="119"/>
      <c r="P2" s="119"/>
    </row>
    <row r="3" spans="1:21">
      <c r="A3" s="115"/>
      <c r="B3" s="123"/>
      <c r="C3" s="124"/>
      <c r="D3" s="123"/>
      <c r="E3" s="123"/>
      <c r="F3" s="123"/>
      <c r="G3" s="123"/>
      <c r="H3" s="123"/>
      <c r="I3" s="125"/>
      <c r="J3" s="123"/>
      <c r="K3" s="118"/>
      <c r="L3" s="118"/>
      <c r="M3" s="126"/>
      <c r="N3" s="119"/>
      <c r="O3" s="119"/>
      <c r="P3" s="123"/>
    </row>
    <row r="4" spans="1:21">
      <c r="A4" s="115"/>
      <c r="B4" s="119"/>
      <c r="C4" s="124" t="s">
        <v>0</v>
      </c>
      <c r="D4" s="119"/>
      <c r="E4" s="127"/>
      <c r="F4" s="119"/>
      <c r="G4" s="128"/>
      <c r="H4" s="119"/>
      <c r="I4" s="119"/>
      <c r="J4" s="119"/>
      <c r="K4" s="118"/>
      <c r="L4" s="122"/>
      <c r="M4" s="120"/>
      <c r="N4" s="119"/>
      <c r="O4" s="119"/>
      <c r="P4" s="119"/>
    </row>
    <row r="5" spans="1:21">
      <c r="A5" s="115"/>
      <c r="B5" s="119"/>
      <c r="C5" s="129" t="s">
        <v>1</v>
      </c>
      <c r="D5" s="129" t="s">
        <v>1</v>
      </c>
      <c r="E5" s="119"/>
      <c r="G5" s="119"/>
      <c r="H5" s="119"/>
      <c r="I5" s="119"/>
      <c r="J5" s="119" t="s">
        <v>74</v>
      </c>
      <c r="K5" s="119"/>
      <c r="L5" s="119"/>
      <c r="M5" s="119" t="s">
        <v>114</v>
      </c>
    </row>
    <row r="6" spans="1:21" ht="37">
      <c r="A6" s="115"/>
      <c r="B6" s="130" t="s">
        <v>2</v>
      </c>
      <c r="C6" s="130" t="s">
        <v>3</v>
      </c>
      <c r="D6" s="130" t="s">
        <v>4</v>
      </c>
      <c r="E6" s="130" t="s">
        <v>5</v>
      </c>
      <c r="F6" s="131" t="s">
        <v>6</v>
      </c>
      <c r="G6" s="130" t="s">
        <v>7</v>
      </c>
      <c r="H6" s="130" t="s">
        <v>8</v>
      </c>
      <c r="I6" s="130" t="s">
        <v>9</v>
      </c>
      <c r="J6" s="130" t="s">
        <v>10</v>
      </c>
      <c r="K6" s="130" t="s">
        <v>11</v>
      </c>
      <c r="L6" s="130" t="s">
        <v>66</v>
      </c>
      <c r="M6" s="132" t="s">
        <v>67</v>
      </c>
      <c r="N6" s="130" t="s">
        <v>68</v>
      </c>
      <c r="O6" s="130" t="s">
        <v>65</v>
      </c>
      <c r="P6" s="130" t="s">
        <v>69</v>
      </c>
      <c r="Q6" s="130" t="s">
        <v>70</v>
      </c>
      <c r="R6" s="130" t="s">
        <v>71</v>
      </c>
      <c r="S6" s="130" t="s">
        <v>72</v>
      </c>
      <c r="T6" s="132" t="s">
        <v>73</v>
      </c>
      <c r="U6" s="130" t="s">
        <v>13</v>
      </c>
    </row>
    <row r="7" spans="1:21" s="39" customFormat="1" ht="24" customHeight="1">
      <c r="A7"/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8"/>
      <c r="O7" s="207"/>
      <c r="P7" s="207"/>
      <c r="Q7" s="207"/>
      <c r="R7" s="207"/>
      <c r="S7" s="207"/>
      <c r="T7" s="207"/>
      <c r="U7" s="207"/>
    </row>
    <row r="8" spans="1:21" s="39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9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9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9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9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9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9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9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9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9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9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9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9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9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9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9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9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9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9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9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9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9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9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9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9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9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9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9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9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9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9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9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9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9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9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5"/>
  <sheetViews>
    <sheetView topLeftCell="A5" zoomScale="183" zoomScaleNormal="183" workbookViewId="0">
      <selection activeCell="V21" sqref="V21"/>
    </sheetView>
  </sheetViews>
  <sheetFormatPr baseColWidth="10" defaultRowHeight="15"/>
  <cols>
    <col min="8" max="8" width="13.83203125" bestFit="1" customWidth="1"/>
  </cols>
  <sheetData>
    <row r="1" spans="1:21" ht="16">
      <c r="G1" s="165"/>
    </row>
    <row r="2" spans="1:21">
      <c r="B2" s="139"/>
      <c r="C2" s="140" t="s">
        <v>0</v>
      </c>
      <c r="F2" s="141"/>
      <c r="G2" s="142"/>
      <c r="H2" s="143"/>
      <c r="I2" s="144"/>
      <c r="J2" s="145"/>
      <c r="K2" s="146"/>
      <c r="L2" s="147"/>
      <c r="M2" s="147"/>
      <c r="N2" s="139"/>
      <c r="O2" s="148"/>
      <c r="T2" s="149"/>
    </row>
    <row r="3" spans="1:21">
      <c r="B3" s="139"/>
      <c r="C3" s="150" t="s">
        <v>1</v>
      </c>
      <c r="F3" s="151"/>
      <c r="G3" s="142"/>
      <c r="H3" s="143"/>
      <c r="I3" s="144"/>
      <c r="J3" s="145" t="s">
        <v>82</v>
      </c>
      <c r="K3" s="146"/>
      <c r="L3" s="147"/>
      <c r="M3" s="152"/>
      <c r="N3" s="153" t="s">
        <v>115</v>
      </c>
      <c r="O3" s="148"/>
      <c r="P3" s="154"/>
      <c r="T3" s="149"/>
    </row>
    <row r="4" spans="1:21" ht="20">
      <c r="B4" s="155" t="s">
        <v>11</v>
      </c>
      <c r="C4" s="155" t="s">
        <v>2</v>
      </c>
      <c r="D4" s="155" t="s">
        <v>3</v>
      </c>
      <c r="E4" s="155" t="s">
        <v>4</v>
      </c>
      <c r="F4" s="155" t="s">
        <v>5</v>
      </c>
      <c r="G4" s="155" t="s">
        <v>6</v>
      </c>
      <c r="H4" s="155" t="s">
        <v>7</v>
      </c>
      <c r="I4" s="155" t="s">
        <v>8</v>
      </c>
      <c r="J4" s="155" t="s">
        <v>9</v>
      </c>
      <c r="K4" s="155" t="s">
        <v>10</v>
      </c>
      <c r="L4" s="156" t="s">
        <v>12</v>
      </c>
      <c r="M4" s="156" t="s">
        <v>13</v>
      </c>
      <c r="N4" s="155" t="s">
        <v>14</v>
      </c>
      <c r="O4" s="157" t="s">
        <v>15</v>
      </c>
      <c r="P4" s="155" t="s">
        <v>16</v>
      </c>
      <c r="Q4" s="155" t="s">
        <v>17</v>
      </c>
      <c r="R4" s="158" t="s">
        <v>18</v>
      </c>
      <c r="S4" s="155" t="s">
        <v>19</v>
      </c>
      <c r="T4" s="155" t="s">
        <v>20</v>
      </c>
      <c r="U4" s="159" t="s">
        <v>21</v>
      </c>
    </row>
    <row r="5" spans="1:21">
      <c r="A5">
        <v>1</v>
      </c>
      <c r="B5" s="160">
        <v>45555</v>
      </c>
      <c r="C5" s="160">
        <v>45483</v>
      </c>
      <c r="D5" s="160" t="s">
        <v>87</v>
      </c>
      <c r="E5" s="160" t="s">
        <v>412</v>
      </c>
      <c r="F5" s="161" t="s">
        <v>413</v>
      </c>
      <c r="G5" s="160" t="s">
        <v>414</v>
      </c>
      <c r="H5" s="160" t="s">
        <v>415</v>
      </c>
      <c r="I5" s="161" t="s">
        <v>42</v>
      </c>
      <c r="J5" s="160" t="s">
        <v>78</v>
      </c>
      <c r="K5" s="160" t="s">
        <v>79</v>
      </c>
      <c r="L5" s="160" t="s">
        <v>416</v>
      </c>
      <c r="M5" s="160" t="s">
        <v>417</v>
      </c>
      <c r="N5" s="162">
        <v>998814458</v>
      </c>
      <c r="O5" s="163">
        <v>15</v>
      </c>
      <c r="P5" s="160" t="s">
        <v>83</v>
      </c>
      <c r="Q5" s="160" t="s">
        <v>78</v>
      </c>
      <c r="R5" s="160"/>
      <c r="S5" s="160" t="s">
        <v>412</v>
      </c>
      <c r="T5" s="164">
        <v>101990091</v>
      </c>
      <c r="U5" s="247" t="s">
        <v>418</v>
      </c>
    </row>
    <row r="6" spans="1:21">
      <c r="A6">
        <v>2</v>
      </c>
      <c r="B6" s="160">
        <v>45555</v>
      </c>
      <c r="C6" s="160">
        <v>45468</v>
      </c>
      <c r="D6" s="160" t="s">
        <v>77</v>
      </c>
      <c r="E6" s="160" t="s">
        <v>516</v>
      </c>
      <c r="F6" s="161" t="s">
        <v>517</v>
      </c>
      <c r="G6" s="160" t="s">
        <v>518</v>
      </c>
      <c r="H6" s="160" t="s">
        <v>519</v>
      </c>
      <c r="I6" s="161" t="s">
        <v>42</v>
      </c>
      <c r="J6" s="160" t="s">
        <v>78</v>
      </c>
      <c r="K6" s="160" t="s">
        <v>79</v>
      </c>
      <c r="L6" s="160" t="s">
        <v>520</v>
      </c>
      <c r="M6" s="160" t="s">
        <v>292</v>
      </c>
      <c r="N6" s="162">
        <v>987495337</v>
      </c>
      <c r="O6" s="163">
        <v>25</v>
      </c>
      <c r="P6" s="160" t="s">
        <v>83</v>
      </c>
      <c r="Q6" s="160" t="s">
        <v>78</v>
      </c>
      <c r="R6" s="160"/>
      <c r="S6" s="160" t="s">
        <v>516</v>
      </c>
      <c r="T6" s="164">
        <v>301621173</v>
      </c>
      <c r="U6" s="247" t="s">
        <v>521</v>
      </c>
    </row>
    <row r="7" spans="1:21">
      <c r="A7">
        <v>3</v>
      </c>
      <c r="B7" s="160">
        <v>45555</v>
      </c>
      <c r="C7" s="160">
        <v>45552</v>
      </c>
      <c r="D7" s="160" t="s">
        <v>419</v>
      </c>
      <c r="E7" s="160" t="s">
        <v>420</v>
      </c>
      <c r="F7" s="161" t="s">
        <v>428</v>
      </c>
      <c r="G7" s="160" t="s">
        <v>346</v>
      </c>
      <c r="H7" s="160" t="s">
        <v>421</v>
      </c>
      <c r="I7" s="161" t="s">
        <v>42</v>
      </c>
      <c r="J7" s="160" t="s">
        <v>78</v>
      </c>
      <c r="K7" s="160" t="s">
        <v>79</v>
      </c>
      <c r="L7" s="160" t="s">
        <v>422</v>
      </c>
      <c r="M7" s="160" t="s">
        <v>423</v>
      </c>
      <c r="N7" s="162">
        <v>989471420</v>
      </c>
      <c r="O7" s="163">
        <v>15</v>
      </c>
      <c r="P7" s="160" t="s">
        <v>83</v>
      </c>
      <c r="Q7" s="160" t="s">
        <v>78</v>
      </c>
      <c r="R7" s="160"/>
      <c r="S7" s="160" t="s">
        <v>420</v>
      </c>
      <c r="T7" s="164">
        <v>105161020</v>
      </c>
      <c r="U7" s="247" t="s">
        <v>424</v>
      </c>
    </row>
    <row r="8" spans="1:21">
      <c r="A8">
        <v>4</v>
      </c>
      <c r="B8" s="160">
        <v>45555</v>
      </c>
      <c r="C8" s="160">
        <v>45552</v>
      </c>
      <c r="D8" s="160" t="s">
        <v>425</v>
      </c>
      <c r="E8" s="160" t="s">
        <v>426</v>
      </c>
      <c r="F8" s="161" t="s">
        <v>427</v>
      </c>
      <c r="G8" s="160" t="s">
        <v>429</v>
      </c>
      <c r="H8" s="160" t="s">
        <v>430</v>
      </c>
      <c r="I8" s="161" t="s">
        <v>42</v>
      </c>
      <c r="J8" s="160" t="s">
        <v>78</v>
      </c>
      <c r="K8" s="160" t="s">
        <v>79</v>
      </c>
      <c r="L8" s="160" t="s">
        <v>431</v>
      </c>
      <c r="M8" s="160" t="s">
        <v>432</v>
      </c>
      <c r="N8" s="162">
        <v>979281083</v>
      </c>
      <c r="O8" s="163">
        <v>15</v>
      </c>
      <c r="P8" s="160" t="s">
        <v>83</v>
      </c>
      <c r="Q8" s="160" t="s">
        <v>78</v>
      </c>
      <c r="R8" s="160"/>
      <c r="S8" s="160" t="s">
        <v>426</v>
      </c>
      <c r="T8" s="164">
        <v>300464187</v>
      </c>
      <c r="U8" s="247" t="s">
        <v>433</v>
      </c>
    </row>
    <row r="9" spans="1:21">
      <c r="A9">
        <v>5</v>
      </c>
      <c r="B9" s="160">
        <v>45556</v>
      </c>
      <c r="C9" s="160">
        <v>45554</v>
      </c>
      <c r="D9" s="160" t="s">
        <v>87</v>
      </c>
      <c r="E9" s="160" t="s">
        <v>434</v>
      </c>
      <c r="F9" s="161" t="s">
        <v>435</v>
      </c>
      <c r="G9" s="160" t="s">
        <v>182</v>
      </c>
      <c r="H9" s="160" t="s">
        <v>436</v>
      </c>
      <c r="I9" s="161" t="s">
        <v>437</v>
      </c>
      <c r="J9" s="160" t="s">
        <v>78</v>
      </c>
      <c r="K9" s="160" t="s">
        <v>79</v>
      </c>
      <c r="L9" s="160" t="s">
        <v>438</v>
      </c>
      <c r="M9" s="160" t="s">
        <v>165</v>
      </c>
      <c r="N9" s="162">
        <v>998492038</v>
      </c>
      <c r="O9" s="163">
        <v>29</v>
      </c>
      <c r="P9" s="160" t="s">
        <v>83</v>
      </c>
      <c r="Q9" s="160" t="s">
        <v>78</v>
      </c>
      <c r="R9" s="160"/>
      <c r="S9" s="160" t="s">
        <v>434</v>
      </c>
      <c r="T9" s="164">
        <v>18908781</v>
      </c>
      <c r="U9" s="164"/>
    </row>
    <row r="10" spans="1:21">
      <c r="A10">
        <v>6</v>
      </c>
      <c r="B10" s="160">
        <v>45566</v>
      </c>
      <c r="C10" s="160">
        <v>45557</v>
      </c>
      <c r="D10" s="160" t="s">
        <v>87</v>
      </c>
      <c r="E10" s="160" t="s">
        <v>439</v>
      </c>
      <c r="F10" s="161" t="s">
        <v>440</v>
      </c>
      <c r="G10" s="160" t="s">
        <v>441</v>
      </c>
      <c r="H10" s="160">
        <v>1524023278</v>
      </c>
      <c r="I10" s="161" t="s">
        <v>42</v>
      </c>
      <c r="J10" s="160" t="s">
        <v>78</v>
      </c>
      <c r="K10" s="160" t="s">
        <v>79</v>
      </c>
      <c r="L10" s="160" t="s">
        <v>442</v>
      </c>
      <c r="M10" s="160" t="s">
        <v>443</v>
      </c>
      <c r="N10" s="162">
        <v>72880433</v>
      </c>
      <c r="O10" s="163">
        <v>29</v>
      </c>
      <c r="P10" s="160" t="s">
        <v>83</v>
      </c>
      <c r="Q10" s="160" t="s">
        <v>78</v>
      </c>
      <c r="R10" s="160"/>
      <c r="S10" s="160" t="s">
        <v>439</v>
      </c>
      <c r="T10" s="164">
        <v>72880433</v>
      </c>
      <c r="U10" s="164"/>
    </row>
    <row r="11" spans="1:21">
      <c r="A11">
        <v>7</v>
      </c>
      <c r="B11" s="160">
        <v>45568</v>
      </c>
      <c r="C11" s="160">
        <v>45563</v>
      </c>
      <c r="D11" s="160" t="s">
        <v>250</v>
      </c>
      <c r="E11" s="160" t="s">
        <v>444</v>
      </c>
      <c r="F11" s="161" t="s">
        <v>428</v>
      </c>
      <c r="G11" s="160" t="s">
        <v>346</v>
      </c>
      <c r="H11" s="160" t="s">
        <v>445</v>
      </c>
      <c r="I11" s="161" t="s">
        <v>42</v>
      </c>
      <c r="J11" s="160" t="s">
        <v>78</v>
      </c>
      <c r="K11" s="160" t="s">
        <v>79</v>
      </c>
      <c r="L11" s="160" t="s">
        <v>446</v>
      </c>
      <c r="M11" s="160" t="s">
        <v>447</v>
      </c>
      <c r="N11" s="162">
        <v>999104381</v>
      </c>
      <c r="O11" s="163">
        <v>15</v>
      </c>
      <c r="P11" s="160" t="s">
        <v>83</v>
      </c>
      <c r="Q11" s="160" t="s">
        <v>78</v>
      </c>
      <c r="R11" s="160"/>
      <c r="S11" s="160" t="s">
        <v>444</v>
      </c>
      <c r="T11" s="164">
        <v>101797538</v>
      </c>
      <c r="U11" s="247" t="s">
        <v>448</v>
      </c>
    </row>
    <row r="12" spans="1:21">
      <c r="A12">
        <v>8</v>
      </c>
      <c r="B12" s="160">
        <v>45568</v>
      </c>
      <c r="C12" s="160">
        <v>45554</v>
      </c>
      <c r="D12" s="160" t="s">
        <v>425</v>
      </c>
      <c r="E12" s="160" t="s">
        <v>449</v>
      </c>
      <c r="F12" s="161" t="s">
        <v>450</v>
      </c>
      <c r="G12" s="160" t="s">
        <v>451</v>
      </c>
      <c r="H12" s="160" t="s">
        <v>452</v>
      </c>
      <c r="I12" s="161" t="s">
        <v>42</v>
      </c>
      <c r="J12" s="160" t="s">
        <v>78</v>
      </c>
      <c r="K12" s="160" t="s">
        <v>79</v>
      </c>
      <c r="L12" s="160" t="s">
        <v>453</v>
      </c>
      <c r="M12" s="160" t="s">
        <v>110</v>
      </c>
      <c r="N12" s="162">
        <v>992206605</v>
      </c>
      <c r="O12" s="163">
        <v>29</v>
      </c>
      <c r="P12" s="160" t="s">
        <v>83</v>
      </c>
      <c r="Q12" s="160" t="s">
        <v>78</v>
      </c>
      <c r="R12" s="160"/>
      <c r="S12" s="160" t="s">
        <v>449</v>
      </c>
      <c r="T12" s="164">
        <v>101293314</v>
      </c>
      <c r="U12" s="247" t="s">
        <v>454</v>
      </c>
    </row>
    <row r="13" spans="1:21">
      <c r="A13">
        <v>9</v>
      </c>
      <c r="B13" s="160">
        <v>45568</v>
      </c>
      <c r="C13" s="160">
        <v>45567</v>
      </c>
      <c r="D13" s="160" t="s">
        <v>425</v>
      </c>
      <c r="E13" s="160" t="s">
        <v>509</v>
      </c>
      <c r="F13" s="161" t="s">
        <v>510</v>
      </c>
      <c r="G13" s="160" t="s">
        <v>99</v>
      </c>
      <c r="H13" s="160" t="s">
        <v>511</v>
      </c>
      <c r="I13" s="161" t="s">
        <v>42</v>
      </c>
      <c r="J13" s="160" t="s">
        <v>78</v>
      </c>
      <c r="K13" s="160" t="s">
        <v>79</v>
      </c>
      <c r="L13" s="160" t="s">
        <v>512</v>
      </c>
      <c r="M13" s="160" t="s">
        <v>513</v>
      </c>
      <c r="N13" s="162">
        <v>72805073</v>
      </c>
      <c r="O13" s="163">
        <v>25</v>
      </c>
      <c r="P13" s="160" t="s">
        <v>83</v>
      </c>
      <c r="Q13" s="160" t="s">
        <v>78</v>
      </c>
      <c r="R13" s="160"/>
      <c r="S13" s="160" t="s">
        <v>514</v>
      </c>
      <c r="T13" s="164">
        <v>1803395803</v>
      </c>
      <c r="U13" s="247" t="s">
        <v>515</v>
      </c>
    </row>
    <row r="14" spans="1:21">
      <c r="A14">
        <v>10</v>
      </c>
      <c r="B14" s="160">
        <v>45572</v>
      </c>
      <c r="C14" s="160">
        <v>45561</v>
      </c>
      <c r="D14" s="160" t="s">
        <v>250</v>
      </c>
      <c r="E14" s="160" t="s">
        <v>455</v>
      </c>
      <c r="F14" s="161" t="s">
        <v>456</v>
      </c>
      <c r="G14" s="160" t="s">
        <v>108</v>
      </c>
      <c r="H14" s="160" t="s">
        <v>457</v>
      </c>
      <c r="I14" s="161" t="s">
        <v>458</v>
      </c>
      <c r="J14" s="160" t="s">
        <v>78</v>
      </c>
      <c r="K14" s="160" t="s">
        <v>79</v>
      </c>
      <c r="L14" s="160" t="s">
        <v>459</v>
      </c>
      <c r="M14" s="160" t="s">
        <v>460</v>
      </c>
      <c r="N14" s="162">
        <v>9802786228</v>
      </c>
      <c r="O14" s="163">
        <v>29</v>
      </c>
      <c r="P14" s="160" t="s">
        <v>83</v>
      </c>
      <c r="Q14" s="160" t="s">
        <v>78</v>
      </c>
      <c r="R14" s="160"/>
      <c r="S14" s="160" t="s">
        <v>455</v>
      </c>
      <c r="T14" s="164">
        <v>1002664041</v>
      </c>
      <c r="U14" s="247" t="s">
        <v>461</v>
      </c>
    </row>
    <row r="15" spans="1:21">
      <c r="A15">
        <v>11</v>
      </c>
      <c r="B15" s="160">
        <v>45573</v>
      </c>
      <c r="C15" s="160">
        <v>45548</v>
      </c>
      <c r="D15" s="160" t="s">
        <v>87</v>
      </c>
      <c r="E15" s="160" t="s">
        <v>462</v>
      </c>
      <c r="F15" s="161" t="s">
        <v>463</v>
      </c>
      <c r="G15" s="160" t="s">
        <v>91</v>
      </c>
      <c r="H15" s="160" t="s">
        <v>464</v>
      </c>
      <c r="I15" s="161" t="s">
        <v>42</v>
      </c>
      <c r="J15" s="160" t="s">
        <v>78</v>
      </c>
      <c r="K15" s="160" t="s">
        <v>79</v>
      </c>
      <c r="L15" s="160" t="s">
        <v>465</v>
      </c>
      <c r="M15" s="160" t="s">
        <v>278</v>
      </c>
      <c r="N15" s="162">
        <v>987209240</v>
      </c>
      <c r="O15" s="163">
        <v>15</v>
      </c>
      <c r="P15" s="160" t="s">
        <v>83</v>
      </c>
      <c r="Q15" s="160" t="s">
        <v>78</v>
      </c>
      <c r="R15" s="160"/>
      <c r="S15" s="160" t="s">
        <v>462</v>
      </c>
      <c r="T15" s="164">
        <v>104297486</v>
      </c>
      <c r="U15" s="247" t="s">
        <v>466</v>
      </c>
    </row>
    <row r="16" spans="1:21">
      <c r="A16">
        <v>12</v>
      </c>
      <c r="B16" s="160">
        <v>45575</v>
      </c>
      <c r="C16" s="160">
        <v>45556</v>
      </c>
      <c r="D16" s="160" t="s">
        <v>77</v>
      </c>
      <c r="E16" s="160" t="s">
        <v>467</v>
      </c>
      <c r="F16" s="161" t="s">
        <v>468</v>
      </c>
      <c r="G16" s="160" t="s">
        <v>96</v>
      </c>
      <c r="H16" s="160" t="s">
        <v>469</v>
      </c>
      <c r="I16" s="161" t="s">
        <v>42</v>
      </c>
      <c r="J16" s="160" t="s">
        <v>78</v>
      </c>
      <c r="K16" s="160" t="s">
        <v>79</v>
      </c>
      <c r="L16" s="160" t="s">
        <v>470</v>
      </c>
      <c r="M16" s="160" t="s">
        <v>471</v>
      </c>
      <c r="N16" s="162">
        <v>9840080823</v>
      </c>
      <c r="O16" s="163">
        <v>36</v>
      </c>
      <c r="P16" s="160" t="s">
        <v>83</v>
      </c>
      <c r="Q16" s="160" t="s">
        <v>78</v>
      </c>
      <c r="R16" s="160"/>
      <c r="S16" s="160" t="s">
        <v>467</v>
      </c>
      <c r="T16" s="164">
        <v>104380910</v>
      </c>
      <c r="U16" s="247" t="s">
        <v>476</v>
      </c>
    </row>
    <row r="17" spans="1:21">
      <c r="A17">
        <v>13</v>
      </c>
      <c r="B17" s="160">
        <v>45577</v>
      </c>
      <c r="C17" s="160">
        <v>45574</v>
      </c>
      <c r="D17" s="160" t="s">
        <v>93</v>
      </c>
      <c r="E17" s="160" t="s">
        <v>472</v>
      </c>
      <c r="F17" s="161" t="s">
        <v>456</v>
      </c>
      <c r="G17" s="160" t="s">
        <v>108</v>
      </c>
      <c r="H17" s="160" t="s">
        <v>473</v>
      </c>
      <c r="I17" s="161" t="s">
        <v>42</v>
      </c>
      <c r="J17" s="160" t="s">
        <v>78</v>
      </c>
      <c r="K17" s="160" t="s">
        <v>79</v>
      </c>
      <c r="L17" s="160" t="s">
        <v>474</v>
      </c>
      <c r="M17" s="160" t="s">
        <v>159</v>
      </c>
      <c r="N17" s="162">
        <v>992834401</v>
      </c>
      <c r="O17" s="163">
        <v>29</v>
      </c>
      <c r="P17" s="160" t="s">
        <v>83</v>
      </c>
      <c r="Q17" s="160" t="s">
        <v>78</v>
      </c>
      <c r="R17" s="160"/>
      <c r="S17" s="160" t="s">
        <v>472</v>
      </c>
      <c r="T17" s="164">
        <v>101225217</v>
      </c>
      <c r="U17" s="247" t="s">
        <v>475</v>
      </c>
    </row>
    <row r="18" spans="1:21">
      <c r="A18">
        <v>14</v>
      </c>
      <c r="B18" s="160">
        <v>45579</v>
      </c>
      <c r="C18" s="160">
        <v>45576</v>
      </c>
      <c r="D18" s="160" t="s">
        <v>77</v>
      </c>
      <c r="E18" s="160" t="s">
        <v>477</v>
      </c>
      <c r="F18" s="161" t="s">
        <v>478</v>
      </c>
      <c r="G18" s="160" t="s">
        <v>303</v>
      </c>
      <c r="H18" s="160" t="s">
        <v>479</v>
      </c>
      <c r="I18" s="161" t="s">
        <v>42</v>
      </c>
      <c r="J18" s="160" t="s">
        <v>78</v>
      </c>
      <c r="K18" s="160" t="s">
        <v>79</v>
      </c>
      <c r="L18" s="160" t="s">
        <v>480</v>
      </c>
      <c r="M18" s="160" t="s">
        <v>481</v>
      </c>
      <c r="N18" s="162">
        <v>999864603</v>
      </c>
      <c r="O18" s="163">
        <v>29</v>
      </c>
      <c r="P18" s="160" t="s">
        <v>83</v>
      </c>
      <c r="Q18" s="160" t="s">
        <v>78</v>
      </c>
      <c r="R18" s="160"/>
      <c r="S18" s="160" t="s">
        <v>477</v>
      </c>
      <c r="T18" s="164">
        <v>1009695518</v>
      </c>
      <c r="U18" s="247" t="s">
        <v>482</v>
      </c>
    </row>
    <row r="19" spans="1:21">
      <c r="A19">
        <v>15</v>
      </c>
      <c r="B19" s="160">
        <v>45580</v>
      </c>
      <c r="C19" s="160">
        <v>45579</v>
      </c>
      <c r="D19" s="160" t="s">
        <v>87</v>
      </c>
      <c r="E19" s="160" t="s">
        <v>483</v>
      </c>
      <c r="F19" s="161" t="s">
        <v>478</v>
      </c>
      <c r="G19" s="160" t="s">
        <v>303</v>
      </c>
      <c r="H19" s="160" t="s">
        <v>484</v>
      </c>
      <c r="I19" s="161" t="s">
        <v>42</v>
      </c>
      <c r="J19" s="160" t="s">
        <v>78</v>
      </c>
      <c r="K19" s="160" t="s">
        <v>79</v>
      </c>
      <c r="L19" s="160" t="s">
        <v>485</v>
      </c>
      <c r="M19" s="160" t="s">
        <v>100</v>
      </c>
      <c r="N19" s="162">
        <v>984703756</v>
      </c>
      <c r="O19" s="163">
        <v>29</v>
      </c>
      <c r="P19" s="160" t="s">
        <v>83</v>
      </c>
      <c r="Q19" s="160" t="s">
        <v>78</v>
      </c>
      <c r="R19" s="160"/>
      <c r="S19" s="160" t="s">
        <v>483</v>
      </c>
      <c r="T19" s="164">
        <v>103143830</v>
      </c>
      <c r="U19" s="247" t="s">
        <v>486</v>
      </c>
    </row>
    <row r="20" spans="1:21">
      <c r="A20">
        <v>16</v>
      </c>
      <c r="B20" s="160">
        <v>45580</v>
      </c>
      <c r="C20" s="160">
        <v>45568</v>
      </c>
      <c r="D20" s="160" t="s">
        <v>425</v>
      </c>
      <c r="E20" s="160" t="s">
        <v>523</v>
      </c>
      <c r="F20" s="161" t="s">
        <v>478</v>
      </c>
      <c r="G20" s="160" t="s">
        <v>303</v>
      </c>
      <c r="H20" s="160" t="s">
        <v>335</v>
      </c>
      <c r="I20" s="161" t="s">
        <v>42</v>
      </c>
      <c r="J20" s="160" t="s">
        <v>78</v>
      </c>
      <c r="K20" s="160" t="s">
        <v>79</v>
      </c>
      <c r="L20" s="160" t="s">
        <v>533</v>
      </c>
      <c r="M20" s="160" t="s">
        <v>534</v>
      </c>
      <c r="N20" s="162">
        <v>967858961</v>
      </c>
      <c r="O20" s="163">
        <v>29</v>
      </c>
      <c r="P20" s="160" t="s">
        <v>83</v>
      </c>
      <c r="Q20" s="160" t="s">
        <v>78</v>
      </c>
      <c r="R20" s="160"/>
      <c r="S20" s="160" t="s">
        <v>523</v>
      </c>
      <c r="T20" s="164">
        <v>152295887</v>
      </c>
      <c r="U20" s="247" t="s">
        <v>535</v>
      </c>
    </row>
    <row r="21" spans="1:21">
      <c r="A21">
        <v>17</v>
      </c>
      <c r="B21" s="160">
        <v>45581</v>
      </c>
      <c r="C21" s="160">
        <v>45580</v>
      </c>
      <c r="D21" s="160" t="s">
        <v>95</v>
      </c>
      <c r="E21" s="160" t="s">
        <v>487</v>
      </c>
      <c r="F21" s="161" t="s">
        <v>428</v>
      </c>
      <c r="G21" s="160" t="s">
        <v>346</v>
      </c>
      <c r="H21" s="160" t="s">
        <v>488</v>
      </c>
      <c r="I21" s="161" t="s">
        <v>42</v>
      </c>
      <c r="J21" s="160" t="s">
        <v>78</v>
      </c>
      <c r="K21" s="160" t="s">
        <v>79</v>
      </c>
      <c r="L21" s="160" t="s">
        <v>489</v>
      </c>
      <c r="M21" s="160" t="s">
        <v>490</v>
      </c>
      <c r="N21" s="162">
        <v>968841950</v>
      </c>
      <c r="O21" s="163">
        <v>15</v>
      </c>
      <c r="P21" s="160" t="s">
        <v>83</v>
      </c>
      <c r="Q21" s="160" t="s">
        <v>78</v>
      </c>
      <c r="R21" s="160"/>
      <c r="S21" s="160" t="s">
        <v>487</v>
      </c>
      <c r="T21" s="164">
        <v>103107405</v>
      </c>
      <c r="U21" s="247" t="s">
        <v>85</v>
      </c>
    </row>
    <row r="22" spans="1:21">
      <c r="A22">
        <v>18</v>
      </c>
      <c r="B22" s="160">
        <v>45581</v>
      </c>
      <c r="C22" s="160">
        <v>45577</v>
      </c>
      <c r="D22" s="160" t="s">
        <v>77</v>
      </c>
      <c r="E22" s="160" t="s">
        <v>491</v>
      </c>
      <c r="F22" s="161" t="s">
        <v>478</v>
      </c>
      <c r="G22" s="160" t="s">
        <v>303</v>
      </c>
      <c r="H22" s="160" t="s">
        <v>492</v>
      </c>
      <c r="I22" s="161" t="s">
        <v>42</v>
      </c>
      <c r="J22" s="160" t="s">
        <v>78</v>
      </c>
      <c r="K22" s="160" t="s">
        <v>79</v>
      </c>
      <c r="L22" s="160" t="s">
        <v>493</v>
      </c>
      <c r="M22" s="160" t="s">
        <v>500</v>
      </c>
      <c r="N22" s="162">
        <v>964093093</v>
      </c>
      <c r="O22" s="163">
        <v>29</v>
      </c>
      <c r="P22" s="160" t="s">
        <v>83</v>
      </c>
      <c r="Q22" s="160" t="s">
        <v>78</v>
      </c>
      <c r="R22" s="160"/>
      <c r="S22" s="160" t="s">
        <v>491</v>
      </c>
      <c r="T22" s="164">
        <v>102197043</v>
      </c>
      <c r="U22" s="247" t="s">
        <v>494</v>
      </c>
    </row>
    <row r="23" spans="1:21">
      <c r="A23">
        <v>19</v>
      </c>
      <c r="B23" s="160">
        <v>45582</v>
      </c>
      <c r="C23" s="160">
        <v>45541</v>
      </c>
      <c r="D23" s="160" t="s">
        <v>77</v>
      </c>
      <c r="E23" s="160" t="s">
        <v>495</v>
      </c>
      <c r="F23" s="161" t="s">
        <v>496</v>
      </c>
      <c r="G23" s="160" t="s">
        <v>497</v>
      </c>
      <c r="H23" s="160" t="s">
        <v>498</v>
      </c>
      <c r="I23" s="161" t="s">
        <v>42</v>
      </c>
      <c r="J23" s="160" t="s">
        <v>78</v>
      </c>
      <c r="K23" s="160" t="s">
        <v>79</v>
      </c>
      <c r="L23" s="160" t="s">
        <v>499</v>
      </c>
      <c r="M23" s="160" t="s">
        <v>501</v>
      </c>
      <c r="N23" s="162">
        <v>996110316</v>
      </c>
      <c r="O23" s="163">
        <v>25</v>
      </c>
      <c r="P23" s="160" t="s">
        <v>83</v>
      </c>
      <c r="Q23" s="160" t="s">
        <v>78</v>
      </c>
      <c r="R23" s="160"/>
      <c r="S23" s="160" t="s">
        <v>495</v>
      </c>
      <c r="T23" s="164">
        <v>101345619</v>
      </c>
      <c r="U23" s="247" t="s">
        <v>502</v>
      </c>
    </row>
    <row r="24" spans="1:21">
      <c r="A24">
        <v>20</v>
      </c>
      <c r="B24" s="160">
        <v>45583</v>
      </c>
      <c r="C24" s="160">
        <v>45577</v>
      </c>
      <c r="D24" s="160" t="s">
        <v>425</v>
      </c>
      <c r="E24" s="160" t="s">
        <v>503</v>
      </c>
      <c r="F24" s="161" t="s">
        <v>504</v>
      </c>
      <c r="G24" s="160" t="s">
        <v>505</v>
      </c>
      <c r="H24" s="160" t="s">
        <v>506</v>
      </c>
      <c r="I24" s="161" t="s">
        <v>42</v>
      </c>
      <c r="J24" s="160" t="s">
        <v>78</v>
      </c>
      <c r="K24" s="160" t="s">
        <v>79</v>
      </c>
      <c r="L24" s="160" t="s">
        <v>507</v>
      </c>
      <c r="M24" s="160" t="s">
        <v>94</v>
      </c>
      <c r="N24" s="162">
        <v>995928738</v>
      </c>
      <c r="O24" s="163">
        <v>36</v>
      </c>
      <c r="P24" s="160" t="s">
        <v>83</v>
      </c>
      <c r="Q24" s="160" t="s">
        <v>78</v>
      </c>
      <c r="R24" s="160"/>
      <c r="S24" s="160" t="s">
        <v>503</v>
      </c>
      <c r="T24" s="164">
        <v>104153432</v>
      </c>
      <c r="U24" s="247" t="s">
        <v>508</v>
      </c>
    </row>
    <row r="25" spans="1:21">
      <c r="O25" s="133">
        <f>SUM(O5:O24)</f>
        <v>498</v>
      </c>
    </row>
  </sheetData>
  <hyperlinks>
    <hyperlink ref="U5" r:id="rId1" xr:uid="{740563A2-A7E5-3842-8DC1-A9344783A619}"/>
    <hyperlink ref="U7" r:id="rId2" xr:uid="{74BE7A29-F76F-7A44-9970-8309B59A77A9}"/>
    <hyperlink ref="U8" r:id="rId3" xr:uid="{74AD8A31-4158-EE40-B9D4-8D1D6C8B25D7}"/>
    <hyperlink ref="U11" r:id="rId4" xr:uid="{6E7B78B8-DF15-364E-9418-DD3624CCD579}"/>
    <hyperlink ref="U12" r:id="rId5" xr:uid="{A8C70320-817C-DB4C-A920-BCCB82D4EA54}"/>
    <hyperlink ref="U14" r:id="rId6" xr:uid="{3A1D0C7A-F66B-CF41-96E0-1CDA25080280}"/>
    <hyperlink ref="U15" r:id="rId7" xr:uid="{61B03B4A-6B8C-B349-8895-52D6C3FDFF5E}"/>
    <hyperlink ref="U17" r:id="rId8" xr:uid="{22376749-2FA2-F841-9A62-289FBD8303EA}"/>
    <hyperlink ref="U16" r:id="rId9" xr:uid="{18434606-3CA7-3C46-ACCD-0B080B68918D}"/>
    <hyperlink ref="U18" r:id="rId10" xr:uid="{7ED5DB8E-30BD-5B4E-B8A3-05E5EB0178F6}"/>
    <hyperlink ref="U19" r:id="rId11" xr:uid="{D8B8F3FD-A65E-C14C-A77B-B9589298EE24}"/>
    <hyperlink ref="U21" r:id="rId12" display="paola.baculimac6@gmail.com" xr:uid="{2CE47367-E259-3447-A011-035BCBFB558D}"/>
    <hyperlink ref="U22" r:id="rId13" xr:uid="{EE021951-FBA8-E044-8AC0-E816D79B5A21}"/>
    <hyperlink ref="U23" r:id="rId14" xr:uid="{48264F10-ACE8-864A-BA19-8D43F24467A8}"/>
    <hyperlink ref="U24" r:id="rId15" xr:uid="{1F08C566-495D-8B43-8EA6-F2B4187FBB41}"/>
    <hyperlink ref="U13" r:id="rId16" xr:uid="{E66A0BAE-5047-9E49-86C1-3610508F9212}"/>
    <hyperlink ref="U6" r:id="rId17" xr:uid="{63816A64-FBC2-014B-862C-CE3AD01F4021}"/>
    <hyperlink ref="U20" r:id="rId18" xr:uid="{9AD8ED5D-CD74-484C-B1ED-FDB98B6E1133}"/>
  </hyperlinks>
  <pageMargins left="0.7" right="0.7" top="0.75" bottom="0.75" header="0.3" footer="0.3"/>
  <pageSetup paperSize="9" orientation="portrait" horizontalDpi="0" verticalDpi="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2024-01-22T20:29:31Z</dcterms:created>
  <dcterms:modified xsi:type="dcterms:W3CDTF">2024-10-20T21:00:23Z</dcterms:modified>
</cp:coreProperties>
</file>