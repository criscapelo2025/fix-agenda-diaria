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8_{5EE38872-A3EF-EE4D-9482-D7FB4BDA21D2}" xr6:coauthVersionLast="47" xr6:coauthVersionMax="47" xr10:uidLastSave="{00000000-0000-0000-0000-000000000000}"/>
  <bookViews>
    <workbookView xWindow="0" yWindow="500" windowWidth="20740" windowHeight="11760" activeTab="1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O36" i="6" l="1"/>
  <c r="N15" i="2" l="1"/>
  <c r="O16" i="2"/>
  <c r="O19" i="2" s="1"/>
  <c r="O87" i="1" l="1"/>
  <c r="M24" i="2" l="1"/>
  <c r="N7" i="3" l="1"/>
  <c r="M92" i="1"/>
  <c r="M91" i="1"/>
  <c r="N24" i="2" l="1"/>
  <c r="M90" i="1" l="1"/>
  <c r="K7" i="3" l="1"/>
  <c r="M29" i="2" l="1"/>
  <c r="M93" i="1" l="1"/>
  <c r="N9" i="4" l="1"/>
</calcChain>
</file>

<file path=xl/sharedStrings.xml><?xml version="1.0" encoding="utf-8"?>
<sst xmlns="http://schemas.openxmlformats.org/spreadsheetml/2006/main" count="1602" uniqueCount="527">
  <si>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</si>
  <si>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</si>
  <si>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</si>
  <si>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</si>
  <si>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</si>
  <si>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</si>
  <si>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</si>
  <si>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</si>
  <si>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</si>
  <si>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</si>
  <si>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</si>
  <si>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</si>
  <si>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</si>
  <si>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</si>
  <si>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</si>
  <si>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</si>
  <si>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</si>
  <si>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</si>
  <si>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</si>
  <si>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</si>
  <si>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</si>
  <si>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</si>
  <si>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</si>
  <si>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</si>
  <si>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</si>
  <si>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</si>
  <si>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</si>
  <si>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</si>
  <si>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</si>
  <si>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</si>
  <si>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</si>
  <si>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</si>
  <si>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</si>
  <si>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</si>
  <si>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</si>
  <si>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</si>
  <si>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</si>
  <si>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</si>
  <si>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</si>
  <si>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</si>
  <si>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</si>
  <si>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</si>
  <si>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</si>
  <si>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</si>
  <si>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</si>
  <si>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</si>
  <si>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</si>
  <si>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</si>
  <si>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</si>
  <si>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</si>
  <si>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</si>
  <si>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</si>
  <si>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</si>
  <si>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</si>
  <si>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</si>
  <si>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</si>
  <si>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</si>
  <si>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</si>
  <si>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</si>
  <si>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</si>
  <si>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</si>
  <si>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</si>
  <si>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</si>
  <si>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STOCK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</si>
  <si>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</si>
  <si>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</si>
  <si>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</si>
  <si>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</si>
  <si>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</si>
  <si>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</si>
  <si>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</si>
  <si>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</si>
  <si>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</si>
  <si>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</si>
  <si>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</si>
  <si>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</si>
  <si>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</si>
  <si>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</si>
  <si>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</si>
  <si>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</si>
  <si>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</si>
  <si>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</si>
  <si>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</si>
  <si>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</si>
  <si>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</si>
  <si>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ABRIL 2024</t>
  </si>
  <si>
    <t>Cristian Capelo</t>
  </si>
  <si>
    <t>Llamada Cliente</t>
  </si>
  <si>
    <t>Cocinas</t>
  </si>
  <si>
    <t>Lavavajillas</t>
  </si>
  <si>
    <t>CORREO ELECTRONICO</t>
  </si>
  <si>
    <t>CAPELO JULIO 2024</t>
  </si>
  <si>
    <t xml:space="preserve">CAPELO JULIO 2024 </t>
  </si>
  <si>
    <t>horno Electrico</t>
  </si>
  <si>
    <t>Microondas</t>
  </si>
  <si>
    <t>Refrigeradora</t>
  </si>
  <si>
    <t>CAPELO AGOSTO 2024</t>
  </si>
  <si>
    <t>AGOSTO 2024</t>
  </si>
  <si>
    <t>Capelo Agosto 2024</t>
  </si>
  <si>
    <t>CAPELO - AGOSTO 2024</t>
  </si>
  <si>
    <t>Mercard</t>
  </si>
  <si>
    <t>001-101-000003502</t>
  </si>
  <si>
    <t>Cocina GBC 95030 KBB</t>
  </si>
  <si>
    <t>ZP238U00658</t>
  </si>
  <si>
    <t>Carlos Guzman</t>
  </si>
  <si>
    <t>cguzman5674@gmail.com</t>
  </si>
  <si>
    <t>001-101-000003535</t>
  </si>
  <si>
    <t>Horno HLB 8416 BK</t>
  </si>
  <si>
    <t>TZ238P07426</t>
  </si>
  <si>
    <t>Urbanizacion RYO</t>
  </si>
  <si>
    <t>cguzman5674</t>
  </si>
  <si>
    <t>Home Vega</t>
  </si>
  <si>
    <t>006-000154610</t>
  </si>
  <si>
    <t>Cocina IZS 97630 MST BK</t>
  </si>
  <si>
    <t>ZP227L00038</t>
  </si>
  <si>
    <t>Hernan Narvaez</t>
  </si>
  <si>
    <t>Chaullayacu</t>
  </si>
  <si>
    <t>jenili26@hotmail.com</t>
  </si>
  <si>
    <t>Vinera RVF 10032</t>
  </si>
  <si>
    <t>YH233L00098</t>
  </si>
  <si>
    <t>Campana CC480</t>
  </si>
  <si>
    <t>PX22BH00669</t>
  </si>
  <si>
    <t xml:space="preserve">Horno IOVEN </t>
  </si>
  <si>
    <t>TZ237A09230</t>
  </si>
  <si>
    <t>Microondas ML 820 BIS</t>
  </si>
  <si>
    <t>TP232A10264</t>
  </si>
  <si>
    <t>Refrigeradora RFD 77820 GBK</t>
  </si>
  <si>
    <t>MC234000095</t>
  </si>
  <si>
    <t>Cafetera CLC 855 GM INOX</t>
  </si>
  <si>
    <t>006-002-000155377</t>
  </si>
  <si>
    <t>Microondas ML 822 BIS</t>
  </si>
  <si>
    <t>TP22C205629</t>
  </si>
  <si>
    <t>Julio Torres</t>
  </si>
  <si>
    <t>Los Alamos</t>
  </si>
  <si>
    <t>juliogtorresp@hotmail.com</t>
  </si>
  <si>
    <t>TZ23BT25161</t>
  </si>
  <si>
    <t>MC234D00015</t>
  </si>
  <si>
    <t>Sukasa</t>
  </si>
  <si>
    <t>040-103-000001536</t>
  </si>
  <si>
    <t>Cocina IZC 64010 MSS BK</t>
  </si>
  <si>
    <t>ZP23A200194</t>
  </si>
  <si>
    <t>Andres Quinde</t>
  </si>
  <si>
    <t>Edif. Ager</t>
  </si>
  <si>
    <t>andresq94@hotmail.com</t>
  </si>
  <si>
    <t>Campana GFH SS</t>
  </si>
  <si>
    <t>TP23A404925</t>
  </si>
  <si>
    <t>006-002-000155404</t>
  </si>
  <si>
    <t>ZP241R00180</t>
  </si>
  <si>
    <t>Oxana Goutnik</t>
  </si>
  <si>
    <t>Yunguilla</t>
  </si>
  <si>
    <t>ogoutnik@gmail.com</t>
  </si>
  <si>
    <t>Cocina GBC 64000 KBB</t>
  </si>
  <si>
    <t>TZ243604709</t>
  </si>
  <si>
    <t>TP242603491</t>
  </si>
  <si>
    <t>006-000156217</t>
  </si>
  <si>
    <t>ZP241C00401</t>
  </si>
  <si>
    <t>Remigio Hurtado</t>
  </si>
  <si>
    <t>Chaullabamba</t>
  </si>
  <si>
    <t>remihurt@hotmail.com</t>
  </si>
  <si>
    <t>001-101-000003610</t>
  </si>
  <si>
    <t>CO225R00828</t>
  </si>
  <si>
    <t>Alm. Chordeleg</t>
  </si>
  <si>
    <t>001-001-000020437</t>
  </si>
  <si>
    <t>Cocina GBC 75030 KBB</t>
  </si>
  <si>
    <t>ZP244800229</t>
  </si>
  <si>
    <t>Andrea Espinoza</t>
  </si>
  <si>
    <t>El Cebollar</t>
  </si>
  <si>
    <t>andre.18.ae@gmail.com</t>
  </si>
  <si>
    <t>TZ243N23385</t>
  </si>
  <si>
    <t>001-500-000061555</t>
  </si>
  <si>
    <t>Cocina JZC 96324  ABB</t>
  </si>
  <si>
    <t>TZ243604779</t>
  </si>
  <si>
    <t>ZP23C700662</t>
  </si>
  <si>
    <t>ZP23BP00191</t>
  </si>
  <si>
    <t>ZP23BE00531</t>
  </si>
  <si>
    <t>Liliana Arias</t>
  </si>
  <si>
    <t>Azogues</t>
  </si>
  <si>
    <t>lilianajosefinag@yahoo.com</t>
  </si>
  <si>
    <t>kywi</t>
  </si>
  <si>
    <t>016-907-000205760</t>
  </si>
  <si>
    <t>Campana C 710</t>
  </si>
  <si>
    <t>Campana C 910</t>
  </si>
  <si>
    <t>TP243109882</t>
  </si>
  <si>
    <t>TP243109886</t>
  </si>
  <si>
    <t>TP243109867</t>
  </si>
  <si>
    <t>TP241A03951</t>
  </si>
  <si>
    <t>Leonardo Garcia</t>
  </si>
  <si>
    <t>Ricaurte</t>
  </si>
  <si>
    <t>leo_gtush@hotmail.com</t>
  </si>
  <si>
    <t>001-500-000060902</t>
  </si>
  <si>
    <t>Microondas MS 620 BIS</t>
  </si>
  <si>
    <t>TP23CF08438</t>
  </si>
  <si>
    <t>Juan Aviles</t>
  </si>
  <si>
    <t>avilez.juan1989@gmail.com</t>
  </si>
  <si>
    <t>Horno HSB 635 SS</t>
  </si>
  <si>
    <t>TZ234J15142</t>
  </si>
  <si>
    <t>ZP23A200207</t>
  </si>
  <si>
    <t>043-901-000003864</t>
  </si>
  <si>
    <t>Campana DPL 1180 ISLA</t>
  </si>
  <si>
    <t>ZP241B00507</t>
  </si>
  <si>
    <t>Carmen Campoverde</t>
  </si>
  <si>
    <t>Don Bosco</t>
  </si>
  <si>
    <t>carmencampoverdeh@gmail.com</t>
  </si>
  <si>
    <t>Cocina IZF 88700 MST BK</t>
  </si>
  <si>
    <t>001-500-000064181</t>
  </si>
  <si>
    <t>TZ241K18271</t>
  </si>
  <si>
    <t>Jaime Clavijo</t>
  </si>
  <si>
    <t>Sinincay</t>
  </si>
  <si>
    <t>jaimeclavijo2719@gmail.com</t>
  </si>
  <si>
    <t>Cocina GZC 95320 XBB</t>
  </si>
  <si>
    <t>TP243605640</t>
  </si>
  <si>
    <t>ZP23BA00045</t>
  </si>
  <si>
    <t>Luna Pazmiño</t>
  </si>
  <si>
    <t>002-101-000108164</t>
  </si>
  <si>
    <t>Horno HSB 646</t>
  </si>
  <si>
    <t>Microcampana MLH 845SS</t>
  </si>
  <si>
    <t>TZ222U37672</t>
  </si>
  <si>
    <t>MW235002296</t>
  </si>
  <si>
    <t>Katerine Torres</t>
  </si>
  <si>
    <t>Limon</t>
  </si>
  <si>
    <t>lepg55@hotmail.com</t>
  </si>
  <si>
    <t>016-907-000211924</t>
  </si>
  <si>
    <t>Horno HSB 646 SS</t>
  </si>
  <si>
    <t>Microondas MS 622 BIS L</t>
  </si>
  <si>
    <t>Campana CC480 ISLA</t>
  </si>
  <si>
    <t>TZ243103283</t>
  </si>
  <si>
    <t>TP232600107</t>
  </si>
  <si>
    <t>PX244200201</t>
  </si>
  <si>
    <t>ZP241C00398</t>
  </si>
  <si>
    <t>Henry Barros</t>
  </si>
  <si>
    <t>Edif. River Front</t>
  </si>
  <si>
    <t>contabilidad@cimconstructora.com</t>
  </si>
  <si>
    <t>040-105-000001517</t>
  </si>
  <si>
    <t>ZP243C00479</t>
  </si>
  <si>
    <t>Campana DVN 74030 TCL BK</t>
  </si>
  <si>
    <t>EK241F00001</t>
  </si>
  <si>
    <t>Ricardo Pintado</t>
  </si>
  <si>
    <t>Monay</t>
  </si>
  <si>
    <t>antonio_5115@hotmail.com</t>
  </si>
  <si>
    <t>001-101-000003343</t>
  </si>
  <si>
    <t>Horno HLB 8510 P BK</t>
  </si>
  <si>
    <t>Cocina AFF 87601</t>
  </si>
  <si>
    <t>TZ242U32274</t>
  </si>
  <si>
    <t>ZP23BM00343</t>
  </si>
  <si>
    <t>Belen Fajardo</t>
  </si>
  <si>
    <t>yuzuinteriorismo@gmail.com</t>
  </si>
  <si>
    <t>001-001-000020525</t>
  </si>
  <si>
    <t>Horno HSB 645 SS</t>
  </si>
  <si>
    <t>TZ223Q30357</t>
  </si>
  <si>
    <t>Ana Cristina Delgado</t>
  </si>
  <si>
    <t>anacristinadelgado92@gmail.com</t>
  </si>
  <si>
    <t xml:space="preserve">Microondas MS 620 BIS </t>
  </si>
  <si>
    <t>TP22AC06479</t>
  </si>
  <si>
    <t>002-109-000025045</t>
  </si>
  <si>
    <t>ZP231P00586</t>
  </si>
  <si>
    <t>Daniela Lopez</t>
  </si>
  <si>
    <t>Edf. Ager</t>
  </si>
  <si>
    <t>da00lopez@hotmail.com</t>
  </si>
  <si>
    <t>002-111-000020826</t>
  </si>
  <si>
    <t>TP232T00653</t>
  </si>
  <si>
    <t>ALM. ESPAÑA</t>
  </si>
  <si>
    <t>008-501-000007857</t>
  </si>
  <si>
    <t>ZP23B20025</t>
  </si>
  <si>
    <t>Maria Dolores Vidal</t>
  </si>
  <si>
    <t>Edf. Alqamari</t>
  </si>
  <si>
    <t>daval40@gmail.com</t>
  </si>
  <si>
    <t>008-501-000008111</t>
  </si>
  <si>
    <t>Lavavajillas DFI 46950</t>
  </si>
  <si>
    <t>AW233800586</t>
  </si>
  <si>
    <t>BOYACA</t>
  </si>
  <si>
    <t>014-004-000057875</t>
  </si>
  <si>
    <t>Horno HBB 535 SS</t>
  </si>
  <si>
    <t>TZ22BW33590</t>
  </si>
  <si>
    <t>008-501-000007940</t>
  </si>
  <si>
    <t>TP238Q04820</t>
  </si>
  <si>
    <t>Horno HLB 830 SS</t>
  </si>
  <si>
    <t>TZ222102035</t>
  </si>
  <si>
    <t>Pablo Alvarado</t>
  </si>
  <si>
    <t>Paute</t>
  </si>
  <si>
    <t>palvarado1974</t>
  </si>
  <si>
    <t>TP232A10310</t>
  </si>
  <si>
    <t>Campana CC 480 ISLA</t>
  </si>
  <si>
    <t>PX22BG00603</t>
  </si>
  <si>
    <t>ZP23AQ00101</t>
  </si>
  <si>
    <t>001-101-000003600</t>
  </si>
  <si>
    <t>111010028</t>
  </si>
  <si>
    <t>TZ235225028</t>
  </si>
  <si>
    <t>0412674</t>
  </si>
  <si>
    <t>Natalie de Jarlais</t>
  </si>
  <si>
    <t>Benigno Malo</t>
  </si>
  <si>
    <t>Alm. España</t>
  </si>
  <si>
    <t>009-501-000026181</t>
  </si>
  <si>
    <t>40461543</t>
  </si>
  <si>
    <t>Campana C 6310</t>
  </si>
  <si>
    <t>TP236704440</t>
  </si>
  <si>
    <t>0406402</t>
  </si>
  <si>
    <t>Katerine Morales</t>
  </si>
  <si>
    <t>Margarita Torres 1-80</t>
  </si>
  <si>
    <t>danymorales911@gmail.com</t>
  </si>
  <si>
    <t>001-500-000005219</t>
  </si>
  <si>
    <t>40466241</t>
  </si>
  <si>
    <t>Campana C9310</t>
  </si>
  <si>
    <t>TP242C00873</t>
  </si>
  <si>
    <t>Maria Jose Quezada</t>
  </si>
  <si>
    <t>mariajosequesada61@gmail.com</t>
  </si>
  <si>
    <t>006-002-000156370</t>
  </si>
  <si>
    <t>112500047</t>
  </si>
  <si>
    <t>Cocina IZF 99700 MST BK</t>
  </si>
  <si>
    <t>ZP23BW00546</t>
  </si>
  <si>
    <t>0420538</t>
  </si>
  <si>
    <t>Esteban Albornoz</t>
  </si>
  <si>
    <t>Chaullabamaba</t>
  </si>
  <si>
    <t>ealborno@yahoo.com</t>
  </si>
  <si>
    <t>001-500-000064929</t>
  </si>
  <si>
    <t>111010041</t>
  </si>
  <si>
    <t>Horno HSB 630 BK</t>
  </si>
  <si>
    <t>TZ241304054</t>
  </si>
  <si>
    <t>Marco Robayo</t>
  </si>
  <si>
    <t>monay-baguanchi</t>
  </si>
  <si>
    <t>m_robayo9@hotmail.com</t>
  </si>
  <si>
    <t>001-500-0000652191</t>
  </si>
  <si>
    <t>Campana C 9310</t>
  </si>
  <si>
    <t>TP242F04608</t>
  </si>
  <si>
    <t>Monay Cdla Tomebamba</t>
  </si>
  <si>
    <t>008-501-000007570</t>
  </si>
  <si>
    <t>008-501-000007592</t>
  </si>
  <si>
    <t>008-501-000007797</t>
  </si>
  <si>
    <t>272114AP23032780136</t>
  </si>
  <si>
    <t>Fusible averiado</t>
  </si>
  <si>
    <t>TP232T00612</t>
  </si>
  <si>
    <t>Hugo Bravo</t>
  </si>
  <si>
    <t>Se reemplaza Fusible</t>
  </si>
  <si>
    <t>hugobravom@yahoo.com</t>
  </si>
  <si>
    <t>001-500-000054021</t>
  </si>
  <si>
    <t>Conjunto Modulo Induccion 4i TEKA GO DUAL ZONE Delta</t>
  </si>
  <si>
    <t>Cocina JZC 96324 ABB</t>
  </si>
  <si>
    <t>ZP23A600808</t>
  </si>
  <si>
    <t>Boris Torres</t>
  </si>
  <si>
    <t>Se Reemplaza Conjunto Modulo Induccion</t>
  </si>
  <si>
    <t>susyalmeida05@hotmail.com</t>
  </si>
  <si>
    <t>016-906-0001024</t>
  </si>
  <si>
    <t>Conjunto Modulo Induccion 4i TEKA GO Sensor Less</t>
  </si>
  <si>
    <t>ZP222R00007</t>
  </si>
  <si>
    <t>Paola Peñaherrera</t>
  </si>
  <si>
    <t>Nuevamente no enciende se solicita repuesto y se lo reemplaza</t>
  </si>
  <si>
    <t>014-004-000041909</t>
  </si>
  <si>
    <t>Placa Potencia i100 IZDA 2B</t>
  </si>
  <si>
    <t>Cocina IZF 64440 MSP BK</t>
  </si>
  <si>
    <t>ZP241900118</t>
  </si>
  <si>
    <t>Paulina Toledo</t>
  </si>
  <si>
    <t>Se solicita Placa Potencia y se la Reemplaza</t>
  </si>
  <si>
    <t>jpaulit@hotmail.com</t>
  </si>
  <si>
    <t>006-002-000155766</t>
  </si>
  <si>
    <t>Kywi</t>
  </si>
  <si>
    <t>016-902-000470228</t>
  </si>
  <si>
    <t>40467305</t>
  </si>
  <si>
    <t>TP242N07990</t>
  </si>
  <si>
    <t>Rosa Cardenas</t>
  </si>
  <si>
    <t>Av. De las Americas y Juan Ruiz Morales</t>
  </si>
  <si>
    <t>rcardenas222@hotmail.com</t>
  </si>
  <si>
    <t>016-902-000471131</t>
  </si>
  <si>
    <t>40467304</t>
  </si>
  <si>
    <t>TP245D00389</t>
  </si>
  <si>
    <t>Marco Avila</t>
  </si>
  <si>
    <t>mbaclpss@gmail.com</t>
  </si>
  <si>
    <t>Chordeleg</t>
  </si>
  <si>
    <t>001-001-000020518</t>
  </si>
  <si>
    <t>112580027</t>
  </si>
  <si>
    <t>ZP244800226</t>
  </si>
  <si>
    <t>Ana Siavichay</t>
  </si>
  <si>
    <t>Anton de Sevilla y Juan de Montoya</t>
  </si>
  <si>
    <t>anisiamar@gmail.com</t>
  </si>
  <si>
    <t>001-500-000064997</t>
  </si>
  <si>
    <t>40212070</t>
  </si>
  <si>
    <t>Cocina EX 90.1 5GAIDRLEFT</t>
  </si>
  <si>
    <t>ZP212F00002</t>
  </si>
  <si>
    <t>Santiago Guerrero</t>
  </si>
  <si>
    <t>Barrio La cascada</t>
  </si>
  <si>
    <t>juliogueec@gmail.com</t>
  </si>
  <si>
    <t>043-901-000007383</t>
  </si>
  <si>
    <t>112570068</t>
  </si>
  <si>
    <t>Cocina GBC 75020 KBB</t>
  </si>
  <si>
    <t>ZP23BW00508</t>
  </si>
  <si>
    <t>Julio Pugo</t>
  </si>
  <si>
    <t>Narancay</t>
  </si>
  <si>
    <t>alojuliocesarpugo@gmail.com</t>
  </si>
  <si>
    <t>001-101-000003208</t>
  </si>
  <si>
    <t>TZ243N23468</t>
  </si>
  <si>
    <t>Diego Proaño</t>
  </si>
  <si>
    <t>Edf. Horizonte</t>
  </si>
  <si>
    <t>diegoproanov@otlook.com</t>
  </si>
  <si>
    <t>TP241Q04901</t>
  </si>
  <si>
    <t>001-500-000064909</t>
  </si>
  <si>
    <t>Vinera RVF 10024 GBK</t>
  </si>
  <si>
    <t>EK241B00102</t>
  </si>
  <si>
    <t>Jose David Rodas</t>
  </si>
  <si>
    <t>La Republica y Juan de Velasco</t>
  </si>
  <si>
    <t>jose.rod5616@gmail..com</t>
  </si>
  <si>
    <t>Campana DVN 94030 TCL BK</t>
  </si>
  <si>
    <t>006-000156454</t>
  </si>
  <si>
    <t>TP243K04135</t>
  </si>
  <si>
    <t>Ana Mejia</t>
  </si>
  <si>
    <t>fabrizionarvaez2000@gmail.com</t>
  </si>
  <si>
    <t>TZ234E11132</t>
  </si>
  <si>
    <t>Al 20 de AGOSTO del 2024</t>
  </si>
  <si>
    <t>Puerta dañada</t>
  </si>
  <si>
    <t>043-902-000012636</t>
  </si>
  <si>
    <t>TZ243604745</t>
  </si>
  <si>
    <t>Carlos Moreno</t>
  </si>
  <si>
    <t>Las Pencas</t>
  </si>
  <si>
    <t>marialorenatorres@hotmail.com</t>
  </si>
  <si>
    <t>016-902-000471969</t>
  </si>
  <si>
    <t>111030002</t>
  </si>
  <si>
    <t>Horno HLB 760 G</t>
  </si>
  <si>
    <t>TZ243C10727</t>
  </si>
  <si>
    <t>Juan Jose Sigua</t>
  </si>
  <si>
    <t>Pablo Picasso 1-21</t>
  </si>
  <si>
    <t>jjsigua@hotmail.com</t>
  </si>
  <si>
    <t>016-902-000412996</t>
  </si>
  <si>
    <t>112580017</t>
  </si>
  <si>
    <t>Cocina GBC 64000KBB</t>
  </si>
  <si>
    <t>ZP22AE00037</t>
  </si>
  <si>
    <t>Patricio Palacios</t>
  </si>
  <si>
    <t>016-902-000462996</t>
  </si>
  <si>
    <t>patriciopalacios@outlook.com</t>
  </si>
  <si>
    <t>002-101-000108281</t>
  </si>
  <si>
    <t>112610068</t>
  </si>
  <si>
    <t>Cocina GSC 95330</t>
  </si>
  <si>
    <t>ZP23BU00157</t>
  </si>
  <si>
    <t>Jose Salinas</t>
  </si>
  <si>
    <t>Sigsig</t>
  </si>
  <si>
    <t>contabilidadconfiablecp@gmail.com</t>
  </si>
  <si>
    <t>001-101-000003618</t>
  </si>
  <si>
    <t>41560151</t>
  </si>
  <si>
    <t>TZ224N23488</t>
  </si>
  <si>
    <t>0394897</t>
  </si>
  <si>
    <t>Alejandra Moscoso</t>
  </si>
  <si>
    <t>Calle del Batan y Unidad Nacional</t>
  </si>
  <si>
    <t>alemoscoso@yahoo.com</t>
  </si>
  <si>
    <t>043-902-000011966</t>
  </si>
  <si>
    <t>40480321</t>
  </si>
  <si>
    <t>Campana CC 480</t>
  </si>
  <si>
    <t>PX23BP00534</t>
  </si>
  <si>
    <t>0417522</t>
  </si>
  <si>
    <t>Sebastian Avila</t>
  </si>
  <si>
    <t>Av. Don Bosco</t>
  </si>
  <si>
    <t>sebasavi007@hotmail.com</t>
  </si>
  <si>
    <t>001-500-000059373</t>
  </si>
  <si>
    <t>112570126</t>
  </si>
  <si>
    <t>ZP22AE00032</t>
  </si>
  <si>
    <t>Alicia Buestan</t>
  </si>
  <si>
    <t>floguain@hotmail.com</t>
  </si>
  <si>
    <t>001-500-000064998</t>
  </si>
  <si>
    <t>112580058</t>
  </si>
  <si>
    <t>ZP241A00063</t>
  </si>
  <si>
    <t>0419101</t>
  </si>
  <si>
    <t>Carmita Campoverde</t>
  </si>
  <si>
    <t>carmitacm@gmail.com</t>
  </si>
  <si>
    <t>043-906-000025259</t>
  </si>
  <si>
    <t>ZP242N00900</t>
  </si>
  <si>
    <t>Cesar Morocho</t>
  </si>
  <si>
    <t>Riveras del Yanuncay</t>
  </si>
  <si>
    <t>paulo17_83@yahoo.com</t>
  </si>
  <si>
    <t>043-901-000010949</t>
  </si>
  <si>
    <t>ZP245H00545</t>
  </si>
  <si>
    <t>Diego Vanegas</t>
  </si>
  <si>
    <t>El Valle</t>
  </si>
  <si>
    <t>09(+1)(646)2336265</t>
  </si>
  <si>
    <t>dvanegas42k@gmail.com</t>
  </si>
  <si>
    <t>043-905-000040394</t>
  </si>
  <si>
    <t>40197155</t>
  </si>
  <si>
    <t>Triturador TR 510.1</t>
  </si>
  <si>
    <t>2307104F1923</t>
  </si>
  <si>
    <t>Pedro Guillen</t>
  </si>
  <si>
    <t>Edf. El Vergel</t>
  </si>
  <si>
    <t>tgm_555@hotmail.com</t>
  </si>
  <si>
    <t>240115AF1368</t>
  </si>
  <si>
    <t>001-500-000065408</t>
  </si>
  <si>
    <t>111020071</t>
  </si>
  <si>
    <t>Horno HBB 510</t>
  </si>
  <si>
    <t>TZ241R25218</t>
  </si>
  <si>
    <t>Gustavo Cordero</t>
  </si>
  <si>
    <t>Sucre 14-70</t>
  </si>
  <si>
    <t>gustavocorderop@hotmail.com</t>
  </si>
  <si>
    <t>043-903-000026840</t>
  </si>
  <si>
    <t>Campana DLM 982 T</t>
  </si>
  <si>
    <t>TP241507352</t>
  </si>
  <si>
    <t>Diana Gonzales</t>
  </si>
  <si>
    <t>609 6725937</t>
  </si>
  <si>
    <t>diana20gp@icloud.com</t>
  </si>
  <si>
    <t>Cocina FS3RL966GGX</t>
  </si>
  <si>
    <t>Refrigeradora RMF 77960 GBKMX</t>
  </si>
  <si>
    <t>040-103-000006912</t>
  </si>
  <si>
    <t>41596006</t>
  </si>
  <si>
    <t>Horno HLF 824 G LPG EOI</t>
  </si>
  <si>
    <t>TZ245229100</t>
  </si>
  <si>
    <t>Lola Quezada</t>
  </si>
  <si>
    <t>Uchucupun</t>
  </si>
  <si>
    <t>lolaquezada7@hotmail.com</t>
  </si>
  <si>
    <t>Puerta Dañada</t>
  </si>
  <si>
    <t>facturaciontortillasmayas@gmail.com</t>
  </si>
  <si>
    <t>ZP234T00483</t>
  </si>
  <si>
    <t>001-501-000001810</t>
  </si>
  <si>
    <t>Campana DVI 88-G1E05 BM</t>
  </si>
  <si>
    <t>PX23C40078</t>
  </si>
  <si>
    <t>Glenda Carreño</t>
  </si>
  <si>
    <t>San Joaquin</t>
  </si>
  <si>
    <t>glenda777chamba@gmail.com</t>
  </si>
  <si>
    <t>ZP241A00060</t>
  </si>
  <si>
    <t xml:space="preserve"> </t>
  </si>
  <si>
    <t>PX23BN00516</t>
  </si>
  <si>
    <t>Edificio Horizonte</t>
  </si>
  <si>
    <t>ZP23A200219</t>
  </si>
  <si>
    <t>006-06-2024</t>
  </si>
  <si>
    <t>PX243700015</t>
  </si>
  <si>
    <t>Karla Ordoñez</t>
  </si>
  <si>
    <t>Baguanchi</t>
  </si>
  <si>
    <t>k.ordoñez.abad@gmail.com</t>
  </si>
  <si>
    <t>TZ241B11993</t>
  </si>
  <si>
    <t>ZP242P00714</t>
  </si>
  <si>
    <t>Patricia Cabrera</t>
  </si>
  <si>
    <t>Javier Loyola</t>
  </si>
  <si>
    <t>040-103-000007002</t>
  </si>
  <si>
    <t>ZP241A00073</t>
  </si>
  <si>
    <t>EK241B00039</t>
  </si>
  <si>
    <t>patriciacabrerac@hotmail.com</t>
  </si>
  <si>
    <t>006-000156203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</si>
</sst>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</numFmts>
  <fonts count="6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13"/>
      <name val="Arial"/>
      <family val="2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7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36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41" fillId="0" borderId="0" xfId="9" applyFont="1"/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43" fontId="0" fillId="0" borderId="0" xfId="0" applyNumberFormat="1"/>
    <xf numFmtId="0" fontId="12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164" fontId="49" fillId="0" borderId="2" xfId="0" applyNumberFormat="1" applyFont="1" applyBorder="1" applyAlignment="1">
      <alignment horizontal="left"/>
    </xf>
    <xf numFmtId="0" fontId="49" fillId="0" borderId="2" xfId="0" applyFont="1" applyBorder="1"/>
    <xf numFmtId="0" fontId="49" fillId="0" borderId="2" xfId="0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left"/>
    </xf>
    <xf numFmtId="0" fontId="49" fillId="0" borderId="2" xfId="0" quotePrefix="1" applyFont="1" applyBorder="1" applyAlignment="1">
      <alignment horizontal="left" vertical="center"/>
    </xf>
    <xf numFmtId="49" fontId="49" fillId="0" borderId="2" xfId="0" applyNumberFormat="1" applyFont="1" applyBorder="1" applyAlignment="1">
      <alignment horizontal="left"/>
    </xf>
    <xf numFmtId="14" fontId="49" fillId="0" borderId="2" xfId="0" applyNumberFormat="1" applyFont="1" applyBorder="1" applyAlignment="1">
      <alignment horizontal="left"/>
    </xf>
    <xf numFmtId="1" fontId="49" fillId="0" borderId="2" xfId="0" applyNumberFormat="1" applyFont="1" applyBorder="1"/>
    <xf numFmtId="2" fontId="49" fillId="8" borderId="2" xfId="0" applyNumberFormat="1" applyFont="1" applyFill="1" applyBorder="1" applyAlignment="1">
      <alignment horizontal="right"/>
    </xf>
    <xf numFmtId="2" fontId="49" fillId="0" borderId="2" xfId="0" applyNumberFormat="1" applyFont="1" applyBorder="1" applyAlignment="1">
      <alignment horizontal="center"/>
    </xf>
    <xf numFmtId="49" fontId="49" fillId="0" borderId="2" xfId="0" applyNumberFormat="1" applyFont="1" applyBorder="1"/>
    <xf numFmtId="165" fontId="49" fillId="0" borderId="2" xfId="0" applyNumberFormat="1" applyFont="1" applyBorder="1" applyAlignment="1">
      <alignment horizontal="center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35" fillId="0" borderId="0" xfId="3" applyFont="1"/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9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49" fontId="2" fillId="0" borderId="2" xfId="19" applyNumberFormat="1" applyBorder="1"/>
    <xf numFmtId="0" fontId="62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0" fontId="36" fillId="8" borderId="0" xfId="10" applyFont="1" applyFill="1" applyAlignment="1">
      <alignment horizontal="left" vertical="center" wrapText="1"/>
    </xf>
    <xf numFmtId="1" fontId="36" fillId="8" borderId="0" xfId="1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8" borderId="0" xfId="3" applyFont="1" applyFill="1" applyAlignment="1">
      <alignment horizontal="right"/>
    </xf>
    <xf numFmtId="164" fontId="14" fillId="8" borderId="2" xfId="3" applyNumberFormat="1" applyFont="1" applyFill="1" applyBorder="1" applyAlignment="1">
      <alignment horizontal="left"/>
    </xf>
    <xf numFmtId="0" fontId="14" fillId="8" borderId="2" xfId="3" applyFont="1" applyFill="1" applyBorder="1"/>
    <xf numFmtId="0" fontId="14" fillId="8" borderId="2" xfId="3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left"/>
    </xf>
    <xf numFmtId="0" fontId="14" fillId="8" borderId="2" xfId="3" applyFont="1" applyFill="1" applyBorder="1" applyAlignment="1">
      <alignment horizontal="left" vertical="center"/>
    </xf>
    <xf numFmtId="14" fontId="14" fillId="8" borderId="2" xfId="3" applyNumberFormat="1" applyFont="1" applyFill="1" applyBorder="1" applyAlignment="1">
      <alignment horizontal="left"/>
    </xf>
    <xf numFmtId="1" fontId="14" fillId="8" borderId="2" xfId="3" applyNumberFormat="1" applyFont="1" applyFill="1" applyBorder="1"/>
    <xf numFmtId="2" fontId="14" fillId="8" borderId="2" xfId="3" applyNumberFormat="1" applyFont="1" applyFill="1" applyBorder="1" applyAlignment="1">
      <alignment horizontal="center"/>
    </xf>
    <xf numFmtId="165" fontId="14" fillId="8" borderId="2" xfId="3" applyNumberFormat="1" applyFont="1" applyFill="1" applyBorder="1" applyAlignment="1">
      <alignment horizontal="center"/>
    </xf>
    <xf numFmtId="0" fontId="34" fillId="8" borderId="2" xfId="4" applyNumberFormat="1" applyFont="1" applyFill="1" applyBorder="1"/>
    <xf numFmtId="0" fontId="35" fillId="8" borderId="0" xfId="3" applyFont="1" applyFill="1"/>
    <xf numFmtId="0" fontId="35" fillId="8" borderId="0" xfId="0" applyFont="1" applyFill="1"/>
    <xf numFmtId="0" fontId="2" fillId="8" borderId="2" xfId="19" applyNumberFormat="1" applyFill="1" applyBorder="1"/>
    <xf numFmtId="0" fontId="35" fillId="8" borderId="3" xfId="3" applyFont="1" applyFill="1" applyBorder="1"/>
    <xf numFmtId="14" fontId="36" fillId="8" borderId="0" xfId="10" applyNumberFormat="1" applyFont="1" applyFill="1" applyAlignment="1">
      <alignment vertical="center" wrapText="1"/>
    </xf>
    <xf numFmtId="14" fontId="36" fillId="8" borderId="0" xfId="10" applyNumberFormat="1" applyFont="1" applyFill="1" applyAlignment="1">
      <alignment horizontal="left" vertical="center" wrapText="1"/>
    </xf>
    <xf numFmtId="0" fontId="36" fillId="8" borderId="0" xfId="1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0" fontId="36" fillId="8" borderId="0" xfId="10" applyFont="1" applyFill="1" applyAlignment="1">
      <alignment vertical="center" wrapText="1"/>
    </xf>
    <xf numFmtId="0" fontId="36" fillId="8" borderId="0" xfId="10" quotePrefix="1" applyFont="1" applyFill="1" applyAlignment="1">
      <alignment horizontal="left" vertical="center" wrapText="1"/>
    </xf>
    <xf numFmtId="1" fontId="36" fillId="8" borderId="0" xfId="11" quotePrefix="1" applyNumberFormat="1" applyFont="1" applyFill="1" applyBorder="1" applyAlignment="1">
      <alignment horizontal="left" vertical="center"/>
    </xf>
    <xf numFmtId="43" fontId="36" fillId="8" borderId="0" xfId="12" applyFont="1" applyFill="1" applyBorder="1" applyAlignment="1">
      <alignment vertical="center"/>
    </xf>
    <xf numFmtId="43" fontId="36" fillId="8" borderId="0" xfId="12" quotePrefix="1" applyFont="1" applyFill="1" applyBorder="1" applyAlignment="1">
      <alignment horizontal="left" vertical="center"/>
    </xf>
    <xf numFmtId="43" fontId="2" fillId="8" borderId="0" xfId="19" applyNumberFormat="1" applyFill="1" applyBorder="1" applyAlignment="1">
      <alignment horizontal="left" vertical="center"/>
    </xf>
    <xf numFmtId="0" fontId="2" fillId="10" borderId="22" xfId="19" applyFill="1" applyBorder="1" applyAlignment="1">
      <alignment horizontal="left" vertical="center"/>
    </xf>
    <xf numFmtId="14" fontId="35" fillId="9" borderId="22" xfId="0" applyNumberFormat="1" applyFont="1" applyFill="1" applyBorder="1" applyAlignment="1">
      <alignment horizontal="left" vertical="center"/>
    </xf>
    <xf numFmtId="2" fontId="35" fillId="8" borderId="0" xfId="0" applyNumberFormat="1" applyFont="1" applyFill="1"/>
    <xf numFmtId="0" fontId="2" fillId="8" borderId="2" xfId="19" applyNumberFormat="1" applyFill="1" applyBorder="1" applyAlignment="1">
      <alignment vertical="center"/>
    </xf>
    <xf numFmtId="0" fontId="14" fillId="8" borderId="2" xfId="3" applyFont="1" applyFill="1" applyBorder="1" applyAlignment="1">
      <alignment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eo_gtush@hotmail.com" TargetMode="External"/><Relationship Id="rId21" Type="http://schemas.openxmlformats.org/officeDocument/2006/relationships/hyperlink" Target="mailto:lilianajosefinag@yahoo.com" TargetMode="External"/><Relationship Id="rId42" Type="http://schemas.openxmlformats.org/officeDocument/2006/relationships/hyperlink" Target="mailto:antonio_5115@hotmail.com" TargetMode="External"/><Relationship Id="rId47" Type="http://schemas.openxmlformats.org/officeDocument/2006/relationships/hyperlink" Target="mailto:da00lopez@hotmail.com" TargetMode="External"/><Relationship Id="rId63" Type="http://schemas.openxmlformats.org/officeDocument/2006/relationships/hyperlink" Target="mailto:diana20gp@icloud.com" TargetMode="External"/><Relationship Id="rId68" Type="http://schemas.openxmlformats.org/officeDocument/2006/relationships/hyperlink" Target="mailto:diegoproanov@otlook.com" TargetMode="External"/><Relationship Id="rId2" Type="http://schemas.openxmlformats.org/officeDocument/2006/relationships/hyperlink" Target="mailto:jenili26@hotmail.com" TargetMode="External"/><Relationship Id="rId16" Type="http://schemas.openxmlformats.org/officeDocument/2006/relationships/hyperlink" Target="mailto:remihurt@hotmail.com" TargetMode="External"/><Relationship Id="rId29" Type="http://schemas.openxmlformats.org/officeDocument/2006/relationships/hyperlink" Target="mailto:avilez.juan1989@gmail.com" TargetMode="External"/><Relationship Id="rId11" Type="http://schemas.openxmlformats.org/officeDocument/2006/relationships/hyperlink" Target="mailto:andresq94@hotmail.com" TargetMode="External"/><Relationship Id="rId24" Type="http://schemas.openxmlformats.org/officeDocument/2006/relationships/hyperlink" Target="mailto:leo_gtush@hotmail.com" TargetMode="External"/><Relationship Id="rId32" Type="http://schemas.openxmlformats.org/officeDocument/2006/relationships/hyperlink" Target="mailto:jaimeclavijo2719@gmail.com" TargetMode="External"/><Relationship Id="rId37" Type="http://schemas.openxmlformats.org/officeDocument/2006/relationships/hyperlink" Target="mailto:contabilidad@cimconstructora.com" TargetMode="External"/><Relationship Id="rId40" Type="http://schemas.openxmlformats.org/officeDocument/2006/relationships/hyperlink" Target="mailto:contabilidad@cimconstructora.com" TargetMode="External"/><Relationship Id="rId45" Type="http://schemas.openxmlformats.org/officeDocument/2006/relationships/hyperlink" Target="mailto:anacristinadelgado92@gmail.com" TargetMode="External"/><Relationship Id="rId53" Type="http://schemas.openxmlformats.org/officeDocument/2006/relationships/hyperlink" Target="mailto:diegoproanov@otlook.com" TargetMode="External"/><Relationship Id="rId58" Type="http://schemas.openxmlformats.org/officeDocument/2006/relationships/hyperlink" Target="mailto:fabrizionarvaez2000@gmail.com" TargetMode="External"/><Relationship Id="rId66" Type="http://schemas.openxmlformats.org/officeDocument/2006/relationships/hyperlink" Target="mailto:glenda777chamba@gmail.com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mailto:jenili26@hotmail.com" TargetMode="External"/><Relationship Id="rId61" Type="http://schemas.openxmlformats.org/officeDocument/2006/relationships/hyperlink" Target="mailto:marialorenatorres@hotmail.com" TargetMode="External"/><Relationship Id="rId19" Type="http://schemas.openxmlformats.org/officeDocument/2006/relationships/hyperlink" Target="mailto:lilianajosefinag@yahoo.com" TargetMode="External"/><Relationship Id="rId14" Type="http://schemas.openxmlformats.org/officeDocument/2006/relationships/hyperlink" Target="mailto:ogoutnik@gmail.com" TargetMode="External"/><Relationship Id="rId22" Type="http://schemas.openxmlformats.org/officeDocument/2006/relationships/hyperlink" Target="mailto:lilianajosefinag@yahoo.com" TargetMode="External"/><Relationship Id="rId27" Type="http://schemas.openxmlformats.org/officeDocument/2006/relationships/hyperlink" Target="mailto:avilez.juan1989@gmail.com" TargetMode="External"/><Relationship Id="rId30" Type="http://schemas.openxmlformats.org/officeDocument/2006/relationships/hyperlink" Target="mailto:carmencampoverdeh@gmail.com" TargetMode="External"/><Relationship Id="rId35" Type="http://schemas.openxmlformats.org/officeDocument/2006/relationships/hyperlink" Target="mailto:lepg55@hotmail.com" TargetMode="External"/><Relationship Id="rId43" Type="http://schemas.openxmlformats.org/officeDocument/2006/relationships/hyperlink" Target="mailto:yuzuinteriorismo@gmail.com" TargetMode="External"/><Relationship Id="rId48" Type="http://schemas.openxmlformats.org/officeDocument/2006/relationships/hyperlink" Target="mailto:da00lopez@hotmail.com" TargetMode="External"/><Relationship Id="rId56" Type="http://schemas.openxmlformats.org/officeDocument/2006/relationships/hyperlink" Target="mailto:jose.rod5616@gmail..com" TargetMode="External"/><Relationship Id="rId64" Type="http://schemas.openxmlformats.org/officeDocument/2006/relationships/hyperlink" Target="mailto:diana20gp@icloud.com" TargetMode="External"/><Relationship Id="rId69" Type="http://schemas.openxmlformats.org/officeDocument/2006/relationships/hyperlink" Target="mailto:k.ordo&#241;ez.abad@gmail.com" TargetMode="External"/><Relationship Id="rId8" Type="http://schemas.openxmlformats.org/officeDocument/2006/relationships/hyperlink" Target="mailto:juliogtorresp@hotmail.com" TargetMode="External"/><Relationship Id="rId51" Type="http://schemas.openxmlformats.org/officeDocument/2006/relationships/hyperlink" Target="mailto:daval40@gmail.com" TargetMode="External"/><Relationship Id="rId72" Type="http://schemas.openxmlformats.org/officeDocument/2006/relationships/hyperlink" Target="mailto:patriciacabrerac@hotmail.com" TargetMode="External"/><Relationship Id="rId3" Type="http://schemas.openxmlformats.org/officeDocument/2006/relationships/hyperlink" Target="mailto:jenili26@hotmail.com" TargetMode="External"/><Relationship Id="rId12" Type="http://schemas.openxmlformats.org/officeDocument/2006/relationships/hyperlink" Target="mailto:andresq94@hotmail.com" TargetMode="External"/><Relationship Id="rId17" Type="http://schemas.openxmlformats.org/officeDocument/2006/relationships/hyperlink" Target="mailto:andre.18.ae@gmail.com" TargetMode="External"/><Relationship Id="rId25" Type="http://schemas.openxmlformats.org/officeDocument/2006/relationships/hyperlink" Target="mailto:leo_gtush@hotmail.com" TargetMode="External"/><Relationship Id="rId33" Type="http://schemas.openxmlformats.org/officeDocument/2006/relationships/hyperlink" Target="mailto:jaimeclavijo2719@gmail.com" TargetMode="External"/><Relationship Id="rId38" Type="http://schemas.openxmlformats.org/officeDocument/2006/relationships/hyperlink" Target="mailto:contabilidad@cimconstructora.com" TargetMode="External"/><Relationship Id="rId46" Type="http://schemas.openxmlformats.org/officeDocument/2006/relationships/hyperlink" Target="mailto:anacristinadelgado92@gmail.com" TargetMode="External"/><Relationship Id="rId59" Type="http://schemas.openxmlformats.org/officeDocument/2006/relationships/hyperlink" Target="mailto:fabrizionarvaez2000@gmail.com" TargetMode="External"/><Relationship Id="rId67" Type="http://schemas.openxmlformats.org/officeDocument/2006/relationships/hyperlink" Target="mailto:diegoproanov@otlook.com" TargetMode="External"/><Relationship Id="rId20" Type="http://schemas.openxmlformats.org/officeDocument/2006/relationships/hyperlink" Target="mailto:lilianajosefinag@yahoo.com" TargetMode="External"/><Relationship Id="rId41" Type="http://schemas.openxmlformats.org/officeDocument/2006/relationships/hyperlink" Target="mailto:antonio_5115@hotmail.com" TargetMode="External"/><Relationship Id="rId54" Type="http://schemas.openxmlformats.org/officeDocument/2006/relationships/hyperlink" Target="mailto:diegoproanov@otlook.com" TargetMode="External"/><Relationship Id="rId62" Type="http://schemas.openxmlformats.org/officeDocument/2006/relationships/hyperlink" Target="mailto:diana20gp@icloud.com" TargetMode="External"/><Relationship Id="rId70" Type="http://schemas.openxmlformats.org/officeDocument/2006/relationships/hyperlink" Target="mailto:k.ordo&#241;ez.abad@gmail.com" TargetMode="External"/><Relationship Id="rId75" Type="http://schemas.openxmlformats.org/officeDocument/2006/relationships/drawing" Target="../drawings/drawing1.xml"/><Relationship Id="rId1" Type="http://schemas.openxmlformats.org/officeDocument/2006/relationships/hyperlink" Target="mailto:jenili26@hotmail.com" TargetMode="External"/><Relationship Id="rId6" Type="http://schemas.openxmlformats.org/officeDocument/2006/relationships/hyperlink" Target="mailto:jenili26@hotmail.com" TargetMode="External"/><Relationship Id="rId15" Type="http://schemas.openxmlformats.org/officeDocument/2006/relationships/hyperlink" Target="mailto:ogoutnik@gmail.com" TargetMode="External"/><Relationship Id="rId23" Type="http://schemas.openxmlformats.org/officeDocument/2006/relationships/hyperlink" Target="mailto:leo_gtush@hotmail.com" TargetMode="External"/><Relationship Id="rId28" Type="http://schemas.openxmlformats.org/officeDocument/2006/relationships/hyperlink" Target="mailto:avilez.juan1989@gmail.com" TargetMode="External"/><Relationship Id="rId36" Type="http://schemas.openxmlformats.org/officeDocument/2006/relationships/hyperlink" Target="mailto:lepg55@hotmail.com" TargetMode="External"/><Relationship Id="rId49" Type="http://schemas.openxmlformats.org/officeDocument/2006/relationships/hyperlink" Target="mailto:daval40@gmail.com" TargetMode="External"/><Relationship Id="rId57" Type="http://schemas.openxmlformats.org/officeDocument/2006/relationships/hyperlink" Target="mailto:jose.rod5616@gmail..com" TargetMode="External"/><Relationship Id="rId10" Type="http://schemas.openxmlformats.org/officeDocument/2006/relationships/hyperlink" Target="mailto:juliogtorresp@hotmail.com" TargetMode="External"/><Relationship Id="rId31" Type="http://schemas.openxmlformats.org/officeDocument/2006/relationships/hyperlink" Target="mailto:carmencampoverdeh@gmail.com" TargetMode="External"/><Relationship Id="rId44" Type="http://schemas.openxmlformats.org/officeDocument/2006/relationships/hyperlink" Target="mailto:yuzuinteriorismo@gmail.com" TargetMode="External"/><Relationship Id="rId52" Type="http://schemas.openxmlformats.org/officeDocument/2006/relationships/hyperlink" Target="mailto:daval40@gmail.com" TargetMode="External"/><Relationship Id="rId60" Type="http://schemas.openxmlformats.org/officeDocument/2006/relationships/hyperlink" Target="mailto:marialorenatorres@hotmail.com" TargetMode="External"/><Relationship Id="rId65" Type="http://schemas.openxmlformats.org/officeDocument/2006/relationships/hyperlink" Target="mailto:glenda777chamba@gmail.com" TargetMode="External"/><Relationship Id="rId73" Type="http://schemas.openxmlformats.org/officeDocument/2006/relationships/hyperlink" Target="mailto:patriciacabrerac@hotmail.com" TargetMode="External"/><Relationship Id="rId4" Type="http://schemas.openxmlformats.org/officeDocument/2006/relationships/hyperlink" Target="mailto:jenili26@hotmail.com" TargetMode="External"/><Relationship Id="rId9" Type="http://schemas.openxmlformats.org/officeDocument/2006/relationships/hyperlink" Target="mailto:juliogtorresp@hotmail.com" TargetMode="External"/><Relationship Id="rId13" Type="http://schemas.openxmlformats.org/officeDocument/2006/relationships/hyperlink" Target="mailto:ogoutnik@gmail.com" TargetMode="External"/><Relationship Id="rId18" Type="http://schemas.openxmlformats.org/officeDocument/2006/relationships/hyperlink" Target="mailto:andre.18.ae@gmail.com" TargetMode="External"/><Relationship Id="rId39" Type="http://schemas.openxmlformats.org/officeDocument/2006/relationships/hyperlink" Target="mailto:contabilidad@cimconstructora.com" TargetMode="External"/><Relationship Id="rId34" Type="http://schemas.openxmlformats.org/officeDocument/2006/relationships/hyperlink" Target="mailto:jaimeclavijo2719@gmail.com" TargetMode="External"/><Relationship Id="rId50" Type="http://schemas.openxmlformats.org/officeDocument/2006/relationships/hyperlink" Target="mailto:daval40@gmail.com" TargetMode="External"/><Relationship Id="rId55" Type="http://schemas.openxmlformats.org/officeDocument/2006/relationships/hyperlink" Target="mailto:diegoproanov@otlook.com" TargetMode="External"/><Relationship Id="rId7" Type="http://schemas.openxmlformats.org/officeDocument/2006/relationships/hyperlink" Target="mailto:jenili26@hotmail.com" TargetMode="External"/><Relationship Id="rId71" Type="http://schemas.openxmlformats.org/officeDocument/2006/relationships/hyperlink" Target="mailto:k.ordo&#241;ez.abad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susyalmeida05@hot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hugobravom@yahoo.com" TargetMode="External"/><Relationship Id="rId1" Type="http://schemas.openxmlformats.org/officeDocument/2006/relationships/hyperlink" Target="mailto:santiago2217@icloud.com" TargetMode="External"/><Relationship Id="rId6" Type="http://schemas.openxmlformats.org/officeDocument/2006/relationships/hyperlink" Target="mailto:facturaciontortillasmayas@gmail.com" TargetMode="External"/><Relationship Id="rId5" Type="http://schemas.openxmlformats.org/officeDocument/2006/relationships/hyperlink" Target="mailto:jenili26@hotmail.com" TargetMode="External"/><Relationship Id="rId4" Type="http://schemas.openxmlformats.org/officeDocument/2006/relationships/hyperlink" Target="mailto:jpaulit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remihurt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baclpss@gmail.com" TargetMode="External"/><Relationship Id="rId13" Type="http://schemas.openxmlformats.org/officeDocument/2006/relationships/hyperlink" Target="mailto:patriciopalacios@outlook.com" TargetMode="External"/><Relationship Id="rId18" Type="http://schemas.openxmlformats.org/officeDocument/2006/relationships/hyperlink" Target="mailto:carmitacm@gmail.com" TargetMode="External"/><Relationship Id="rId3" Type="http://schemas.openxmlformats.org/officeDocument/2006/relationships/hyperlink" Target="mailto:mariajosequesada61@gmail.com" TargetMode="External"/><Relationship Id="rId21" Type="http://schemas.openxmlformats.org/officeDocument/2006/relationships/hyperlink" Target="mailto:tgm_555@hotmail.com" TargetMode="External"/><Relationship Id="rId7" Type="http://schemas.openxmlformats.org/officeDocument/2006/relationships/hyperlink" Target="mailto:rcardenas222@hotmail.com" TargetMode="External"/><Relationship Id="rId12" Type="http://schemas.openxmlformats.org/officeDocument/2006/relationships/hyperlink" Target="mailto:jjsigua@hotmail.com" TargetMode="External"/><Relationship Id="rId17" Type="http://schemas.openxmlformats.org/officeDocument/2006/relationships/hyperlink" Target="mailto:floguain@hotmail.com" TargetMode="External"/><Relationship Id="rId2" Type="http://schemas.openxmlformats.org/officeDocument/2006/relationships/hyperlink" Target="mailto:danymorales911@gmail.com" TargetMode="External"/><Relationship Id="rId16" Type="http://schemas.openxmlformats.org/officeDocument/2006/relationships/hyperlink" Target="mailto:sebasavi007@hotmail.com" TargetMode="External"/><Relationship Id="rId20" Type="http://schemas.openxmlformats.org/officeDocument/2006/relationships/hyperlink" Target="mailto:dvanegas42k@gmail.com" TargetMode="External"/><Relationship Id="rId1" Type="http://schemas.openxmlformats.org/officeDocument/2006/relationships/hyperlink" Target="mailto:cguzman5674@gmail.com" TargetMode="External"/><Relationship Id="rId6" Type="http://schemas.openxmlformats.org/officeDocument/2006/relationships/hyperlink" Target="mailto:mariajosequesada61@gmail.com" TargetMode="External"/><Relationship Id="rId11" Type="http://schemas.openxmlformats.org/officeDocument/2006/relationships/hyperlink" Target="mailto:alojuliocesarpugo@gmail.com" TargetMode="External"/><Relationship Id="rId24" Type="http://schemas.openxmlformats.org/officeDocument/2006/relationships/hyperlink" Target="mailto:lolaquezada7@hotmail.com" TargetMode="External"/><Relationship Id="rId5" Type="http://schemas.openxmlformats.org/officeDocument/2006/relationships/hyperlink" Target="mailto:m_robayo9@hotmail.com" TargetMode="External"/><Relationship Id="rId15" Type="http://schemas.openxmlformats.org/officeDocument/2006/relationships/hyperlink" Target="mailto:alemoscoso@yahoo.com" TargetMode="External"/><Relationship Id="rId23" Type="http://schemas.openxmlformats.org/officeDocument/2006/relationships/hyperlink" Target="mailto:gustavocorderop@hotmail.com" TargetMode="External"/><Relationship Id="rId10" Type="http://schemas.openxmlformats.org/officeDocument/2006/relationships/hyperlink" Target="mailto:juliogueec@gmail.com" TargetMode="External"/><Relationship Id="rId19" Type="http://schemas.openxmlformats.org/officeDocument/2006/relationships/hyperlink" Target="mailto:paulo17_83@yahoo.com" TargetMode="External"/><Relationship Id="rId4" Type="http://schemas.openxmlformats.org/officeDocument/2006/relationships/hyperlink" Target="mailto:ealborno@yahoo.com" TargetMode="External"/><Relationship Id="rId9" Type="http://schemas.openxmlformats.org/officeDocument/2006/relationships/hyperlink" Target="mailto:anisiamar@gmail.com" TargetMode="External"/><Relationship Id="rId14" Type="http://schemas.openxmlformats.org/officeDocument/2006/relationships/hyperlink" Target="mailto:contabilidadconfiablecp@gmail.com" TargetMode="External"/><Relationship Id="rId22" Type="http://schemas.openxmlformats.org/officeDocument/2006/relationships/hyperlink" Target="mailto:tgm_55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106"/>
  <sheetViews>
    <sheetView topLeftCell="A82" zoomScale="80" zoomScaleNormal="80" workbookViewId="0">
      <selection activeCell="O90" sqref="O90"/>
    </sheetView>
  </sheetViews>
  <sheetFormatPr baseColWidth="10" defaultRowHeight="15"/>
  <cols>
    <col min="1" max="1" width="11.6640625" bestFit="1" customWidth="1"/>
    <col min="2" max="2" width="11.83203125" bestFit="1" customWidth="1"/>
    <col min="4" max="4" width="11.6640625" bestFit="1" customWidth="1"/>
    <col min="5" max="5" width="18" customWidth="1"/>
    <col min="6" max="6" width="15.1640625" customWidth="1"/>
    <col min="7" max="7" width="11.16406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1640625" bestFit="1" customWidth="1"/>
    <col min="20" max="20" width="16.6640625" customWidth="1"/>
  </cols>
  <sheetData>
    <row r="3" spans="1:22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2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96</v>
      </c>
      <c r="O4" s="9"/>
      <c r="P4" s="17"/>
    </row>
    <row r="5" spans="1:22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2" s="218" customFormat="1" ht="33" customHeight="1">
      <c r="A6" s="206">
        <v>1</v>
      </c>
      <c r="B6" s="232">
        <v>45460</v>
      </c>
      <c r="C6" s="208" t="s">
        <v>100</v>
      </c>
      <c r="D6" s="208" t="s">
        <v>101</v>
      </c>
      <c r="E6" s="209">
        <v>112580058</v>
      </c>
      <c r="F6" s="208" t="s">
        <v>102</v>
      </c>
      <c r="G6" s="210" t="s">
        <v>103</v>
      </c>
      <c r="H6" s="211" t="s">
        <v>42</v>
      </c>
      <c r="I6" s="208" t="s">
        <v>76</v>
      </c>
      <c r="J6" s="210" t="s">
        <v>77</v>
      </c>
      <c r="K6" s="212">
        <v>45492</v>
      </c>
      <c r="L6" s="213" t="s">
        <v>104</v>
      </c>
      <c r="M6" s="213" t="s">
        <v>109</v>
      </c>
      <c r="N6" s="210">
        <v>998069867</v>
      </c>
      <c r="O6" s="214">
        <v>20</v>
      </c>
      <c r="P6" s="208" t="s">
        <v>22</v>
      </c>
      <c r="Q6" s="208" t="s">
        <v>76</v>
      </c>
      <c r="R6" s="215"/>
      <c r="S6" s="208" t="s">
        <v>101</v>
      </c>
      <c r="T6" s="216">
        <v>102872090</v>
      </c>
      <c r="U6" s="219" t="s">
        <v>110</v>
      </c>
      <c r="V6" s="220"/>
    </row>
    <row r="7" spans="1:22" s="218" customFormat="1" ht="33" customHeight="1">
      <c r="A7" s="206">
        <v>2</v>
      </c>
      <c r="B7" s="232">
        <v>45470</v>
      </c>
      <c r="C7" s="208" t="s">
        <v>100</v>
      </c>
      <c r="D7" s="208" t="s">
        <v>106</v>
      </c>
      <c r="E7" s="209">
        <v>111000051</v>
      </c>
      <c r="F7" s="208" t="s">
        <v>107</v>
      </c>
      <c r="G7" s="210" t="s">
        <v>108</v>
      </c>
      <c r="H7" s="211" t="s">
        <v>42</v>
      </c>
      <c r="I7" s="208" t="s">
        <v>76</v>
      </c>
      <c r="J7" s="210" t="s">
        <v>77</v>
      </c>
      <c r="K7" s="212">
        <v>45492</v>
      </c>
      <c r="L7" s="213" t="s">
        <v>104</v>
      </c>
      <c r="M7" s="213" t="s">
        <v>109</v>
      </c>
      <c r="N7" s="210">
        <v>998069867</v>
      </c>
      <c r="O7" s="214">
        <v>20</v>
      </c>
      <c r="P7" s="208" t="s">
        <v>22</v>
      </c>
      <c r="Q7" s="208" t="s">
        <v>76</v>
      </c>
      <c r="R7" s="215"/>
      <c r="S7" s="208" t="s">
        <v>101</v>
      </c>
      <c r="T7" s="216">
        <v>102872090</v>
      </c>
      <c r="U7" s="219" t="s">
        <v>110</v>
      </c>
      <c r="V7" s="220"/>
    </row>
    <row r="8" spans="1:22" s="218" customFormat="1" ht="33" customHeight="1">
      <c r="A8" s="206">
        <v>3</v>
      </c>
      <c r="B8" s="207">
        <v>45224</v>
      </c>
      <c r="C8" s="208" t="s">
        <v>111</v>
      </c>
      <c r="D8" s="208" t="s">
        <v>112</v>
      </c>
      <c r="E8" s="209">
        <v>112500048</v>
      </c>
      <c r="F8" s="208" t="s">
        <v>113</v>
      </c>
      <c r="G8" s="210" t="s">
        <v>114</v>
      </c>
      <c r="H8" s="211">
        <v>408062</v>
      </c>
      <c r="I8" s="208" t="s">
        <v>76</v>
      </c>
      <c r="J8" s="210" t="s">
        <v>77</v>
      </c>
      <c r="K8" s="212">
        <v>45496</v>
      </c>
      <c r="L8" s="213" t="s">
        <v>115</v>
      </c>
      <c r="M8" s="213" t="s">
        <v>116</v>
      </c>
      <c r="N8" s="210">
        <v>964103658</v>
      </c>
      <c r="O8" s="214">
        <v>15</v>
      </c>
      <c r="P8" s="208" t="s">
        <v>22</v>
      </c>
      <c r="Q8" s="208" t="s">
        <v>76</v>
      </c>
      <c r="R8" s="215"/>
      <c r="S8" s="208" t="s">
        <v>112</v>
      </c>
      <c r="T8" s="216">
        <v>103311452</v>
      </c>
      <c r="U8" s="219" t="s">
        <v>117</v>
      </c>
      <c r="V8" s="220"/>
    </row>
    <row r="9" spans="1:22" s="218" customFormat="1" ht="33" customHeight="1">
      <c r="A9" s="206">
        <v>4</v>
      </c>
      <c r="B9" s="207">
        <v>45224</v>
      </c>
      <c r="C9" s="208" t="s">
        <v>111</v>
      </c>
      <c r="D9" s="208" t="s">
        <v>112</v>
      </c>
      <c r="E9" s="209">
        <v>113610005</v>
      </c>
      <c r="F9" s="208" t="s">
        <v>118</v>
      </c>
      <c r="G9" s="210" t="s">
        <v>119</v>
      </c>
      <c r="H9" s="211">
        <v>406760</v>
      </c>
      <c r="I9" s="208" t="s">
        <v>76</v>
      </c>
      <c r="J9" s="210" t="s">
        <v>77</v>
      </c>
      <c r="K9" s="212">
        <v>45496</v>
      </c>
      <c r="L9" s="213" t="s">
        <v>115</v>
      </c>
      <c r="M9" s="213" t="s">
        <v>116</v>
      </c>
      <c r="N9" s="210">
        <v>964103658</v>
      </c>
      <c r="O9" s="214">
        <v>15</v>
      </c>
      <c r="P9" s="208" t="s">
        <v>22</v>
      </c>
      <c r="Q9" s="208" t="s">
        <v>76</v>
      </c>
      <c r="R9" s="215"/>
      <c r="S9" s="208" t="s">
        <v>112</v>
      </c>
      <c r="T9" s="216">
        <v>103311452</v>
      </c>
      <c r="U9" s="219" t="s">
        <v>117</v>
      </c>
      <c r="V9" s="220"/>
    </row>
    <row r="10" spans="1:22" s="218" customFormat="1" ht="33" customHeight="1">
      <c r="A10" s="206">
        <v>5</v>
      </c>
      <c r="B10" s="207">
        <v>45224</v>
      </c>
      <c r="C10" s="208" t="s">
        <v>111</v>
      </c>
      <c r="D10" s="208" t="s">
        <v>112</v>
      </c>
      <c r="E10" s="209">
        <v>40480321</v>
      </c>
      <c r="F10" s="208" t="s">
        <v>120</v>
      </c>
      <c r="G10" s="210" t="s">
        <v>121</v>
      </c>
      <c r="H10" s="211">
        <v>405987</v>
      </c>
      <c r="I10" s="208" t="s">
        <v>76</v>
      </c>
      <c r="J10" s="210" t="s">
        <v>77</v>
      </c>
      <c r="K10" s="212">
        <v>45496</v>
      </c>
      <c r="L10" s="213" t="s">
        <v>115</v>
      </c>
      <c r="M10" s="213" t="s">
        <v>116</v>
      </c>
      <c r="N10" s="210">
        <v>964103658</v>
      </c>
      <c r="O10" s="214">
        <v>30</v>
      </c>
      <c r="P10" s="208" t="s">
        <v>22</v>
      </c>
      <c r="Q10" s="208" t="s">
        <v>76</v>
      </c>
      <c r="R10" s="215"/>
      <c r="S10" s="208" t="s">
        <v>112</v>
      </c>
      <c r="T10" s="216">
        <v>103311452</v>
      </c>
      <c r="U10" s="219" t="s">
        <v>117</v>
      </c>
      <c r="V10" s="220"/>
    </row>
    <row r="11" spans="1:22" s="218" customFormat="1" ht="33" customHeight="1">
      <c r="A11" s="206">
        <v>6</v>
      </c>
      <c r="B11" s="207">
        <v>45224</v>
      </c>
      <c r="C11" s="208" t="s">
        <v>111</v>
      </c>
      <c r="D11" s="208" t="s">
        <v>112</v>
      </c>
      <c r="E11" s="209">
        <v>41560166</v>
      </c>
      <c r="F11" s="208" t="s">
        <v>122</v>
      </c>
      <c r="G11" s="210" t="s">
        <v>123</v>
      </c>
      <c r="H11" s="211">
        <v>408063</v>
      </c>
      <c r="I11" s="208" t="s">
        <v>76</v>
      </c>
      <c r="J11" s="210" t="s">
        <v>77</v>
      </c>
      <c r="K11" s="212">
        <v>45496</v>
      </c>
      <c r="L11" s="213" t="s">
        <v>115</v>
      </c>
      <c r="M11" s="213" t="s">
        <v>116</v>
      </c>
      <c r="N11" s="210">
        <v>964103658</v>
      </c>
      <c r="O11" s="214">
        <v>15</v>
      </c>
      <c r="P11" s="208" t="s">
        <v>22</v>
      </c>
      <c r="Q11" s="208" t="s">
        <v>76</v>
      </c>
      <c r="R11" s="215"/>
      <c r="S11" s="208" t="s">
        <v>112</v>
      </c>
      <c r="T11" s="216">
        <v>103311452</v>
      </c>
      <c r="U11" s="219" t="s">
        <v>117</v>
      </c>
      <c r="V11" s="220"/>
    </row>
    <row r="12" spans="1:22" s="218" customFormat="1" ht="33" customHeight="1">
      <c r="A12" s="206">
        <v>7</v>
      </c>
      <c r="B12" s="207">
        <v>45224</v>
      </c>
      <c r="C12" s="208" t="s">
        <v>111</v>
      </c>
      <c r="D12" s="208" t="s">
        <v>112</v>
      </c>
      <c r="E12" s="209">
        <v>40584202</v>
      </c>
      <c r="F12" s="208" t="s">
        <v>124</v>
      </c>
      <c r="G12" s="210" t="s">
        <v>125</v>
      </c>
      <c r="H12" s="211">
        <v>406759</v>
      </c>
      <c r="I12" s="208" t="s">
        <v>76</v>
      </c>
      <c r="J12" s="210" t="s">
        <v>77</v>
      </c>
      <c r="K12" s="212">
        <v>45496</v>
      </c>
      <c r="L12" s="213" t="s">
        <v>115</v>
      </c>
      <c r="M12" s="213" t="s">
        <v>116</v>
      </c>
      <c r="N12" s="210">
        <v>964103658</v>
      </c>
      <c r="O12" s="214">
        <v>15</v>
      </c>
      <c r="P12" s="208" t="s">
        <v>22</v>
      </c>
      <c r="Q12" s="208" t="s">
        <v>76</v>
      </c>
      <c r="R12" s="215"/>
      <c r="S12" s="208" t="s">
        <v>112</v>
      </c>
      <c r="T12" s="216">
        <v>103311452</v>
      </c>
      <c r="U12" s="219" t="s">
        <v>117</v>
      </c>
      <c r="V12" s="220"/>
    </row>
    <row r="13" spans="1:22" s="218" customFormat="1" ht="33" customHeight="1">
      <c r="A13" s="206">
        <v>8</v>
      </c>
      <c r="B13" s="207">
        <v>45224</v>
      </c>
      <c r="C13" s="208" t="s">
        <v>111</v>
      </c>
      <c r="D13" s="208" t="s">
        <v>112</v>
      </c>
      <c r="E13" s="209">
        <v>113430016</v>
      </c>
      <c r="F13" s="208" t="s">
        <v>126</v>
      </c>
      <c r="G13" s="210" t="s">
        <v>127</v>
      </c>
      <c r="H13" s="211">
        <v>413220</v>
      </c>
      <c r="I13" s="208" t="s">
        <v>76</v>
      </c>
      <c r="J13" s="210" t="s">
        <v>77</v>
      </c>
      <c r="K13" s="212">
        <v>45496</v>
      </c>
      <c r="L13" s="213" t="s">
        <v>115</v>
      </c>
      <c r="M13" s="213" t="s">
        <v>116</v>
      </c>
      <c r="N13" s="210">
        <v>964103658</v>
      </c>
      <c r="O13" s="214">
        <v>15</v>
      </c>
      <c r="P13" s="208" t="s">
        <v>22</v>
      </c>
      <c r="Q13" s="208" t="s">
        <v>76</v>
      </c>
      <c r="R13" s="215"/>
      <c r="S13" s="208" t="s">
        <v>112</v>
      </c>
      <c r="T13" s="216">
        <v>103311452</v>
      </c>
      <c r="U13" s="219" t="s">
        <v>117</v>
      </c>
      <c r="V13" s="220"/>
    </row>
    <row r="14" spans="1:22" s="218" customFormat="1" ht="33" customHeight="1">
      <c r="A14" s="206">
        <v>9</v>
      </c>
      <c r="B14" s="207">
        <v>45224</v>
      </c>
      <c r="C14" s="208" t="s">
        <v>111</v>
      </c>
      <c r="D14" s="208" t="s">
        <v>112</v>
      </c>
      <c r="E14" s="209">
        <v>41598031</v>
      </c>
      <c r="F14" s="208" t="s">
        <v>128</v>
      </c>
      <c r="G14" s="210" t="s">
        <v>327</v>
      </c>
      <c r="H14" s="211" t="s">
        <v>42</v>
      </c>
      <c r="I14" s="208" t="s">
        <v>76</v>
      </c>
      <c r="J14" s="210" t="s">
        <v>77</v>
      </c>
      <c r="K14" s="212">
        <v>45496</v>
      </c>
      <c r="L14" s="213" t="s">
        <v>115</v>
      </c>
      <c r="M14" s="213" t="s">
        <v>116</v>
      </c>
      <c r="N14" s="210">
        <v>964103658</v>
      </c>
      <c r="O14" s="214">
        <v>15</v>
      </c>
      <c r="P14" s="208" t="s">
        <v>22</v>
      </c>
      <c r="Q14" s="208" t="s">
        <v>76</v>
      </c>
      <c r="R14" s="215"/>
      <c r="S14" s="208" t="s">
        <v>112</v>
      </c>
      <c r="T14" s="216">
        <v>103311452</v>
      </c>
      <c r="U14" s="219" t="s">
        <v>117</v>
      </c>
      <c r="V14" s="220"/>
    </row>
    <row r="15" spans="1:22" s="218" customFormat="1" ht="33" customHeight="1">
      <c r="A15" s="206">
        <v>10</v>
      </c>
      <c r="B15" s="207">
        <v>45339</v>
      </c>
      <c r="C15" s="208" t="s">
        <v>111</v>
      </c>
      <c r="D15" s="208" t="s">
        <v>129</v>
      </c>
      <c r="E15" s="209">
        <v>40584305</v>
      </c>
      <c r="F15" s="208" t="s">
        <v>130</v>
      </c>
      <c r="G15" s="210" t="s">
        <v>131</v>
      </c>
      <c r="H15" s="211">
        <v>416232</v>
      </c>
      <c r="I15" s="208" t="s">
        <v>76</v>
      </c>
      <c r="J15" s="210" t="s">
        <v>77</v>
      </c>
      <c r="K15" s="212">
        <v>45498</v>
      </c>
      <c r="L15" s="213" t="s">
        <v>132</v>
      </c>
      <c r="M15" s="213" t="s">
        <v>133</v>
      </c>
      <c r="N15" s="210">
        <v>995142611</v>
      </c>
      <c r="O15" s="214">
        <v>15</v>
      </c>
      <c r="P15" s="208" t="s">
        <v>22</v>
      </c>
      <c r="Q15" s="208" t="s">
        <v>76</v>
      </c>
      <c r="R15" s="215"/>
      <c r="S15" s="208" t="s">
        <v>129</v>
      </c>
      <c r="T15" s="216">
        <v>101807972</v>
      </c>
      <c r="U15" s="219" t="s">
        <v>134</v>
      </c>
      <c r="V15" s="220"/>
    </row>
    <row r="16" spans="1:22" s="218" customFormat="1" ht="33" customHeight="1">
      <c r="A16" s="206">
        <v>11</v>
      </c>
      <c r="B16" s="207">
        <v>45339</v>
      </c>
      <c r="C16" s="208" t="s">
        <v>111</v>
      </c>
      <c r="D16" s="208" t="s">
        <v>129</v>
      </c>
      <c r="E16" s="209">
        <v>111000051</v>
      </c>
      <c r="F16" s="208" t="s">
        <v>107</v>
      </c>
      <c r="G16" s="210" t="s">
        <v>135</v>
      </c>
      <c r="H16" s="211">
        <v>416225</v>
      </c>
      <c r="I16" s="208" t="s">
        <v>76</v>
      </c>
      <c r="J16" s="210" t="s">
        <v>77</v>
      </c>
      <c r="K16" s="212">
        <v>45498</v>
      </c>
      <c r="L16" s="213" t="s">
        <v>132</v>
      </c>
      <c r="M16" s="213" t="s">
        <v>133</v>
      </c>
      <c r="N16" s="210">
        <v>995142611</v>
      </c>
      <c r="O16" s="214">
        <v>15</v>
      </c>
      <c r="P16" s="208" t="s">
        <v>22</v>
      </c>
      <c r="Q16" s="208" t="s">
        <v>76</v>
      </c>
      <c r="R16" s="215"/>
      <c r="S16" s="208" t="s">
        <v>129</v>
      </c>
      <c r="T16" s="216">
        <v>101807972</v>
      </c>
      <c r="U16" s="219" t="s">
        <v>134</v>
      </c>
      <c r="V16" s="220"/>
    </row>
    <row r="17" spans="1:22" s="218" customFormat="1" ht="33" customHeight="1">
      <c r="A17" s="206">
        <v>12</v>
      </c>
      <c r="B17" s="207">
        <v>45339</v>
      </c>
      <c r="C17" s="208" t="s">
        <v>111</v>
      </c>
      <c r="D17" s="208" t="s">
        <v>129</v>
      </c>
      <c r="E17" s="209">
        <v>113430016</v>
      </c>
      <c r="F17" s="208" t="s">
        <v>126</v>
      </c>
      <c r="G17" s="210" t="s">
        <v>136</v>
      </c>
      <c r="H17" s="211">
        <v>411966</v>
      </c>
      <c r="I17" s="208" t="s">
        <v>76</v>
      </c>
      <c r="J17" s="210" t="s">
        <v>77</v>
      </c>
      <c r="K17" s="212">
        <v>45498</v>
      </c>
      <c r="L17" s="213" t="s">
        <v>132</v>
      </c>
      <c r="M17" s="213" t="s">
        <v>133</v>
      </c>
      <c r="N17" s="210">
        <v>995142611</v>
      </c>
      <c r="O17" s="214">
        <v>15</v>
      </c>
      <c r="P17" s="208" t="s">
        <v>22</v>
      </c>
      <c r="Q17" s="208" t="s">
        <v>76</v>
      </c>
      <c r="R17" s="215"/>
      <c r="S17" s="208" t="s">
        <v>129</v>
      </c>
      <c r="T17" s="216">
        <v>101807972</v>
      </c>
      <c r="U17" s="219" t="s">
        <v>134</v>
      </c>
      <c r="V17" s="220"/>
    </row>
    <row r="18" spans="1:22" s="218" customFormat="1" ht="33" customHeight="1">
      <c r="A18" s="206">
        <v>13</v>
      </c>
      <c r="B18" s="207">
        <v>45290</v>
      </c>
      <c r="C18" s="208" t="s">
        <v>137</v>
      </c>
      <c r="D18" s="208" t="s">
        <v>138</v>
      </c>
      <c r="E18" s="209">
        <v>112520025</v>
      </c>
      <c r="F18" s="208" t="s">
        <v>139</v>
      </c>
      <c r="G18" s="210" t="s">
        <v>140</v>
      </c>
      <c r="H18" s="211">
        <v>412088</v>
      </c>
      <c r="I18" s="208" t="s">
        <v>76</v>
      </c>
      <c r="J18" s="210" t="s">
        <v>77</v>
      </c>
      <c r="K18" s="212">
        <v>45499</v>
      </c>
      <c r="L18" s="213" t="s">
        <v>141</v>
      </c>
      <c r="M18" s="213" t="s">
        <v>142</v>
      </c>
      <c r="N18" s="210">
        <v>992693191</v>
      </c>
      <c r="O18" s="214">
        <v>20</v>
      </c>
      <c r="P18" s="208" t="s">
        <v>22</v>
      </c>
      <c r="Q18" s="208" t="s">
        <v>76</v>
      </c>
      <c r="R18" s="215"/>
      <c r="S18" s="208" t="s">
        <v>138</v>
      </c>
      <c r="T18" s="216">
        <v>105320378</v>
      </c>
      <c r="U18" s="219" t="s">
        <v>143</v>
      </c>
      <c r="V18" s="220"/>
    </row>
    <row r="19" spans="1:22" s="218" customFormat="1" ht="33" customHeight="1">
      <c r="A19" s="206">
        <v>14</v>
      </c>
      <c r="B19" s="207">
        <v>45290</v>
      </c>
      <c r="C19" s="208" t="s">
        <v>137</v>
      </c>
      <c r="D19" s="208" t="s">
        <v>138</v>
      </c>
      <c r="E19" s="209">
        <v>40446702</v>
      </c>
      <c r="F19" s="208" t="s">
        <v>144</v>
      </c>
      <c r="G19" s="210" t="s">
        <v>145</v>
      </c>
      <c r="H19" s="211">
        <v>412766</v>
      </c>
      <c r="I19" s="208" t="s">
        <v>76</v>
      </c>
      <c r="J19" s="210" t="s">
        <v>77</v>
      </c>
      <c r="K19" s="212">
        <v>45499</v>
      </c>
      <c r="L19" s="213" t="s">
        <v>141</v>
      </c>
      <c r="M19" s="213" t="s">
        <v>142</v>
      </c>
      <c r="N19" s="210">
        <v>992693191</v>
      </c>
      <c r="O19" s="214">
        <v>20</v>
      </c>
      <c r="P19" s="208" t="s">
        <v>22</v>
      </c>
      <c r="Q19" s="208" t="s">
        <v>76</v>
      </c>
      <c r="R19" s="215"/>
      <c r="S19" s="208" t="s">
        <v>138</v>
      </c>
      <c r="T19" s="216">
        <v>105320378</v>
      </c>
      <c r="U19" s="219" t="s">
        <v>143</v>
      </c>
      <c r="V19" s="220"/>
    </row>
    <row r="20" spans="1:22" s="218" customFormat="1" ht="33" customHeight="1">
      <c r="A20" s="206">
        <v>15</v>
      </c>
      <c r="B20" s="207">
        <v>45342</v>
      </c>
      <c r="C20" s="208" t="s">
        <v>111</v>
      </c>
      <c r="D20" s="208" t="s">
        <v>146</v>
      </c>
      <c r="E20" s="209">
        <v>112580017</v>
      </c>
      <c r="F20" s="208" t="s">
        <v>151</v>
      </c>
      <c r="G20" s="210" t="s">
        <v>147</v>
      </c>
      <c r="H20" s="211">
        <v>419875</v>
      </c>
      <c r="I20" s="208" t="s">
        <v>76</v>
      </c>
      <c r="J20" s="210" t="s">
        <v>77</v>
      </c>
      <c r="K20" s="212">
        <v>45499</v>
      </c>
      <c r="L20" s="213" t="s">
        <v>148</v>
      </c>
      <c r="M20" s="213" t="s">
        <v>149</v>
      </c>
      <c r="N20" s="210">
        <v>985740091</v>
      </c>
      <c r="O20" s="214">
        <v>15</v>
      </c>
      <c r="P20" s="208" t="s">
        <v>22</v>
      </c>
      <c r="Q20" s="208" t="s">
        <v>76</v>
      </c>
      <c r="R20" s="215"/>
      <c r="S20" s="208" t="s">
        <v>146</v>
      </c>
      <c r="T20" s="216">
        <v>150644060</v>
      </c>
      <c r="U20" s="219" t="s">
        <v>150</v>
      </c>
      <c r="V20" s="220"/>
    </row>
    <row r="21" spans="1:22" s="218" customFormat="1" ht="33" customHeight="1">
      <c r="A21" s="206">
        <v>16</v>
      </c>
      <c r="B21" s="207">
        <v>45342</v>
      </c>
      <c r="C21" s="208" t="s">
        <v>111</v>
      </c>
      <c r="D21" s="208" t="s">
        <v>146</v>
      </c>
      <c r="E21" s="209">
        <v>111000051</v>
      </c>
      <c r="F21" s="208" t="s">
        <v>107</v>
      </c>
      <c r="G21" s="210" t="s">
        <v>152</v>
      </c>
      <c r="H21" s="211" t="s">
        <v>42</v>
      </c>
      <c r="I21" s="208" t="s">
        <v>76</v>
      </c>
      <c r="J21" s="210" t="s">
        <v>77</v>
      </c>
      <c r="K21" s="212">
        <v>45499</v>
      </c>
      <c r="L21" s="213" t="s">
        <v>148</v>
      </c>
      <c r="M21" s="213" t="s">
        <v>149</v>
      </c>
      <c r="N21" s="210">
        <v>985740091</v>
      </c>
      <c r="O21" s="214">
        <v>15</v>
      </c>
      <c r="P21" s="208" t="s">
        <v>22</v>
      </c>
      <c r="Q21" s="208" t="s">
        <v>76</v>
      </c>
      <c r="R21" s="215"/>
      <c r="S21" s="208" t="s">
        <v>146</v>
      </c>
      <c r="T21" s="216">
        <v>150644060</v>
      </c>
      <c r="U21" s="219" t="s">
        <v>150</v>
      </c>
      <c r="V21" s="220"/>
    </row>
    <row r="22" spans="1:22" s="218" customFormat="1" ht="33" customHeight="1">
      <c r="A22" s="206">
        <v>17</v>
      </c>
      <c r="B22" s="207">
        <v>45342</v>
      </c>
      <c r="C22" s="208" t="s">
        <v>111</v>
      </c>
      <c r="D22" s="208" t="s">
        <v>146</v>
      </c>
      <c r="E22" s="209">
        <v>40446702</v>
      </c>
      <c r="F22" s="208" t="s">
        <v>144</v>
      </c>
      <c r="G22" s="210" t="s">
        <v>153</v>
      </c>
      <c r="H22" s="211" t="s">
        <v>42</v>
      </c>
      <c r="I22" s="208" t="s">
        <v>76</v>
      </c>
      <c r="J22" s="210" t="s">
        <v>77</v>
      </c>
      <c r="K22" s="212">
        <v>45499</v>
      </c>
      <c r="L22" s="213" t="s">
        <v>148</v>
      </c>
      <c r="M22" s="213" t="s">
        <v>149</v>
      </c>
      <c r="N22" s="210">
        <v>985740091</v>
      </c>
      <c r="O22" s="214">
        <v>15</v>
      </c>
      <c r="P22" s="208" t="s">
        <v>22</v>
      </c>
      <c r="Q22" s="208" t="s">
        <v>76</v>
      </c>
      <c r="R22" s="215"/>
      <c r="S22" s="208" t="s">
        <v>146</v>
      </c>
      <c r="T22" s="216">
        <v>150644060</v>
      </c>
      <c r="U22" s="219" t="s">
        <v>150</v>
      </c>
      <c r="V22" s="220"/>
    </row>
    <row r="23" spans="1:22" s="218" customFormat="1" ht="33" customHeight="1">
      <c r="A23" s="206">
        <v>18</v>
      </c>
      <c r="B23" s="207">
        <v>45470</v>
      </c>
      <c r="C23" s="208" t="s">
        <v>111</v>
      </c>
      <c r="D23" s="208" t="s">
        <v>154</v>
      </c>
      <c r="E23" s="209">
        <v>112500048</v>
      </c>
      <c r="F23" s="208" t="s">
        <v>113</v>
      </c>
      <c r="G23" s="210" t="s">
        <v>155</v>
      </c>
      <c r="H23" s="211" t="s">
        <v>42</v>
      </c>
      <c r="I23" s="208" t="s">
        <v>76</v>
      </c>
      <c r="J23" s="210" t="s">
        <v>77</v>
      </c>
      <c r="K23" s="212">
        <v>45500</v>
      </c>
      <c r="L23" s="213" t="s">
        <v>156</v>
      </c>
      <c r="M23" s="213" t="s">
        <v>157</v>
      </c>
      <c r="N23" s="210">
        <v>985539645</v>
      </c>
      <c r="O23" s="214">
        <v>20</v>
      </c>
      <c r="P23" s="208" t="s">
        <v>22</v>
      </c>
      <c r="Q23" s="208" t="s">
        <v>76</v>
      </c>
      <c r="R23" s="215"/>
      <c r="S23" s="208" t="s">
        <v>154</v>
      </c>
      <c r="T23" s="216">
        <v>100021997</v>
      </c>
      <c r="U23" s="219" t="s">
        <v>158</v>
      </c>
      <c r="V23" s="220"/>
    </row>
    <row r="24" spans="1:22" s="218" customFormat="1" ht="33" customHeight="1">
      <c r="A24" s="206">
        <v>19</v>
      </c>
      <c r="B24" s="207">
        <v>45489</v>
      </c>
      <c r="C24" s="208" t="s">
        <v>161</v>
      </c>
      <c r="D24" s="208" t="s">
        <v>162</v>
      </c>
      <c r="E24" s="209">
        <v>112580027</v>
      </c>
      <c r="F24" s="208" t="s">
        <v>163</v>
      </c>
      <c r="G24" s="210" t="s">
        <v>164</v>
      </c>
      <c r="H24" s="211" t="s">
        <v>42</v>
      </c>
      <c r="I24" s="208" t="s">
        <v>76</v>
      </c>
      <c r="J24" s="210" t="s">
        <v>77</v>
      </c>
      <c r="K24" s="212">
        <v>45502</v>
      </c>
      <c r="L24" s="213" t="s">
        <v>165</v>
      </c>
      <c r="M24" s="213" t="s">
        <v>166</v>
      </c>
      <c r="N24" s="210">
        <v>959799823</v>
      </c>
      <c r="O24" s="214">
        <v>20</v>
      </c>
      <c r="P24" s="208" t="s">
        <v>22</v>
      </c>
      <c r="Q24" s="208" t="s">
        <v>76</v>
      </c>
      <c r="R24" s="215"/>
      <c r="S24" s="208" t="s">
        <v>162</v>
      </c>
      <c r="T24" s="216">
        <v>706287745</v>
      </c>
      <c r="U24" s="219" t="s">
        <v>167</v>
      </c>
      <c r="V24" s="220"/>
    </row>
    <row r="25" spans="1:22" s="218" customFormat="1" ht="33" customHeight="1">
      <c r="A25" s="206">
        <v>20</v>
      </c>
      <c r="B25" s="207">
        <v>45489</v>
      </c>
      <c r="C25" s="208" t="s">
        <v>161</v>
      </c>
      <c r="D25" s="208" t="s">
        <v>162</v>
      </c>
      <c r="E25" s="209">
        <v>111000051</v>
      </c>
      <c r="F25" s="208" t="s">
        <v>107</v>
      </c>
      <c r="G25" s="210" t="s">
        <v>168</v>
      </c>
      <c r="H25" s="211" t="s">
        <v>42</v>
      </c>
      <c r="I25" s="208" t="s">
        <v>76</v>
      </c>
      <c r="J25" s="210" t="s">
        <v>77</v>
      </c>
      <c r="K25" s="212">
        <v>45502</v>
      </c>
      <c r="L25" s="213" t="s">
        <v>165</v>
      </c>
      <c r="M25" s="213" t="s">
        <v>166</v>
      </c>
      <c r="N25" s="210">
        <v>959799823</v>
      </c>
      <c r="O25" s="214">
        <v>20</v>
      </c>
      <c r="P25" s="208" t="s">
        <v>22</v>
      </c>
      <c r="Q25" s="208" t="s">
        <v>76</v>
      </c>
      <c r="R25" s="215"/>
      <c r="S25" s="208" t="s">
        <v>162</v>
      </c>
      <c r="T25" s="216">
        <v>706287745</v>
      </c>
      <c r="U25" s="219" t="s">
        <v>167</v>
      </c>
      <c r="V25" s="220"/>
    </row>
    <row r="26" spans="1:22" s="218" customFormat="1" ht="33" customHeight="1">
      <c r="A26" s="206">
        <v>21</v>
      </c>
      <c r="B26" s="207">
        <v>45377</v>
      </c>
      <c r="C26" s="208" t="s">
        <v>78</v>
      </c>
      <c r="D26" s="208" t="s">
        <v>169</v>
      </c>
      <c r="E26" s="209">
        <v>111000051</v>
      </c>
      <c r="F26" s="208" t="s">
        <v>107</v>
      </c>
      <c r="G26" s="210" t="s">
        <v>171</v>
      </c>
      <c r="H26" s="211">
        <v>422620</v>
      </c>
      <c r="I26" s="208" t="s">
        <v>76</v>
      </c>
      <c r="J26" s="210" t="s">
        <v>77</v>
      </c>
      <c r="K26" s="212">
        <v>45503</v>
      </c>
      <c r="L26" s="213" t="s">
        <v>175</v>
      </c>
      <c r="M26" s="213" t="s">
        <v>176</v>
      </c>
      <c r="N26" s="210">
        <v>984488341</v>
      </c>
      <c r="O26" s="214">
        <v>15</v>
      </c>
      <c r="P26" s="208" t="s">
        <v>22</v>
      </c>
      <c r="Q26" s="208" t="s">
        <v>76</v>
      </c>
      <c r="R26" s="215"/>
      <c r="S26" s="208" t="s">
        <v>169</v>
      </c>
      <c r="T26" s="216">
        <v>190429032</v>
      </c>
      <c r="U26" s="219" t="s">
        <v>177</v>
      </c>
      <c r="V26" s="220"/>
    </row>
    <row r="27" spans="1:22" s="218" customFormat="1" ht="33" customHeight="1">
      <c r="A27" s="206">
        <v>22</v>
      </c>
      <c r="B27" s="207">
        <v>45377</v>
      </c>
      <c r="C27" s="208" t="s">
        <v>78</v>
      </c>
      <c r="D27" s="208" t="s">
        <v>169</v>
      </c>
      <c r="E27" s="209">
        <v>112570126</v>
      </c>
      <c r="F27" s="208" t="s">
        <v>170</v>
      </c>
      <c r="G27" s="210" t="s">
        <v>172</v>
      </c>
      <c r="H27" s="211">
        <v>42192</v>
      </c>
      <c r="I27" s="208" t="s">
        <v>76</v>
      </c>
      <c r="J27" s="210" t="s">
        <v>77</v>
      </c>
      <c r="K27" s="212">
        <v>45503</v>
      </c>
      <c r="L27" s="213" t="s">
        <v>175</v>
      </c>
      <c r="M27" s="213" t="s">
        <v>176</v>
      </c>
      <c r="N27" s="210">
        <v>984488341</v>
      </c>
      <c r="O27" s="214">
        <v>15</v>
      </c>
      <c r="P27" s="208" t="s">
        <v>22</v>
      </c>
      <c r="Q27" s="208" t="s">
        <v>76</v>
      </c>
      <c r="R27" s="215"/>
      <c r="S27" s="208" t="s">
        <v>169</v>
      </c>
      <c r="T27" s="216">
        <v>190429032</v>
      </c>
      <c r="U27" s="219" t="s">
        <v>177</v>
      </c>
      <c r="V27" s="220"/>
    </row>
    <row r="28" spans="1:22" s="218" customFormat="1" ht="33" customHeight="1">
      <c r="A28" s="206">
        <v>23</v>
      </c>
      <c r="B28" s="207">
        <v>45377</v>
      </c>
      <c r="C28" s="208" t="s">
        <v>78</v>
      </c>
      <c r="D28" s="208" t="s">
        <v>169</v>
      </c>
      <c r="E28" s="209">
        <v>112580027</v>
      </c>
      <c r="F28" s="208" t="s">
        <v>163</v>
      </c>
      <c r="G28" s="210" t="s">
        <v>173</v>
      </c>
      <c r="H28" s="211">
        <v>419117</v>
      </c>
      <c r="I28" s="208" t="s">
        <v>76</v>
      </c>
      <c r="J28" s="210" t="s">
        <v>77</v>
      </c>
      <c r="K28" s="212">
        <v>45503</v>
      </c>
      <c r="L28" s="213" t="s">
        <v>175</v>
      </c>
      <c r="M28" s="213" t="s">
        <v>176</v>
      </c>
      <c r="N28" s="210">
        <v>984488341</v>
      </c>
      <c r="O28" s="214">
        <v>15</v>
      </c>
      <c r="P28" s="208" t="s">
        <v>22</v>
      </c>
      <c r="Q28" s="208" t="s">
        <v>76</v>
      </c>
      <c r="R28" s="215"/>
      <c r="S28" s="208" t="s">
        <v>169</v>
      </c>
      <c r="T28" s="216">
        <v>190429032</v>
      </c>
      <c r="U28" s="219" t="s">
        <v>177</v>
      </c>
      <c r="V28" s="220"/>
    </row>
    <row r="29" spans="1:22" s="218" customFormat="1" ht="33" customHeight="1">
      <c r="A29" s="206">
        <v>24</v>
      </c>
      <c r="B29" s="207">
        <v>45377</v>
      </c>
      <c r="C29" s="208" t="s">
        <v>78</v>
      </c>
      <c r="D29" s="208" t="s">
        <v>169</v>
      </c>
      <c r="E29" s="209">
        <v>112580027</v>
      </c>
      <c r="F29" s="208" t="s">
        <v>163</v>
      </c>
      <c r="G29" s="210" t="s">
        <v>174</v>
      </c>
      <c r="H29" s="211">
        <v>415030</v>
      </c>
      <c r="I29" s="208" t="s">
        <v>76</v>
      </c>
      <c r="J29" s="210" t="s">
        <v>77</v>
      </c>
      <c r="K29" s="212">
        <v>45503</v>
      </c>
      <c r="L29" s="213" t="s">
        <v>175</v>
      </c>
      <c r="M29" s="213" t="s">
        <v>176</v>
      </c>
      <c r="N29" s="210">
        <v>984488341</v>
      </c>
      <c r="O29" s="214">
        <v>15</v>
      </c>
      <c r="P29" s="208" t="s">
        <v>22</v>
      </c>
      <c r="Q29" s="208" t="s">
        <v>76</v>
      </c>
      <c r="R29" s="215"/>
      <c r="S29" s="208" t="s">
        <v>169</v>
      </c>
      <c r="T29" s="216">
        <v>190429032</v>
      </c>
      <c r="U29" s="219" t="s">
        <v>177</v>
      </c>
      <c r="V29" s="220"/>
    </row>
    <row r="30" spans="1:22" s="218" customFormat="1" ht="33" customHeight="1">
      <c r="A30" s="206">
        <v>25</v>
      </c>
      <c r="B30" s="207">
        <v>45441</v>
      </c>
      <c r="C30" s="208" t="s">
        <v>178</v>
      </c>
      <c r="D30" s="208" t="s">
        <v>179</v>
      </c>
      <c r="E30" s="209">
        <v>40467305</v>
      </c>
      <c r="F30" s="208" t="s">
        <v>180</v>
      </c>
      <c r="G30" s="210" t="s">
        <v>182</v>
      </c>
      <c r="H30" s="211" t="s">
        <v>42</v>
      </c>
      <c r="I30" s="208" t="s">
        <v>76</v>
      </c>
      <c r="J30" s="210" t="s">
        <v>77</v>
      </c>
      <c r="K30" s="212">
        <v>45504</v>
      </c>
      <c r="L30" s="213" t="s">
        <v>186</v>
      </c>
      <c r="M30" s="213" t="s">
        <v>187</v>
      </c>
      <c r="N30" s="210">
        <v>987504224</v>
      </c>
      <c r="O30" s="214">
        <v>15</v>
      </c>
      <c r="P30" s="208" t="s">
        <v>22</v>
      </c>
      <c r="Q30" s="208" t="s">
        <v>76</v>
      </c>
      <c r="R30" s="215"/>
      <c r="S30" s="208" t="s">
        <v>179</v>
      </c>
      <c r="T30" s="216">
        <v>104036355</v>
      </c>
      <c r="U30" s="219" t="s">
        <v>188</v>
      </c>
      <c r="V30" s="220"/>
    </row>
    <row r="31" spans="1:22" s="218" customFormat="1" ht="33" customHeight="1">
      <c r="A31" s="206">
        <v>26</v>
      </c>
      <c r="B31" s="207">
        <v>45441</v>
      </c>
      <c r="C31" s="208" t="s">
        <v>178</v>
      </c>
      <c r="D31" s="208" t="s">
        <v>179</v>
      </c>
      <c r="E31" s="209">
        <v>40467305</v>
      </c>
      <c r="F31" s="208" t="s">
        <v>180</v>
      </c>
      <c r="G31" s="210" t="s">
        <v>183</v>
      </c>
      <c r="H31" s="211" t="s">
        <v>42</v>
      </c>
      <c r="I31" s="208" t="s">
        <v>76</v>
      </c>
      <c r="J31" s="210" t="s">
        <v>77</v>
      </c>
      <c r="K31" s="212">
        <v>45504</v>
      </c>
      <c r="L31" s="213" t="s">
        <v>186</v>
      </c>
      <c r="M31" s="213" t="s">
        <v>187</v>
      </c>
      <c r="N31" s="210">
        <v>987504224</v>
      </c>
      <c r="O31" s="214">
        <v>15</v>
      </c>
      <c r="P31" s="208" t="s">
        <v>22</v>
      </c>
      <c r="Q31" s="208" t="s">
        <v>76</v>
      </c>
      <c r="R31" s="215"/>
      <c r="S31" s="208" t="s">
        <v>179</v>
      </c>
      <c r="T31" s="216">
        <v>104036355</v>
      </c>
      <c r="U31" s="219" t="s">
        <v>188</v>
      </c>
      <c r="V31" s="220"/>
    </row>
    <row r="32" spans="1:22" s="218" customFormat="1" ht="33" customHeight="1">
      <c r="A32" s="206">
        <v>27</v>
      </c>
      <c r="B32" s="207">
        <v>45441</v>
      </c>
      <c r="C32" s="208" t="s">
        <v>178</v>
      </c>
      <c r="D32" s="208" t="s">
        <v>179</v>
      </c>
      <c r="E32" s="209">
        <v>40467305</v>
      </c>
      <c r="F32" s="208" t="s">
        <v>180</v>
      </c>
      <c r="G32" s="210" t="s">
        <v>184</v>
      </c>
      <c r="H32" s="211" t="s">
        <v>42</v>
      </c>
      <c r="I32" s="208" t="s">
        <v>76</v>
      </c>
      <c r="J32" s="210" t="s">
        <v>77</v>
      </c>
      <c r="K32" s="212">
        <v>45504</v>
      </c>
      <c r="L32" s="213" t="s">
        <v>186</v>
      </c>
      <c r="M32" s="213" t="s">
        <v>187</v>
      </c>
      <c r="N32" s="210">
        <v>987504224</v>
      </c>
      <c r="O32" s="214">
        <v>15</v>
      </c>
      <c r="P32" s="208" t="s">
        <v>22</v>
      </c>
      <c r="Q32" s="208" t="s">
        <v>76</v>
      </c>
      <c r="R32" s="215"/>
      <c r="S32" s="208" t="s">
        <v>179</v>
      </c>
      <c r="T32" s="216">
        <v>104036355</v>
      </c>
      <c r="U32" s="219" t="s">
        <v>188</v>
      </c>
      <c r="V32" s="220"/>
    </row>
    <row r="33" spans="1:22" s="218" customFormat="1" ht="33" customHeight="1">
      <c r="A33" s="206">
        <v>28</v>
      </c>
      <c r="B33" s="207">
        <v>45441</v>
      </c>
      <c r="C33" s="208" t="s">
        <v>178</v>
      </c>
      <c r="D33" s="208" t="s">
        <v>179</v>
      </c>
      <c r="E33" s="209">
        <v>40466111</v>
      </c>
      <c r="F33" s="208" t="s">
        <v>181</v>
      </c>
      <c r="G33" s="210" t="s">
        <v>185</v>
      </c>
      <c r="H33" s="211" t="s">
        <v>42</v>
      </c>
      <c r="I33" s="208" t="s">
        <v>76</v>
      </c>
      <c r="J33" s="210" t="s">
        <v>77</v>
      </c>
      <c r="K33" s="212">
        <v>45504</v>
      </c>
      <c r="L33" s="213" t="s">
        <v>186</v>
      </c>
      <c r="M33" s="213" t="s">
        <v>187</v>
      </c>
      <c r="N33" s="210">
        <v>987504224</v>
      </c>
      <c r="O33" s="214">
        <v>15</v>
      </c>
      <c r="P33" s="208" t="s">
        <v>22</v>
      </c>
      <c r="Q33" s="208" t="s">
        <v>76</v>
      </c>
      <c r="R33" s="215"/>
      <c r="S33" s="208" t="s">
        <v>179</v>
      </c>
      <c r="T33" s="216">
        <v>104036355</v>
      </c>
      <c r="U33" s="219" t="s">
        <v>188</v>
      </c>
      <c r="V33" s="220"/>
    </row>
    <row r="34" spans="1:22" s="218" customFormat="1" ht="33" customHeight="1">
      <c r="A34" s="206">
        <v>29</v>
      </c>
      <c r="B34" s="207">
        <v>45360</v>
      </c>
      <c r="C34" s="208" t="s">
        <v>78</v>
      </c>
      <c r="D34" s="208" t="s">
        <v>189</v>
      </c>
      <c r="E34" s="209">
        <v>40584012</v>
      </c>
      <c r="F34" s="208" t="s">
        <v>190</v>
      </c>
      <c r="G34" s="210" t="s">
        <v>191</v>
      </c>
      <c r="H34" s="211" t="s">
        <v>42</v>
      </c>
      <c r="I34" s="208" t="s">
        <v>76</v>
      </c>
      <c r="J34" s="210" t="s">
        <v>77</v>
      </c>
      <c r="K34" s="212">
        <v>45504</v>
      </c>
      <c r="L34" s="213" t="s">
        <v>192</v>
      </c>
      <c r="M34" s="213" t="s">
        <v>142</v>
      </c>
      <c r="N34" s="210">
        <v>995856951</v>
      </c>
      <c r="O34" s="214">
        <v>15</v>
      </c>
      <c r="P34" s="208" t="s">
        <v>22</v>
      </c>
      <c r="Q34" s="208" t="s">
        <v>76</v>
      </c>
      <c r="R34" s="215"/>
      <c r="S34" s="208" t="s">
        <v>189</v>
      </c>
      <c r="T34" s="216">
        <v>104838784</v>
      </c>
      <c r="U34" s="219" t="s">
        <v>193</v>
      </c>
      <c r="V34" s="220"/>
    </row>
    <row r="35" spans="1:22" s="218" customFormat="1" ht="33" customHeight="1">
      <c r="A35" s="206">
        <v>30</v>
      </c>
      <c r="B35" s="207">
        <v>45360</v>
      </c>
      <c r="C35" s="208" t="s">
        <v>78</v>
      </c>
      <c r="D35" s="208" t="s">
        <v>189</v>
      </c>
      <c r="E35" s="209">
        <v>41560142</v>
      </c>
      <c r="F35" s="208" t="s">
        <v>194</v>
      </c>
      <c r="G35" s="210" t="s">
        <v>195</v>
      </c>
      <c r="H35" s="211" t="s">
        <v>42</v>
      </c>
      <c r="I35" s="208" t="s">
        <v>76</v>
      </c>
      <c r="J35" s="210" t="s">
        <v>77</v>
      </c>
      <c r="K35" s="212">
        <v>45504</v>
      </c>
      <c r="L35" s="213" t="s">
        <v>192</v>
      </c>
      <c r="M35" s="213" t="s">
        <v>142</v>
      </c>
      <c r="N35" s="210">
        <v>995856951</v>
      </c>
      <c r="O35" s="214">
        <v>15</v>
      </c>
      <c r="P35" s="208" t="s">
        <v>22</v>
      </c>
      <c r="Q35" s="208" t="s">
        <v>76</v>
      </c>
      <c r="R35" s="215"/>
      <c r="S35" s="208" t="s">
        <v>189</v>
      </c>
      <c r="T35" s="216">
        <v>104838784</v>
      </c>
      <c r="U35" s="219" t="s">
        <v>193</v>
      </c>
      <c r="V35" s="220"/>
    </row>
    <row r="36" spans="1:22" s="218" customFormat="1" ht="33" customHeight="1">
      <c r="A36" s="206">
        <v>31</v>
      </c>
      <c r="B36" s="207">
        <v>45360</v>
      </c>
      <c r="C36" s="208" t="s">
        <v>78</v>
      </c>
      <c r="D36" s="208" t="s">
        <v>189</v>
      </c>
      <c r="E36" s="209">
        <v>112520025</v>
      </c>
      <c r="F36" s="208" t="s">
        <v>139</v>
      </c>
      <c r="G36" s="210" t="s">
        <v>196</v>
      </c>
      <c r="H36" s="211">
        <v>412895</v>
      </c>
      <c r="I36" s="208" t="s">
        <v>76</v>
      </c>
      <c r="J36" s="210" t="s">
        <v>77</v>
      </c>
      <c r="K36" s="212">
        <v>45504</v>
      </c>
      <c r="L36" s="213" t="s">
        <v>192</v>
      </c>
      <c r="M36" s="213" t="s">
        <v>142</v>
      </c>
      <c r="N36" s="210">
        <v>995856951</v>
      </c>
      <c r="O36" s="214">
        <v>15</v>
      </c>
      <c r="P36" s="208" t="s">
        <v>22</v>
      </c>
      <c r="Q36" s="208" t="s">
        <v>76</v>
      </c>
      <c r="R36" s="215"/>
      <c r="S36" s="208" t="s">
        <v>189</v>
      </c>
      <c r="T36" s="216">
        <v>104838784</v>
      </c>
      <c r="U36" s="219" t="s">
        <v>193</v>
      </c>
      <c r="V36" s="220"/>
    </row>
    <row r="37" spans="1:22" s="218" customFormat="1" ht="33" customHeight="1">
      <c r="A37" s="206">
        <v>32</v>
      </c>
      <c r="B37" s="207">
        <v>45377</v>
      </c>
      <c r="C37" s="208" t="s">
        <v>178</v>
      </c>
      <c r="D37" s="208" t="s">
        <v>197</v>
      </c>
      <c r="E37" s="209">
        <v>40483180</v>
      </c>
      <c r="F37" s="208" t="s">
        <v>198</v>
      </c>
      <c r="G37" s="210" t="s">
        <v>199</v>
      </c>
      <c r="H37" s="211" t="s">
        <v>42</v>
      </c>
      <c r="I37" s="208" t="s">
        <v>76</v>
      </c>
      <c r="J37" s="210" t="s">
        <v>77</v>
      </c>
      <c r="K37" s="212">
        <v>45505</v>
      </c>
      <c r="L37" s="213" t="s">
        <v>200</v>
      </c>
      <c r="M37" s="213" t="s">
        <v>201</v>
      </c>
      <c r="N37" s="210">
        <v>959904529</v>
      </c>
      <c r="O37" s="214">
        <v>30</v>
      </c>
      <c r="P37" s="208" t="s">
        <v>22</v>
      </c>
      <c r="Q37" s="208" t="s">
        <v>76</v>
      </c>
      <c r="R37" s="215"/>
      <c r="S37" s="208" t="s">
        <v>197</v>
      </c>
      <c r="T37" s="216">
        <v>101184315</v>
      </c>
      <c r="U37" s="219" t="s">
        <v>202</v>
      </c>
      <c r="V37" s="220"/>
    </row>
    <row r="38" spans="1:22" s="218" customFormat="1" ht="33" customHeight="1">
      <c r="A38" s="206">
        <v>33</v>
      </c>
      <c r="B38" s="207">
        <v>45377</v>
      </c>
      <c r="C38" s="208" t="s">
        <v>178</v>
      </c>
      <c r="D38" s="208" t="s">
        <v>197</v>
      </c>
      <c r="E38" s="209">
        <v>112500046</v>
      </c>
      <c r="F38" s="208" t="s">
        <v>203</v>
      </c>
      <c r="G38" s="210" t="s">
        <v>199</v>
      </c>
      <c r="H38" s="211" t="s">
        <v>42</v>
      </c>
      <c r="I38" s="208" t="s">
        <v>76</v>
      </c>
      <c r="J38" s="210" t="s">
        <v>77</v>
      </c>
      <c r="K38" s="212">
        <v>45505</v>
      </c>
      <c r="L38" s="213" t="s">
        <v>200</v>
      </c>
      <c r="M38" s="213" t="s">
        <v>201</v>
      </c>
      <c r="N38" s="210">
        <v>959904529</v>
      </c>
      <c r="O38" s="214">
        <v>20</v>
      </c>
      <c r="P38" s="208" t="s">
        <v>22</v>
      </c>
      <c r="Q38" s="208" t="s">
        <v>76</v>
      </c>
      <c r="R38" s="215"/>
      <c r="S38" s="208" t="s">
        <v>197</v>
      </c>
      <c r="T38" s="216">
        <v>101184315</v>
      </c>
      <c r="U38" s="219" t="s">
        <v>202</v>
      </c>
      <c r="V38" s="220"/>
    </row>
    <row r="39" spans="1:22" s="218" customFormat="1" ht="33" customHeight="1">
      <c r="A39" s="206">
        <v>34</v>
      </c>
      <c r="B39" s="207">
        <v>45464</v>
      </c>
      <c r="C39" s="208" t="s">
        <v>78</v>
      </c>
      <c r="D39" s="208" t="s">
        <v>204</v>
      </c>
      <c r="E39" s="209">
        <v>111000051</v>
      </c>
      <c r="F39" s="208" t="s">
        <v>107</v>
      </c>
      <c r="G39" s="210" t="s">
        <v>205</v>
      </c>
      <c r="H39" s="211" t="s">
        <v>42</v>
      </c>
      <c r="I39" s="208" t="s">
        <v>76</v>
      </c>
      <c r="J39" s="210" t="s">
        <v>77</v>
      </c>
      <c r="K39" s="212">
        <v>45506</v>
      </c>
      <c r="L39" s="213" t="s">
        <v>206</v>
      </c>
      <c r="M39" s="213" t="s">
        <v>207</v>
      </c>
      <c r="N39" s="210">
        <v>968382719</v>
      </c>
      <c r="O39" s="214">
        <v>15</v>
      </c>
      <c r="P39" s="208" t="s">
        <v>22</v>
      </c>
      <c r="Q39" s="208" t="s">
        <v>76</v>
      </c>
      <c r="R39" s="215"/>
      <c r="S39" s="208" t="s">
        <v>204</v>
      </c>
      <c r="T39" s="216">
        <v>106901754</v>
      </c>
      <c r="U39" s="219" t="s">
        <v>208</v>
      </c>
      <c r="V39" s="220"/>
    </row>
    <row r="40" spans="1:22" s="218" customFormat="1" ht="33" customHeight="1">
      <c r="A40" s="206">
        <v>35</v>
      </c>
      <c r="B40" s="207">
        <v>45464</v>
      </c>
      <c r="C40" s="208" t="s">
        <v>78</v>
      </c>
      <c r="D40" s="208" t="s">
        <v>204</v>
      </c>
      <c r="E40" s="209">
        <v>40466111</v>
      </c>
      <c r="F40" s="208" t="s">
        <v>181</v>
      </c>
      <c r="G40" s="210" t="s">
        <v>210</v>
      </c>
      <c r="H40" s="211" t="s">
        <v>42</v>
      </c>
      <c r="I40" s="208" t="s">
        <v>76</v>
      </c>
      <c r="J40" s="210" t="s">
        <v>77</v>
      </c>
      <c r="K40" s="212">
        <v>45506</v>
      </c>
      <c r="L40" s="213" t="s">
        <v>206</v>
      </c>
      <c r="M40" s="213" t="s">
        <v>207</v>
      </c>
      <c r="N40" s="210">
        <v>968382719</v>
      </c>
      <c r="O40" s="214">
        <v>15</v>
      </c>
      <c r="P40" s="208" t="s">
        <v>22</v>
      </c>
      <c r="Q40" s="208" t="s">
        <v>76</v>
      </c>
      <c r="R40" s="215"/>
      <c r="S40" s="208" t="s">
        <v>204</v>
      </c>
      <c r="T40" s="216">
        <v>106901754</v>
      </c>
      <c r="U40" s="219" t="s">
        <v>208</v>
      </c>
      <c r="V40" s="220"/>
    </row>
    <row r="41" spans="1:22" s="218" customFormat="1" ht="33" customHeight="1">
      <c r="A41" s="206">
        <v>36</v>
      </c>
      <c r="B41" s="207">
        <v>45464</v>
      </c>
      <c r="C41" s="208" t="s">
        <v>78</v>
      </c>
      <c r="D41" s="208" t="s">
        <v>204</v>
      </c>
      <c r="E41" s="209">
        <v>112570068</v>
      </c>
      <c r="F41" s="208" t="s">
        <v>209</v>
      </c>
      <c r="G41" s="210" t="s">
        <v>211</v>
      </c>
      <c r="H41" s="211" t="s">
        <v>42</v>
      </c>
      <c r="I41" s="208" t="s">
        <v>76</v>
      </c>
      <c r="J41" s="210" t="s">
        <v>77</v>
      </c>
      <c r="K41" s="212">
        <v>45506</v>
      </c>
      <c r="L41" s="213" t="s">
        <v>206</v>
      </c>
      <c r="M41" s="213" t="s">
        <v>207</v>
      </c>
      <c r="N41" s="210">
        <v>968382719</v>
      </c>
      <c r="O41" s="214">
        <v>15</v>
      </c>
      <c r="P41" s="208" t="s">
        <v>22</v>
      </c>
      <c r="Q41" s="208" t="s">
        <v>76</v>
      </c>
      <c r="R41" s="215"/>
      <c r="S41" s="208" t="s">
        <v>204</v>
      </c>
      <c r="T41" s="216">
        <v>106901754</v>
      </c>
      <c r="U41" s="219" t="s">
        <v>208</v>
      </c>
      <c r="V41" s="220"/>
    </row>
    <row r="42" spans="1:22" s="218" customFormat="1" ht="33" customHeight="1">
      <c r="A42" s="206">
        <v>37</v>
      </c>
      <c r="B42" s="207">
        <v>45497</v>
      </c>
      <c r="C42" s="208" t="s">
        <v>212</v>
      </c>
      <c r="D42" s="208" t="s">
        <v>213</v>
      </c>
      <c r="E42" s="209">
        <v>111010028</v>
      </c>
      <c r="F42" s="208" t="s">
        <v>214</v>
      </c>
      <c r="G42" s="210" t="s">
        <v>216</v>
      </c>
      <c r="H42" s="211">
        <v>381668</v>
      </c>
      <c r="I42" s="208" t="s">
        <v>76</v>
      </c>
      <c r="J42" s="210" t="s">
        <v>77</v>
      </c>
      <c r="K42" s="212">
        <v>45510</v>
      </c>
      <c r="L42" s="213" t="s">
        <v>218</v>
      </c>
      <c r="M42" s="213" t="s">
        <v>219</v>
      </c>
      <c r="N42" s="210">
        <v>998622762</v>
      </c>
      <c r="O42" s="214">
        <v>20</v>
      </c>
      <c r="P42" s="208" t="s">
        <v>22</v>
      </c>
      <c r="Q42" s="208" t="s">
        <v>76</v>
      </c>
      <c r="R42" s="215"/>
      <c r="S42" s="208" t="s">
        <v>213</v>
      </c>
      <c r="T42" s="216">
        <v>1400120570</v>
      </c>
      <c r="U42" s="219" t="s">
        <v>220</v>
      </c>
      <c r="V42" s="220"/>
    </row>
    <row r="43" spans="1:22" s="218" customFormat="1" ht="33" customHeight="1">
      <c r="A43" s="206">
        <v>38</v>
      </c>
      <c r="B43" s="207">
        <v>45497</v>
      </c>
      <c r="C43" s="208" t="s">
        <v>212</v>
      </c>
      <c r="D43" s="208" t="s">
        <v>213</v>
      </c>
      <c r="E43" s="209">
        <v>111910000</v>
      </c>
      <c r="F43" s="208" t="s">
        <v>215</v>
      </c>
      <c r="G43" s="210" t="s">
        <v>217</v>
      </c>
      <c r="H43" s="211">
        <v>412908</v>
      </c>
      <c r="I43" s="208" t="s">
        <v>76</v>
      </c>
      <c r="J43" s="210" t="s">
        <v>77</v>
      </c>
      <c r="K43" s="212">
        <v>45510</v>
      </c>
      <c r="L43" s="213" t="s">
        <v>218</v>
      </c>
      <c r="M43" s="213" t="s">
        <v>219</v>
      </c>
      <c r="N43" s="210">
        <v>998622762</v>
      </c>
      <c r="O43" s="214">
        <v>20</v>
      </c>
      <c r="P43" s="208" t="s">
        <v>22</v>
      </c>
      <c r="Q43" s="208" t="s">
        <v>76</v>
      </c>
      <c r="R43" s="215"/>
      <c r="S43" s="208" t="s">
        <v>213</v>
      </c>
      <c r="T43" s="216">
        <v>1400120570</v>
      </c>
      <c r="U43" s="219" t="s">
        <v>220</v>
      </c>
      <c r="V43" s="220"/>
    </row>
    <row r="44" spans="1:22" s="218" customFormat="1" ht="33" customHeight="1">
      <c r="A44" s="206">
        <v>39</v>
      </c>
      <c r="B44" s="207">
        <v>45490</v>
      </c>
      <c r="C44" s="208" t="s">
        <v>178</v>
      </c>
      <c r="D44" s="208" t="s">
        <v>221</v>
      </c>
      <c r="E44" s="209">
        <v>111010028</v>
      </c>
      <c r="F44" s="208" t="s">
        <v>222</v>
      </c>
      <c r="G44" s="210" t="s">
        <v>225</v>
      </c>
      <c r="H44" s="211" t="s">
        <v>42</v>
      </c>
      <c r="I44" s="208" t="s">
        <v>76</v>
      </c>
      <c r="J44" s="210" t="s">
        <v>77</v>
      </c>
      <c r="K44" s="212">
        <v>45510</v>
      </c>
      <c r="L44" s="213" t="s">
        <v>229</v>
      </c>
      <c r="M44" s="213" t="s">
        <v>230</v>
      </c>
      <c r="N44" s="210">
        <v>987080676</v>
      </c>
      <c r="O44" s="214">
        <v>15</v>
      </c>
      <c r="P44" s="208" t="s">
        <v>22</v>
      </c>
      <c r="Q44" s="208" t="s">
        <v>76</v>
      </c>
      <c r="R44" s="215"/>
      <c r="S44" s="208" t="s">
        <v>221</v>
      </c>
      <c r="T44" s="216">
        <v>190339149</v>
      </c>
      <c r="U44" s="219" t="s">
        <v>231</v>
      </c>
      <c r="V44" s="220"/>
    </row>
    <row r="45" spans="1:22" s="218" customFormat="1" ht="33" customHeight="1">
      <c r="A45" s="206">
        <v>40</v>
      </c>
      <c r="B45" s="207">
        <v>45490</v>
      </c>
      <c r="C45" s="208" t="s">
        <v>178</v>
      </c>
      <c r="D45" s="208" t="s">
        <v>221</v>
      </c>
      <c r="E45" s="209">
        <v>40584105</v>
      </c>
      <c r="F45" s="208" t="s">
        <v>223</v>
      </c>
      <c r="G45" s="210" t="s">
        <v>226</v>
      </c>
      <c r="H45" s="211" t="s">
        <v>42</v>
      </c>
      <c r="I45" s="208" t="s">
        <v>76</v>
      </c>
      <c r="J45" s="210" t="s">
        <v>77</v>
      </c>
      <c r="K45" s="212">
        <v>45510</v>
      </c>
      <c r="L45" s="213" t="s">
        <v>229</v>
      </c>
      <c r="M45" s="213" t="s">
        <v>230</v>
      </c>
      <c r="N45" s="210">
        <v>987080676</v>
      </c>
      <c r="O45" s="214">
        <v>15</v>
      </c>
      <c r="P45" s="208" t="s">
        <v>22</v>
      </c>
      <c r="Q45" s="208" t="s">
        <v>76</v>
      </c>
      <c r="R45" s="215"/>
      <c r="S45" s="208" t="s">
        <v>221</v>
      </c>
      <c r="T45" s="216">
        <v>190339149</v>
      </c>
      <c r="U45" s="219" t="s">
        <v>231</v>
      </c>
      <c r="V45" s="220"/>
    </row>
    <row r="46" spans="1:22" s="218" customFormat="1" ht="33" customHeight="1">
      <c r="A46" s="206">
        <v>41</v>
      </c>
      <c r="B46" s="207">
        <v>45490</v>
      </c>
      <c r="C46" s="208" t="s">
        <v>178</v>
      </c>
      <c r="D46" s="208" t="s">
        <v>221</v>
      </c>
      <c r="E46" s="209">
        <v>40480321</v>
      </c>
      <c r="F46" s="208" t="s">
        <v>224</v>
      </c>
      <c r="G46" s="210" t="s">
        <v>227</v>
      </c>
      <c r="H46" s="211" t="s">
        <v>42</v>
      </c>
      <c r="I46" s="208" t="s">
        <v>76</v>
      </c>
      <c r="J46" s="210" t="s">
        <v>77</v>
      </c>
      <c r="K46" s="212">
        <v>45510</v>
      </c>
      <c r="L46" s="213" t="s">
        <v>229</v>
      </c>
      <c r="M46" s="213" t="s">
        <v>230</v>
      </c>
      <c r="N46" s="210">
        <v>987080676</v>
      </c>
      <c r="O46" s="214">
        <v>30</v>
      </c>
      <c r="P46" s="208" t="s">
        <v>22</v>
      </c>
      <c r="Q46" s="208" t="s">
        <v>76</v>
      </c>
      <c r="R46" s="215"/>
      <c r="S46" s="208" t="s">
        <v>221</v>
      </c>
      <c r="T46" s="216">
        <v>190339149</v>
      </c>
      <c r="U46" s="219" t="s">
        <v>231</v>
      </c>
      <c r="V46" s="220"/>
    </row>
    <row r="47" spans="1:22" s="218" customFormat="1" ht="33" customHeight="1">
      <c r="A47" s="206">
        <v>42</v>
      </c>
      <c r="B47" s="207">
        <v>45490</v>
      </c>
      <c r="C47" s="208" t="s">
        <v>178</v>
      </c>
      <c r="D47" s="208" t="s">
        <v>221</v>
      </c>
      <c r="E47" s="209">
        <v>112500048</v>
      </c>
      <c r="F47" s="208" t="s">
        <v>113</v>
      </c>
      <c r="G47" s="210" t="s">
        <v>228</v>
      </c>
      <c r="H47" s="211" t="s">
        <v>42</v>
      </c>
      <c r="I47" s="208" t="s">
        <v>76</v>
      </c>
      <c r="J47" s="210" t="s">
        <v>77</v>
      </c>
      <c r="K47" s="212">
        <v>45510</v>
      </c>
      <c r="L47" s="213" t="s">
        <v>229</v>
      </c>
      <c r="M47" s="213" t="s">
        <v>230</v>
      </c>
      <c r="N47" s="210">
        <v>987080676</v>
      </c>
      <c r="O47" s="214">
        <v>15</v>
      </c>
      <c r="P47" s="208" t="s">
        <v>22</v>
      </c>
      <c r="Q47" s="208" t="s">
        <v>76</v>
      </c>
      <c r="R47" s="215"/>
      <c r="S47" s="208" t="s">
        <v>221</v>
      </c>
      <c r="T47" s="216">
        <v>190339149</v>
      </c>
      <c r="U47" s="219" t="s">
        <v>231</v>
      </c>
      <c r="V47" s="220"/>
    </row>
    <row r="48" spans="1:22" s="218" customFormat="1" ht="33" customHeight="1">
      <c r="A48" s="206">
        <v>43</v>
      </c>
      <c r="B48" s="207">
        <v>45496</v>
      </c>
      <c r="C48" s="208" t="s">
        <v>137</v>
      </c>
      <c r="D48" s="208" t="s">
        <v>232</v>
      </c>
      <c r="E48" s="209">
        <v>112500046</v>
      </c>
      <c r="F48" s="208" t="s">
        <v>203</v>
      </c>
      <c r="G48" s="210" t="s">
        <v>233</v>
      </c>
      <c r="H48" s="211" t="s">
        <v>42</v>
      </c>
      <c r="I48" s="208" t="s">
        <v>76</v>
      </c>
      <c r="J48" s="210" t="s">
        <v>77</v>
      </c>
      <c r="K48" s="212">
        <v>45511</v>
      </c>
      <c r="L48" s="213" t="s">
        <v>236</v>
      </c>
      <c r="M48" s="213" t="s">
        <v>237</v>
      </c>
      <c r="N48" s="210">
        <v>985076931</v>
      </c>
      <c r="O48" s="214">
        <v>20</v>
      </c>
      <c r="P48" s="208" t="s">
        <v>22</v>
      </c>
      <c r="Q48" s="208" t="s">
        <v>76</v>
      </c>
      <c r="R48" s="215"/>
      <c r="S48" s="208" t="s">
        <v>232</v>
      </c>
      <c r="T48" s="216">
        <v>104860754</v>
      </c>
      <c r="U48" s="219" t="s">
        <v>238</v>
      </c>
      <c r="V48" s="220"/>
    </row>
    <row r="49" spans="1:22" s="218" customFormat="1" ht="33" customHeight="1">
      <c r="A49" s="206">
        <v>44</v>
      </c>
      <c r="B49" s="207">
        <v>45496</v>
      </c>
      <c r="C49" s="208" t="s">
        <v>137</v>
      </c>
      <c r="D49" s="208" t="s">
        <v>232</v>
      </c>
      <c r="E49" s="209">
        <v>112950020</v>
      </c>
      <c r="F49" s="208" t="s">
        <v>234</v>
      </c>
      <c r="G49" s="210" t="s">
        <v>235</v>
      </c>
      <c r="H49" s="211" t="s">
        <v>42</v>
      </c>
      <c r="I49" s="208" t="s">
        <v>76</v>
      </c>
      <c r="J49" s="210" t="s">
        <v>77</v>
      </c>
      <c r="K49" s="212">
        <v>45511</v>
      </c>
      <c r="L49" s="213" t="s">
        <v>236</v>
      </c>
      <c r="M49" s="213" t="s">
        <v>237</v>
      </c>
      <c r="N49" s="210">
        <v>985076931</v>
      </c>
      <c r="O49" s="214">
        <v>20</v>
      </c>
      <c r="P49" s="208" t="s">
        <v>22</v>
      </c>
      <c r="Q49" s="208" t="s">
        <v>76</v>
      </c>
      <c r="R49" s="215"/>
      <c r="S49" s="208" t="s">
        <v>232</v>
      </c>
      <c r="T49" s="216">
        <v>104860754</v>
      </c>
      <c r="U49" s="219" t="s">
        <v>238</v>
      </c>
      <c r="V49" s="220"/>
    </row>
    <row r="50" spans="1:22" s="218" customFormat="1" ht="33" customHeight="1">
      <c r="A50" s="206">
        <v>45</v>
      </c>
      <c r="B50" s="207">
        <v>45407</v>
      </c>
      <c r="C50" s="208" t="s">
        <v>100</v>
      </c>
      <c r="D50" s="208" t="s">
        <v>239</v>
      </c>
      <c r="E50" s="209">
        <v>111000050</v>
      </c>
      <c r="F50" s="208" t="s">
        <v>240</v>
      </c>
      <c r="G50" s="210" t="s">
        <v>242</v>
      </c>
      <c r="H50" s="211" t="s">
        <v>42</v>
      </c>
      <c r="I50" s="208" t="s">
        <v>76</v>
      </c>
      <c r="J50" s="210" t="s">
        <v>77</v>
      </c>
      <c r="K50" s="212">
        <v>45511</v>
      </c>
      <c r="L50" s="213" t="s">
        <v>244</v>
      </c>
      <c r="M50" s="213" t="s">
        <v>166</v>
      </c>
      <c r="N50" s="210">
        <v>987741433</v>
      </c>
      <c r="O50" s="214">
        <v>20</v>
      </c>
      <c r="P50" s="208" t="s">
        <v>22</v>
      </c>
      <c r="Q50" s="208" t="s">
        <v>76</v>
      </c>
      <c r="R50" s="215"/>
      <c r="S50" s="208" t="s">
        <v>239</v>
      </c>
      <c r="T50" s="216">
        <v>104847462</v>
      </c>
      <c r="U50" s="219" t="s">
        <v>245</v>
      </c>
      <c r="V50" s="220"/>
    </row>
    <row r="51" spans="1:22" s="218" customFormat="1" ht="33" customHeight="1">
      <c r="A51" s="206">
        <v>46</v>
      </c>
      <c r="B51" s="207">
        <v>45407</v>
      </c>
      <c r="C51" s="208" t="s">
        <v>100</v>
      </c>
      <c r="D51" s="208" t="s">
        <v>239</v>
      </c>
      <c r="E51" s="209">
        <v>112730000</v>
      </c>
      <c r="F51" s="208" t="s">
        <v>241</v>
      </c>
      <c r="G51" s="210" t="s">
        <v>243</v>
      </c>
      <c r="H51" s="211" t="s">
        <v>42</v>
      </c>
      <c r="I51" s="208" t="s">
        <v>76</v>
      </c>
      <c r="J51" s="210" t="s">
        <v>77</v>
      </c>
      <c r="K51" s="212">
        <v>45511</v>
      </c>
      <c r="L51" s="213" t="s">
        <v>244</v>
      </c>
      <c r="M51" s="213" t="s">
        <v>166</v>
      </c>
      <c r="N51" s="210">
        <v>987741433</v>
      </c>
      <c r="O51" s="214">
        <v>20</v>
      </c>
      <c r="P51" s="208" t="s">
        <v>22</v>
      </c>
      <c r="Q51" s="208" t="s">
        <v>76</v>
      </c>
      <c r="R51" s="215"/>
      <c r="S51" s="208" t="s">
        <v>239</v>
      </c>
      <c r="T51" s="216">
        <v>104847462</v>
      </c>
      <c r="U51" s="219" t="s">
        <v>245</v>
      </c>
      <c r="V51" s="220"/>
    </row>
    <row r="52" spans="1:22" s="218" customFormat="1" ht="33" customHeight="1">
      <c r="A52" s="206">
        <v>47</v>
      </c>
      <c r="B52" s="207">
        <v>45510</v>
      </c>
      <c r="C52" s="208" t="s">
        <v>161</v>
      </c>
      <c r="D52" s="208" t="s">
        <v>246</v>
      </c>
      <c r="E52" s="209">
        <v>41560151</v>
      </c>
      <c r="F52" s="208" t="s">
        <v>247</v>
      </c>
      <c r="G52" s="210" t="s">
        <v>248</v>
      </c>
      <c r="H52" s="211" t="s">
        <v>42</v>
      </c>
      <c r="I52" s="208" t="s">
        <v>76</v>
      </c>
      <c r="J52" s="210" t="s">
        <v>77</v>
      </c>
      <c r="K52" s="212">
        <v>45511</v>
      </c>
      <c r="L52" s="213" t="s">
        <v>249</v>
      </c>
      <c r="M52" s="213" t="s">
        <v>201</v>
      </c>
      <c r="N52" s="210">
        <v>987334332</v>
      </c>
      <c r="O52" s="214">
        <v>20</v>
      </c>
      <c r="P52" s="208" t="s">
        <v>22</v>
      </c>
      <c r="Q52" s="208" t="s">
        <v>76</v>
      </c>
      <c r="R52" s="215"/>
      <c r="S52" s="208" t="s">
        <v>246</v>
      </c>
      <c r="T52" s="216">
        <v>103783346</v>
      </c>
      <c r="U52" s="219" t="s">
        <v>250</v>
      </c>
      <c r="V52" s="220"/>
    </row>
    <row r="53" spans="1:22" s="218" customFormat="1" ht="33" customHeight="1">
      <c r="A53" s="206">
        <v>48</v>
      </c>
      <c r="B53" s="207">
        <v>45510</v>
      </c>
      <c r="C53" s="208" t="s">
        <v>161</v>
      </c>
      <c r="D53" s="208" t="s">
        <v>246</v>
      </c>
      <c r="E53" s="209">
        <v>40584012</v>
      </c>
      <c r="F53" s="208" t="s">
        <v>251</v>
      </c>
      <c r="G53" s="210" t="s">
        <v>252</v>
      </c>
      <c r="H53" s="211" t="s">
        <v>42</v>
      </c>
      <c r="I53" s="208" t="s">
        <v>76</v>
      </c>
      <c r="J53" s="210" t="s">
        <v>77</v>
      </c>
      <c r="K53" s="212">
        <v>45511</v>
      </c>
      <c r="L53" s="213" t="s">
        <v>249</v>
      </c>
      <c r="M53" s="213" t="s">
        <v>201</v>
      </c>
      <c r="N53" s="210">
        <v>987334332</v>
      </c>
      <c r="O53" s="214">
        <v>20</v>
      </c>
      <c r="P53" s="208" t="s">
        <v>22</v>
      </c>
      <c r="Q53" s="208" t="s">
        <v>76</v>
      </c>
      <c r="R53" s="215"/>
      <c r="S53" s="208" t="s">
        <v>246</v>
      </c>
      <c r="T53" s="216">
        <v>103783346</v>
      </c>
      <c r="U53" s="219" t="s">
        <v>250</v>
      </c>
      <c r="V53" s="220"/>
    </row>
    <row r="54" spans="1:22" s="218" customFormat="1" ht="33" customHeight="1">
      <c r="A54" s="206">
        <v>49</v>
      </c>
      <c r="B54" s="207">
        <v>45054</v>
      </c>
      <c r="C54" s="208" t="s">
        <v>137</v>
      </c>
      <c r="D54" s="208" t="s">
        <v>253</v>
      </c>
      <c r="E54" s="209">
        <v>112580027</v>
      </c>
      <c r="F54" s="208" t="s">
        <v>163</v>
      </c>
      <c r="G54" s="210" t="s">
        <v>254</v>
      </c>
      <c r="H54" s="211" t="s">
        <v>42</v>
      </c>
      <c r="I54" s="208" t="s">
        <v>76</v>
      </c>
      <c r="J54" s="210" t="s">
        <v>77</v>
      </c>
      <c r="K54" s="212">
        <v>45512</v>
      </c>
      <c r="L54" s="213" t="s">
        <v>255</v>
      </c>
      <c r="M54" s="213" t="s">
        <v>256</v>
      </c>
      <c r="N54" s="210">
        <v>998618496</v>
      </c>
      <c r="O54" s="214">
        <v>20</v>
      </c>
      <c r="P54" s="208" t="s">
        <v>22</v>
      </c>
      <c r="Q54" s="208" t="s">
        <v>76</v>
      </c>
      <c r="R54" s="215"/>
      <c r="S54" s="208" t="s">
        <v>253</v>
      </c>
      <c r="T54" s="216">
        <v>104442470</v>
      </c>
      <c r="U54" s="219" t="s">
        <v>257</v>
      </c>
      <c r="V54" s="220"/>
    </row>
    <row r="55" spans="1:22" s="218" customFormat="1" ht="33" customHeight="1">
      <c r="A55" s="206">
        <v>50</v>
      </c>
      <c r="B55" s="207">
        <v>45055</v>
      </c>
      <c r="C55" s="208" t="s">
        <v>137</v>
      </c>
      <c r="D55" s="208" t="s">
        <v>258</v>
      </c>
      <c r="E55" s="209">
        <v>40584012</v>
      </c>
      <c r="F55" s="208" t="s">
        <v>190</v>
      </c>
      <c r="G55" s="210" t="s">
        <v>259</v>
      </c>
      <c r="H55" s="211" t="s">
        <v>42</v>
      </c>
      <c r="I55" s="208" t="s">
        <v>76</v>
      </c>
      <c r="J55" s="210" t="s">
        <v>77</v>
      </c>
      <c r="K55" s="212">
        <v>45512</v>
      </c>
      <c r="L55" s="213" t="s">
        <v>255</v>
      </c>
      <c r="M55" s="213" t="s">
        <v>256</v>
      </c>
      <c r="N55" s="210">
        <v>998618496</v>
      </c>
      <c r="O55" s="214">
        <v>20</v>
      </c>
      <c r="P55" s="208" t="s">
        <v>22</v>
      </c>
      <c r="Q55" s="208" t="s">
        <v>76</v>
      </c>
      <c r="R55" s="215"/>
      <c r="S55" s="208" t="s">
        <v>253</v>
      </c>
      <c r="T55" s="216">
        <v>104442470</v>
      </c>
      <c r="U55" s="219" t="s">
        <v>257</v>
      </c>
      <c r="V55" s="220"/>
    </row>
    <row r="56" spans="1:22" s="218" customFormat="1" ht="33" customHeight="1">
      <c r="A56" s="206">
        <v>51</v>
      </c>
      <c r="B56" s="207">
        <v>45341</v>
      </c>
      <c r="C56" s="208" t="s">
        <v>260</v>
      </c>
      <c r="D56" s="208" t="s">
        <v>261</v>
      </c>
      <c r="E56" s="209">
        <v>112520025</v>
      </c>
      <c r="F56" s="208" t="s">
        <v>139</v>
      </c>
      <c r="G56" s="210" t="s">
        <v>262</v>
      </c>
      <c r="H56" s="211" t="s">
        <v>42</v>
      </c>
      <c r="I56" s="208" t="s">
        <v>76</v>
      </c>
      <c r="J56" s="210" t="s">
        <v>77</v>
      </c>
      <c r="K56" s="212">
        <v>45513</v>
      </c>
      <c r="L56" s="213" t="s">
        <v>263</v>
      </c>
      <c r="M56" s="213" t="s">
        <v>264</v>
      </c>
      <c r="N56" s="210">
        <v>999545372</v>
      </c>
      <c r="O56" s="214">
        <v>15</v>
      </c>
      <c r="P56" s="208" t="s">
        <v>22</v>
      </c>
      <c r="Q56" s="208" t="s">
        <v>76</v>
      </c>
      <c r="R56" s="215"/>
      <c r="S56" s="208" t="s">
        <v>261</v>
      </c>
      <c r="T56" s="216">
        <v>992660686</v>
      </c>
      <c r="U56" s="219" t="s">
        <v>265</v>
      </c>
      <c r="V56" s="220"/>
    </row>
    <row r="57" spans="1:22" s="218" customFormat="1" ht="33" customHeight="1">
      <c r="A57" s="206">
        <v>52</v>
      </c>
      <c r="B57" s="207">
        <v>45419</v>
      </c>
      <c r="C57" s="208" t="s">
        <v>260</v>
      </c>
      <c r="D57" s="208" t="s">
        <v>266</v>
      </c>
      <c r="E57" s="209">
        <v>114270004</v>
      </c>
      <c r="F57" s="208" t="s">
        <v>267</v>
      </c>
      <c r="G57" s="210" t="s">
        <v>268</v>
      </c>
      <c r="H57" s="211" t="s">
        <v>42</v>
      </c>
      <c r="I57" s="208" t="s">
        <v>76</v>
      </c>
      <c r="J57" s="210" t="s">
        <v>77</v>
      </c>
      <c r="K57" s="212">
        <v>45513</v>
      </c>
      <c r="L57" s="213" t="s">
        <v>263</v>
      </c>
      <c r="M57" s="213" t="s">
        <v>264</v>
      </c>
      <c r="N57" s="210">
        <v>999545372</v>
      </c>
      <c r="O57" s="214">
        <v>15</v>
      </c>
      <c r="P57" s="208" t="s">
        <v>22</v>
      </c>
      <c r="Q57" s="208" t="s">
        <v>76</v>
      </c>
      <c r="R57" s="215"/>
      <c r="S57" s="208" t="s">
        <v>261</v>
      </c>
      <c r="T57" s="216">
        <v>992660686</v>
      </c>
      <c r="U57" s="219" t="s">
        <v>265</v>
      </c>
      <c r="V57" s="220"/>
    </row>
    <row r="58" spans="1:22" s="218" customFormat="1" ht="33" customHeight="1">
      <c r="A58" s="206">
        <v>53</v>
      </c>
      <c r="B58" s="207">
        <v>45366</v>
      </c>
      <c r="C58" s="208" t="s">
        <v>269</v>
      </c>
      <c r="D58" s="208" t="s">
        <v>270</v>
      </c>
      <c r="E58" s="209">
        <v>41560041</v>
      </c>
      <c r="F58" s="208" t="s">
        <v>271</v>
      </c>
      <c r="G58" s="210" t="s">
        <v>272</v>
      </c>
      <c r="H58" s="211" t="s">
        <v>42</v>
      </c>
      <c r="I58" s="208" t="s">
        <v>76</v>
      </c>
      <c r="J58" s="210" t="s">
        <v>77</v>
      </c>
      <c r="K58" s="212">
        <v>45513</v>
      </c>
      <c r="L58" s="213" t="s">
        <v>263</v>
      </c>
      <c r="M58" s="213" t="s">
        <v>264</v>
      </c>
      <c r="N58" s="210">
        <v>999545372</v>
      </c>
      <c r="O58" s="214">
        <v>15</v>
      </c>
      <c r="P58" s="208" t="s">
        <v>22</v>
      </c>
      <c r="Q58" s="208" t="s">
        <v>76</v>
      </c>
      <c r="R58" s="215"/>
      <c r="S58" s="208" t="s">
        <v>261</v>
      </c>
      <c r="T58" s="216">
        <v>992660686</v>
      </c>
      <c r="U58" s="219" t="s">
        <v>265</v>
      </c>
      <c r="V58" s="220"/>
    </row>
    <row r="59" spans="1:22" s="218" customFormat="1" ht="33" customHeight="1">
      <c r="A59" s="206">
        <v>54</v>
      </c>
      <c r="B59" s="207">
        <v>45366</v>
      </c>
      <c r="C59" s="208" t="s">
        <v>260</v>
      </c>
      <c r="D59" s="208" t="s">
        <v>273</v>
      </c>
      <c r="E59" s="209">
        <v>40584012</v>
      </c>
      <c r="F59" s="208" t="s">
        <v>190</v>
      </c>
      <c r="G59" s="210" t="s">
        <v>274</v>
      </c>
      <c r="H59" s="211" t="s">
        <v>42</v>
      </c>
      <c r="I59" s="208" t="s">
        <v>76</v>
      </c>
      <c r="J59" s="210" t="s">
        <v>77</v>
      </c>
      <c r="K59" s="212">
        <v>45513</v>
      </c>
      <c r="L59" s="213" t="s">
        <v>263</v>
      </c>
      <c r="M59" s="213" t="s">
        <v>264</v>
      </c>
      <c r="N59" s="210">
        <v>999545372</v>
      </c>
      <c r="O59" s="214">
        <v>15</v>
      </c>
      <c r="P59" s="208" t="s">
        <v>22</v>
      </c>
      <c r="Q59" s="208" t="s">
        <v>76</v>
      </c>
      <c r="R59" s="215"/>
      <c r="S59" s="208" t="s">
        <v>261</v>
      </c>
      <c r="T59" s="216">
        <v>992660686</v>
      </c>
      <c r="U59" s="219" t="s">
        <v>265</v>
      </c>
      <c r="V59" s="220"/>
    </row>
    <row r="60" spans="1:22" s="218" customFormat="1" ht="33" customHeight="1">
      <c r="A60" s="206">
        <v>55</v>
      </c>
      <c r="B60" s="207">
        <v>45257</v>
      </c>
      <c r="C60" s="208" t="s">
        <v>260</v>
      </c>
      <c r="D60" s="208" t="s">
        <v>324</v>
      </c>
      <c r="E60" s="209">
        <v>41560061</v>
      </c>
      <c r="F60" s="208" t="s">
        <v>275</v>
      </c>
      <c r="G60" s="210" t="s">
        <v>276</v>
      </c>
      <c r="H60" s="211">
        <v>372151</v>
      </c>
      <c r="I60" s="208" t="s">
        <v>76</v>
      </c>
      <c r="J60" s="210" t="s">
        <v>77</v>
      </c>
      <c r="K60" s="212">
        <v>45502</v>
      </c>
      <c r="L60" s="213" t="s">
        <v>277</v>
      </c>
      <c r="M60" s="213" t="s">
        <v>278</v>
      </c>
      <c r="N60" s="210">
        <v>994529573</v>
      </c>
      <c r="O60" s="214">
        <v>15</v>
      </c>
      <c r="P60" s="208" t="s">
        <v>22</v>
      </c>
      <c r="Q60" s="208" t="s">
        <v>76</v>
      </c>
      <c r="R60" s="215"/>
      <c r="S60" s="208" t="s">
        <v>324</v>
      </c>
      <c r="T60" s="216">
        <v>102778768</v>
      </c>
      <c r="U60" s="219" t="s">
        <v>279</v>
      </c>
      <c r="V60" s="220"/>
    </row>
    <row r="61" spans="1:22" s="218" customFormat="1" ht="33" customHeight="1">
      <c r="A61" s="206">
        <v>56</v>
      </c>
      <c r="B61" s="207">
        <v>45257</v>
      </c>
      <c r="C61" s="208" t="s">
        <v>260</v>
      </c>
      <c r="D61" s="208" t="s">
        <v>324</v>
      </c>
      <c r="E61" s="209">
        <v>40584202</v>
      </c>
      <c r="F61" s="208" t="s">
        <v>124</v>
      </c>
      <c r="G61" s="210" t="s">
        <v>280</v>
      </c>
      <c r="H61" s="211">
        <v>411295</v>
      </c>
      <c r="I61" s="208" t="s">
        <v>76</v>
      </c>
      <c r="J61" s="210" t="s">
        <v>77</v>
      </c>
      <c r="K61" s="212">
        <v>45502</v>
      </c>
      <c r="L61" s="213" t="s">
        <v>277</v>
      </c>
      <c r="M61" s="213" t="s">
        <v>278</v>
      </c>
      <c r="N61" s="210">
        <v>994529573</v>
      </c>
      <c r="O61" s="214">
        <v>15</v>
      </c>
      <c r="P61" s="208" t="s">
        <v>22</v>
      </c>
      <c r="Q61" s="208" t="s">
        <v>76</v>
      </c>
      <c r="R61" s="215"/>
      <c r="S61" s="208" t="s">
        <v>324</v>
      </c>
      <c r="T61" s="216">
        <v>102778768</v>
      </c>
      <c r="U61" s="219" t="s">
        <v>279</v>
      </c>
      <c r="V61" s="220"/>
    </row>
    <row r="62" spans="1:22" s="218" customFormat="1" ht="33" customHeight="1">
      <c r="A62" s="206">
        <v>57</v>
      </c>
      <c r="B62" s="207">
        <v>45264</v>
      </c>
      <c r="C62" s="208" t="s">
        <v>260</v>
      </c>
      <c r="D62" s="208" t="s">
        <v>325</v>
      </c>
      <c r="E62" s="209">
        <v>40480321</v>
      </c>
      <c r="F62" s="208" t="s">
        <v>281</v>
      </c>
      <c r="G62" s="210" t="s">
        <v>282</v>
      </c>
      <c r="H62" s="211" t="s">
        <v>42</v>
      </c>
      <c r="I62" s="208" t="s">
        <v>76</v>
      </c>
      <c r="J62" s="210" t="s">
        <v>77</v>
      </c>
      <c r="K62" s="212">
        <v>45502</v>
      </c>
      <c r="L62" s="213" t="s">
        <v>277</v>
      </c>
      <c r="M62" s="213" t="s">
        <v>278</v>
      </c>
      <c r="N62" s="210">
        <v>994529573</v>
      </c>
      <c r="O62" s="214">
        <v>30</v>
      </c>
      <c r="P62" s="208" t="s">
        <v>22</v>
      </c>
      <c r="Q62" s="208" t="s">
        <v>76</v>
      </c>
      <c r="R62" s="215"/>
      <c r="S62" s="208" t="s">
        <v>325</v>
      </c>
      <c r="T62" s="216">
        <v>102778768</v>
      </c>
      <c r="U62" s="219" t="s">
        <v>279</v>
      </c>
      <c r="V62" s="220"/>
    </row>
    <row r="63" spans="1:22" s="218" customFormat="1" ht="33" customHeight="1">
      <c r="A63" s="206">
        <v>58</v>
      </c>
      <c r="B63" s="207">
        <v>45324</v>
      </c>
      <c r="C63" s="208" t="s">
        <v>260</v>
      </c>
      <c r="D63" s="208" t="s">
        <v>326</v>
      </c>
      <c r="E63" s="209">
        <v>112570068</v>
      </c>
      <c r="F63" s="208" t="s">
        <v>209</v>
      </c>
      <c r="G63" s="210" t="s">
        <v>283</v>
      </c>
      <c r="H63" s="211">
        <v>415518</v>
      </c>
      <c r="I63" s="208" t="s">
        <v>76</v>
      </c>
      <c r="J63" s="210" t="s">
        <v>77</v>
      </c>
      <c r="K63" s="212">
        <v>45502</v>
      </c>
      <c r="L63" s="213" t="s">
        <v>277</v>
      </c>
      <c r="M63" s="213" t="s">
        <v>278</v>
      </c>
      <c r="N63" s="210">
        <v>994529573</v>
      </c>
      <c r="O63" s="214">
        <v>15</v>
      </c>
      <c r="P63" s="208" t="s">
        <v>22</v>
      </c>
      <c r="Q63" s="208" t="s">
        <v>76</v>
      </c>
      <c r="R63" s="215"/>
      <c r="S63" s="208" t="s">
        <v>326</v>
      </c>
      <c r="T63" s="216">
        <v>102778768</v>
      </c>
      <c r="U63" s="219" t="s">
        <v>279</v>
      </c>
      <c r="V63" s="220"/>
    </row>
    <row r="64" spans="1:22" s="218" customFormat="1" ht="33" customHeight="1">
      <c r="A64" s="206">
        <v>59</v>
      </c>
      <c r="B64" s="207">
        <v>45360</v>
      </c>
      <c r="C64" s="208" t="s">
        <v>100</v>
      </c>
      <c r="D64" s="208" t="s">
        <v>386</v>
      </c>
      <c r="E64" s="209">
        <v>111000051</v>
      </c>
      <c r="F64" s="208" t="s">
        <v>107</v>
      </c>
      <c r="G64" s="210" t="s">
        <v>387</v>
      </c>
      <c r="H64" s="211" t="s">
        <v>42</v>
      </c>
      <c r="I64" s="208" t="s">
        <v>76</v>
      </c>
      <c r="J64" s="210" t="s">
        <v>77</v>
      </c>
      <c r="K64" s="212">
        <v>45517</v>
      </c>
      <c r="L64" s="213" t="s">
        <v>388</v>
      </c>
      <c r="M64" s="213" t="s">
        <v>389</v>
      </c>
      <c r="N64" s="210">
        <v>962888018</v>
      </c>
      <c r="O64" s="214">
        <v>15</v>
      </c>
      <c r="P64" s="208" t="s">
        <v>22</v>
      </c>
      <c r="Q64" s="208" t="s">
        <v>76</v>
      </c>
      <c r="R64" s="215"/>
      <c r="S64" s="208" t="s">
        <v>386</v>
      </c>
      <c r="T64" s="216">
        <v>102739521</v>
      </c>
      <c r="U64" s="219" t="s">
        <v>390</v>
      </c>
      <c r="V64" s="220"/>
    </row>
    <row r="65" spans="1:22" s="218" customFormat="1" ht="33" customHeight="1">
      <c r="A65" s="206">
        <v>60</v>
      </c>
      <c r="B65" s="207">
        <v>45360</v>
      </c>
      <c r="C65" s="208" t="s">
        <v>100</v>
      </c>
      <c r="D65" s="208" t="s">
        <v>386</v>
      </c>
      <c r="E65" s="209">
        <v>40584202</v>
      </c>
      <c r="F65" s="208" t="s">
        <v>124</v>
      </c>
      <c r="G65" s="210" t="s">
        <v>391</v>
      </c>
      <c r="H65" s="211" t="s">
        <v>42</v>
      </c>
      <c r="I65" s="208" t="s">
        <v>76</v>
      </c>
      <c r="J65" s="210" t="s">
        <v>77</v>
      </c>
      <c r="K65" s="212">
        <v>45517</v>
      </c>
      <c r="L65" s="213" t="s">
        <v>388</v>
      </c>
      <c r="M65" s="213" t="s">
        <v>389</v>
      </c>
      <c r="N65" s="210">
        <v>962888018</v>
      </c>
      <c r="O65" s="214">
        <v>15</v>
      </c>
      <c r="P65" s="208" t="s">
        <v>22</v>
      </c>
      <c r="Q65" s="208" t="s">
        <v>76</v>
      </c>
      <c r="R65" s="215"/>
      <c r="S65" s="208" t="s">
        <v>386</v>
      </c>
      <c r="T65" s="216">
        <v>102739521</v>
      </c>
      <c r="U65" s="219" t="s">
        <v>390</v>
      </c>
      <c r="V65" s="220"/>
    </row>
    <row r="66" spans="1:22" s="218" customFormat="1" ht="33" customHeight="1">
      <c r="A66" s="206">
        <v>61</v>
      </c>
      <c r="B66" s="207">
        <v>45360</v>
      </c>
      <c r="C66" s="208" t="s">
        <v>100</v>
      </c>
      <c r="D66" s="208" t="s">
        <v>386</v>
      </c>
      <c r="E66" s="209">
        <v>113600016</v>
      </c>
      <c r="F66" s="208" t="s">
        <v>393</v>
      </c>
      <c r="G66" s="210" t="s">
        <v>387</v>
      </c>
      <c r="H66" s="211" t="s">
        <v>42</v>
      </c>
      <c r="I66" s="208" t="s">
        <v>76</v>
      </c>
      <c r="J66" s="210" t="s">
        <v>77</v>
      </c>
      <c r="K66" s="212">
        <v>45517</v>
      </c>
      <c r="L66" s="213" t="s">
        <v>388</v>
      </c>
      <c r="M66" s="213" t="s">
        <v>389</v>
      </c>
      <c r="N66" s="210">
        <v>962888018</v>
      </c>
      <c r="O66" s="214">
        <v>15</v>
      </c>
      <c r="P66" s="208" t="s">
        <v>22</v>
      </c>
      <c r="Q66" s="208" t="s">
        <v>76</v>
      </c>
      <c r="R66" s="215"/>
      <c r="S66" s="208" t="s">
        <v>386</v>
      </c>
      <c r="T66" s="216">
        <v>102739521</v>
      </c>
      <c r="U66" s="219" t="s">
        <v>390</v>
      </c>
      <c r="V66" s="220"/>
    </row>
    <row r="67" spans="1:22" s="218" customFormat="1" ht="33" customHeight="1">
      <c r="A67" s="206">
        <v>62</v>
      </c>
      <c r="B67" s="207">
        <v>45492</v>
      </c>
      <c r="C67" s="208" t="s">
        <v>78</v>
      </c>
      <c r="D67" s="208" t="s">
        <v>392</v>
      </c>
      <c r="E67" s="209">
        <v>112580058</v>
      </c>
      <c r="F67" s="208" t="s">
        <v>102</v>
      </c>
      <c r="G67" s="210" t="s">
        <v>394</v>
      </c>
      <c r="H67" s="211" t="s">
        <v>42</v>
      </c>
      <c r="I67" s="208" t="s">
        <v>76</v>
      </c>
      <c r="J67" s="210" t="s">
        <v>77</v>
      </c>
      <c r="K67" s="212">
        <v>45518</v>
      </c>
      <c r="L67" s="213" t="s">
        <v>395</v>
      </c>
      <c r="M67" s="213" t="s">
        <v>396</v>
      </c>
      <c r="N67" s="210">
        <v>983843230</v>
      </c>
      <c r="O67" s="214">
        <v>20</v>
      </c>
      <c r="P67" s="208" t="s">
        <v>22</v>
      </c>
      <c r="Q67" s="208" t="s">
        <v>76</v>
      </c>
      <c r="R67" s="215"/>
      <c r="S67" s="208" t="s">
        <v>392</v>
      </c>
      <c r="T67" s="216">
        <v>105826548</v>
      </c>
      <c r="U67" s="219" t="s">
        <v>397</v>
      </c>
      <c r="V67" s="220"/>
    </row>
    <row r="68" spans="1:22" s="218" customFormat="1" ht="33" customHeight="1">
      <c r="A68" s="206">
        <v>63</v>
      </c>
      <c r="B68" s="207">
        <v>45492</v>
      </c>
      <c r="C68" s="208" t="s">
        <v>78</v>
      </c>
      <c r="D68" s="208" t="s">
        <v>392</v>
      </c>
      <c r="E68" s="209">
        <v>112950021</v>
      </c>
      <c r="F68" s="208" t="s">
        <v>398</v>
      </c>
      <c r="G68" s="210" t="s">
        <v>394</v>
      </c>
      <c r="H68" s="211" t="s">
        <v>42</v>
      </c>
      <c r="I68" s="208" t="s">
        <v>76</v>
      </c>
      <c r="J68" s="210" t="s">
        <v>77</v>
      </c>
      <c r="K68" s="212">
        <v>45518</v>
      </c>
      <c r="L68" s="213" t="s">
        <v>395</v>
      </c>
      <c r="M68" s="213" t="s">
        <v>396</v>
      </c>
      <c r="N68" s="210">
        <v>983843230</v>
      </c>
      <c r="O68" s="214">
        <v>20</v>
      </c>
      <c r="P68" s="208" t="s">
        <v>22</v>
      </c>
      <c r="Q68" s="208" t="s">
        <v>76</v>
      </c>
      <c r="R68" s="215"/>
      <c r="S68" s="208" t="s">
        <v>392</v>
      </c>
      <c r="T68" s="216">
        <v>105826548</v>
      </c>
      <c r="U68" s="219" t="s">
        <v>397</v>
      </c>
      <c r="V68" s="220"/>
    </row>
    <row r="69" spans="1:22" s="218" customFormat="1" ht="33" customHeight="1">
      <c r="A69" s="206">
        <v>64</v>
      </c>
      <c r="B69" s="207">
        <v>45510</v>
      </c>
      <c r="C69" s="208" t="s">
        <v>111</v>
      </c>
      <c r="D69" s="208" t="s">
        <v>399</v>
      </c>
      <c r="E69" s="209">
        <v>40584012</v>
      </c>
      <c r="F69" s="208" t="s">
        <v>190</v>
      </c>
      <c r="G69" s="210" t="s">
        <v>400</v>
      </c>
      <c r="H69" s="211" t="s">
        <v>42</v>
      </c>
      <c r="I69" s="208" t="s">
        <v>76</v>
      </c>
      <c r="J69" s="210" t="s">
        <v>77</v>
      </c>
      <c r="K69" s="212">
        <v>45518</v>
      </c>
      <c r="L69" s="213" t="s">
        <v>401</v>
      </c>
      <c r="M69" s="213" t="s">
        <v>207</v>
      </c>
      <c r="N69" s="210">
        <v>994188252</v>
      </c>
      <c r="O69" s="214">
        <v>20</v>
      </c>
      <c r="P69" s="208" t="s">
        <v>22</v>
      </c>
      <c r="Q69" s="208" t="s">
        <v>76</v>
      </c>
      <c r="R69" s="215"/>
      <c r="S69" s="208" t="s">
        <v>399</v>
      </c>
      <c r="T69" s="216">
        <v>103476321</v>
      </c>
      <c r="U69" s="219" t="s">
        <v>402</v>
      </c>
      <c r="V69" s="220"/>
    </row>
    <row r="70" spans="1:22" s="218" customFormat="1" ht="33" customHeight="1">
      <c r="A70" s="206">
        <v>65</v>
      </c>
      <c r="B70" s="207">
        <v>45510</v>
      </c>
      <c r="C70" s="208" t="s">
        <v>111</v>
      </c>
      <c r="D70" s="208" t="s">
        <v>399</v>
      </c>
      <c r="E70" s="209">
        <v>111010028</v>
      </c>
      <c r="F70" s="208" t="s">
        <v>222</v>
      </c>
      <c r="G70" s="210" t="s">
        <v>403</v>
      </c>
      <c r="H70" s="211" t="s">
        <v>42</v>
      </c>
      <c r="I70" s="208" t="s">
        <v>76</v>
      </c>
      <c r="J70" s="210" t="s">
        <v>77</v>
      </c>
      <c r="K70" s="212">
        <v>45518</v>
      </c>
      <c r="L70" s="213" t="s">
        <v>401</v>
      </c>
      <c r="M70" s="213" t="s">
        <v>207</v>
      </c>
      <c r="N70" s="210">
        <v>994188252</v>
      </c>
      <c r="O70" s="214">
        <v>20</v>
      </c>
      <c r="P70" s="208" t="s">
        <v>22</v>
      </c>
      <c r="Q70" s="208" t="s">
        <v>76</v>
      </c>
      <c r="R70" s="215"/>
      <c r="S70" s="208" t="s">
        <v>399</v>
      </c>
      <c r="T70" s="216">
        <v>103476321</v>
      </c>
      <c r="U70" s="219" t="s">
        <v>402</v>
      </c>
      <c r="V70" s="220"/>
    </row>
    <row r="71" spans="1:22" s="218" customFormat="1" ht="33" customHeight="1">
      <c r="A71" s="206">
        <v>66</v>
      </c>
      <c r="B71" s="207">
        <v>45379</v>
      </c>
      <c r="C71" s="208" t="s">
        <v>178</v>
      </c>
      <c r="D71" s="208" t="s">
        <v>406</v>
      </c>
      <c r="E71" s="209">
        <v>111000051</v>
      </c>
      <c r="F71" s="208" t="s">
        <v>107</v>
      </c>
      <c r="G71" s="210" t="s">
        <v>407</v>
      </c>
      <c r="H71" s="211" t="s">
        <v>42</v>
      </c>
      <c r="I71" s="208" t="s">
        <v>76</v>
      </c>
      <c r="J71" s="210" t="s">
        <v>77</v>
      </c>
      <c r="K71" s="212">
        <v>45521</v>
      </c>
      <c r="L71" s="213" t="s">
        <v>408</v>
      </c>
      <c r="M71" s="213" t="s">
        <v>409</v>
      </c>
      <c r="N71" s="210">
        <v>998013535</v>
      </c>
      <c r="O71" s="214">
        <v>20</v>
      </c>
      <c r="P71" s="208" t="s">
        <v>22</v>
      </c>
      <c r="Q71" s="208" t="s">
        <v>76</v>
      </c>
      <c r="R71" s="215"/>
      <c r="S71" s="208" t="s">
        <v>406</v>
      </c>
      <c r="T71" s="216">
        <v>102473857</v>
      </c>
      <c r="U71" s="219" t="s">
        <v>410</v>
      </c>
      <c r="V71" s="220"/>
    </row>
    <row r="72" spans="1:22" s="218" customFormat="1" ht="33" customHeight="1">
      <c r="A72" s="206">
        <v>67</v>
      </c>
      <c r="B72" s="207">
        <v>45379</v>
      </c>
      <c r="C72" s="208" t="s">
        <v>178</v>
      </c>
      <c r="D72" s="208" t="s">
        <v>406</v>
      </c>
      <c r="E72" s="209">
        <v>112580031</v>
      </c>
      <c r="F72" s="208" t="s">
        <v>163</v>
      </c>
      <c r="G72" s="210" t="s">
        <v>501</v>
      </c>
      <c r="H72" s="211" t="s">
        <v>42</v>
      </c>
      <c r="I72" s="208" t="s">
        <v>76</v>
      </c>
      <c r="J72" s="210" t="s">
        <v>77</v>
      </c>
      <c r="K72" s="212">
        <v>45521</v>
      </c>
      <c r="L72" s="213" t="s">
        <v>408</v>
      </c>
      <c r="M72" s="213" t="s">
        <v>409</v>
      </c>
      <c r="N72" s="210">
        <v>998013535</v>
      </c>
      <c r="O72" s="214">
        <v>20</v>
      </c>
      <c r="P72" s="208" t="s">
        <v>22</v>
      </c>
      <c r="Q72" s="208" t="s">
        <v>76</v>
      </c>
      <c r="R72" s="215"/>
      <c r="S72" s="208" t="s">
        <v>406</v>
      </c>
      <c r="T72" s="216">
        <v>102473857</v>
      </c>
      <c r="U72" s="219" t="s">
        <v>410</v>
      </c>
      <c r="V72" s="220"/>
    </row>
    <row r="73" spans="1:22" s="218" customFormat="1" ht="33" customHeight="1">
      <c r="A73" s="206">
        <v>68</v>
      </c>
      <c r="B73" s="207">
        <v>45504</v>
      </c>
      <c r="C73" s="208" t="s">
        <v>178</v>
      </c>
      <c r="D73" s="208" t="s">
        <v>484</v>
      </c>
      <c r="E73" s="209">
        <v>40487192</v>
      </c>
      <c r="F73" s="208" t="s">
        <v>485</v>
      </c>
      <c r="G73" s="210" t="s">
        <v>486</v>
      </c>
      <c r="H73" s="211" t="s">
        <v>42</v>
      </c>
      <c r="I73" s="208" t="s">
        <v>76</v>
      </c>
      <c r="J73" s="210" t="s">
        <v>77</v>
      </c>
      <c r="K73" s="212">
        <v>45521</v>
      </c>
      <c r="L73" s="213" t="s">
        <v>487</v>
      </c>
      <c r="M73" s="213" t="s">
        <v>176</v>
      </c>
      <c r="N73" s="210" t="s">
        <v>488</v>
      </c>
      <c r="O73" s="214">
        <v>15</v>
      </c>
      <c r="P73" s="208" t="s">
        <v>22</v>
      </c>
      <c r="Q73" s="208" t="s">
        <v>76</v>
      </c>
      <c r="R73" s="215"/>
      <c r="S73" s="208" t="s">
        <v>484</v>
      </c>
      <c r="T73" s="216">
        <v>302017657</v>
      </c>
      <c r="U73" s="219" t="s">
        <v>489</v>
      </c>
      <c r="V73" s="220"/>
    </row>
    <row r="74" spans="1:22" s="218" customFormat="1" ht="33" customHeight="1">
      <c r="A74" s="206">
        <v>69</v>
      </c>
      <c r="B74" s="207">
        <v>45504</v>
      </c>
      <c r="C74" s="208" t="s">
        <v>178</v>
      </c>
      <c r="D74" s="208" t="s">
        <v>484</v>
      </c>
      <c r="E74" s="209">
        <v>40297052</v>
      </c>
      <c r="F74" s="208" t="s">
        <v>490</v>
      </c>
      <c r="G74" s="210">
        <v>924014616</v>
      </c>
      <c r="H74" s="211" t="s">
        <v>42</v>
      </c>
      <c r="I74" s="208" t="s">
        <v>76</v>
      </c>
      <c r="J74" s="210" t="s">
        <v>77</v>
      </c>
      <c r="K74" s="212">
        <v>45521</v>
      </c>
      <c r="L74" s="213" t="s">
        <v>487</v>
      </c>
      <c r="M74" s="213" t="s">
        <v>176</v>
      </c>
      <c r="N74" s="210" t="s">
        <v>488</v>
      </c>
      <c r="O74" s="214">
        <v>15</v>
      </c>
      <c r="P74" s="208" t="s">
        <v>22</v>
      </c>
      <c r="Q74" s="208" t="s">
        <v>76</v>
      </c>
      <c r="R74" s="215"/>
      <c r="S74" s="208" t="s">
        <v>484</v>
      </c>
      <c r="T74" s="216">
        <v>302017657</v>
      </c>
      <c r="U74" s="219" t="s">
        <v>489</v>
      </c>
      <c r="V74" s="220"/>
    </row>
    <row r="75" spans="1:22" s="218" customFormat="1" ht="33" customHeight="1">
      <c r="A75" s="206">
        <v>70</v>
      </c>
      <c r="B75" s="207">
        <v>45504</v>
      </c>
      <c r="C75" s="208" t="s">
        <v>178</v>
      </c>
      <c r="D75" s="208" t="s">
        <v>484</v>
      </c>
      <c r="E75" s="209">
        <v>113430051</v>
      </c>
      <c r="F75" s="208" t="s">
        <v>491</v>
      </c>
      <c r="G75" s="210" t="s">
        <v>486</v>
      </c>
      <c r="H75" s="211" t="s">
        <v>42</v>
      </c>
      <c r="I75" s="208" t="s">
        <v>76</v>
      </c>
      <c r="J75" s="210" t="s">
        <v>77</v>
      </c>
      <c r="K75" s="212">
        <v>45521</v>
      </c>
      <c r="L75" s="213" t="s">
        <v>487</v>
      </c>
      <c r="M75" s="213" t="s">
        <v>176</v>
      </c>
      <c r="N75" s="210" t="s">
        <v>488</v>
      </c>
      <c r="O75" s="214">
        <v>15</v>
      </c>
      <c r="P75" s="208" t="s">
        <v>22</v>
      </c>
      <c r="Q75" s="208" t="s">
        <v>76</v>
      </c>
      <c r="R75" s="215"/>
      <c r="S75" s="208" t="s">
        <v>484</v>
      </c>
      <c r="T75" s="216">
        <v>302017657</v>
      </c>
      <c r="U75" s="219" t="s">
        <v>489</v>
      </c>
      <c r="V75" s="220"/>
    </row>
    <row r="76" spans="1:22" s="218" customFormat="1" ht="33" customHeight="1">
      <c r="A76" s="206">
        <v>71</v>
      </c>
      <c r="B76" s="207">
        <v>45461</v>
      </c>
      <c r="C76" s="208" t="s">
        <v>78</v>
      </c>
      <c r="D76" s="208" t="s">
        <v>502</v>
      </c>
      <c r="E76" s="209">
        <v>112930063</v>
      </c>
      <c r="F76" s="208" t="s">
        <v>503</v>
      </c>
      <c r="G76" s="210" t="s">
        <v>504</v>
      </c>
      <c r="H76" s="211" t="s">
        <v>42</v>
      </c>
      <c r="I76" s="208" t="s">
        <v>76</v>
      </c>
      <c r="J76" s="210" t="s">
        <v>77</v>
      </c>
      <c r="K76" s="212">
        <v>45523</v>
      </c>
      <c r="L76" s="213" t="s">
        <v>505</v>
      </c>
      <c r="M76" s="213" t="s">
        <v>506</v>
      </c>
      <c r="N76" s="210">
        <v>968621701</v>
      </c>
      <c r="O76" s="214">
        <v>20</v>
      </c>
      <c r="P76" s="208" t="s">
        <v>22</v>
      </c>
      <c r="Q76" s="208" t="s">
        <v>76</v>
      </c>
      <c r="R76" s="215"/>
      <c r="S76" s="208" t="s">
        <v>502</v>
      </c>
      <c r="T76" s="216">
        <v>703915314</v>
      </c>
      <c r="U76" s="219" t="s">
        <v>507</v>
      </c>
      <c r="V76" s="220"/>
    </row>
    <row r="77" spans="1:22" s="218" customFormat="1" ht="33" customHeight="1">
      <c r="A77" s="206">
        <v>72</v>
      </c>
      <c r="B77" s="207">
        <v>45461</v>
      </c>
      <c r="C77" s="208" t="s">
        <v>78</v>
      </c>
      <c r="D77" s="208" t="s">
        <v>502</v>
      </c>
      <c r="E77" s="209">
        <v>112580058</v>
      </c>
      <c r="F77" s="208" t="s">
        <v>102</v>
      </c>
      <c r="G77" s="210" t="s">
        <v>508</v>
      </c>
      <c r="H77" s="211" t="s">
        <v>42</v>
      </c>
      <c r="I77" s="208" t="s">
        <v>76</v>
      </c>
      <c r="J77" s="210" t="s">
        <v>77</v>
      </c>
      <c r="K77" s="212">
        <v>45523</v>
      </c>
      <c r="L77" s="213" t="s">
        <v>505</v>
      </c>
      <c r="M77" s="213" t="s">
        <v>506</v>
      </c>
      <c r="N77" s="210">
        <v>968621701</v>
      </c>
      <c r="O77" s="214">
        <v>20</v>
      </c>
      <c r="P77" s="208" t="s">
        <v>22</v>
      </c>
      <c r="Q77" s="208" t="s">
        <v>76</v>
      </c>
      <c r="R77" s="215"/>
      <c r="S77" s="208" t="s">
        <v>502</v>
      </c>
      <c r="T77" s="216">
        <v>703915314</v>
      </c>
      <c r="U77" s="219" t="s">
        <v>507</v>
      </c>
      <c r="V77" s="220"/>
    </row>
    <row r="78" spans="1:22" s="218" customFormat="1" ht="33" customHeight="1">
      <c r="A78" s="206">
        <v>73</v>
      </c>
      <c r="B78" s="207">
        <v>45360</v>
      </c>
      <c r="C78" s="208" t="s">
        <v>100</v>
      </c>
      <c r="D78" s="208" t="s">
        <v>386</v>
      </c>
      <c r="E78" s="209">
        <v>40480321</v>
      </c>
      <c r="F78" s="208" t="s">
        <v>224</v>
      </c>
      <c r="G78" s="210" t="s">
        <v>510</v>
      </c>
      <c r="H78" s="211" t="s">
        <v>42</v>
      </c>
      <c r="I78" s="208" t="s">
        <v>76</v>
      </c>
      <c r="J78" s="210" t="s">
        <v>77</v>
      </c>
      <c r="K78" s="212">
        <v>45523</v>
      </c>
      <c r="L78" s="213" t="s">
        <v>388</v>
      </c>
      <c r="M78" s="213" t="s">
        <v>511</v>
      </c>
      <c r="N78" s="210">
        <v>962888018</v>
      </c>
      <c r="O78" s="214">
        <v>30</v>
      </c>
      <c r="P78" s="208" t="s">
        <v>22</v>
      </c>
      <c r="Q78" s="208" t="s">
        <v>76</v>
      </c>
      <c r="R78" s="215"/>
      <c r="S78" s="208" t="s">
        <v>386</v>
      </c>
      <c r="T78" s="216">
        <v>102739521</v>
      </c>
      <c r="U78" s="219" t="s">
        <v>390</v>
      </c>
      <c r="V78" s="220"/>
    </row>
    <row r="79" spans="1:22" s="218" customFormat="1" ht="33" customHeight="1">
      <c r="A79" s="206">
        <v>74</v>
      </c>
      <c r="B79" s="207">
        <v>45360</v>
      </c>
      <c r="C79" s="208" t="s">
        <v>100</v>
      </c>
      <c r="D79" s="208" t="s">
        <v>386</v>
      </c>
      <c r="E79" s="209">
        <v>112520025</v>
      </c>
      <c r="F79" s="208" t="s">
        <v>139</v>
      </c>
      <c r="G79" s="210" t="s">
        <v>512</v>
      </c>
      <c r="H79" s="211" t="s">
        <v>42</v>
      </c>
      <c r="I79" s="208" t="s">
        <v>76</v>
      </c>
      <c r="J79" s="210" t="s">
        <v>77</v>
      </c>
      <c r="K79" s="212">
        <v>45523</v>
      </c>
      <c r="L79" s="213" t="s">
        <v>388</v>
      </c>
      <c r="M79" s="213" t="s">
        <v>511</v>
      </c>
      <c r="N79" s="210">
        <v>962888018</v>
      </c>
      <c r="O79" s="214">
        <v>20</v>
      </c>
      <c r="P79" s="208" t="s">
        <v>22</v>
      </c>
      <c r="Q79" s="208" t="s">
        <v>76</v>
      </c>
      <c r="R79" s="215"/>
      <c r="S79" s="208" t="s">
        <v>386</v>
      </c>
      <c r="T79" s="216">
        <v>102739521</v>
      </c>
      <c r="U79" s="219" t="s">
        <v>390</v>
      </c>
      <c r="V79" s="220"/>
    </row>
    <row r="80" spans="1:22" s="218" customFormat="1" ht="33" customHeight="1">
      <c r="A80" s="206">
        <v>75</v>
      </c>
      <c r="B80" s="207">
        <v>45469</v>
      </c>
      <c r="C80" s="208" t="s">
        <v>111</v>
      </c>
      <c r="D80" s="208" t="s">
        <v>526</v>
      </c>
      <c r="E80" s="209">
        <v>40483180</v>
      </c>
      <c r="F80" s="208" t="s">
        <v>198</v>
      </c>
      <c r="G80" s="210" t="s">
        <v>514</v>
      </c>
      <c r="H80" s="211" t="s">
        <v>42</v>
      </c>
      <c r="I80" s="208" t="s">
        <v>76</v>
      </c>
      <c r="J80" s="210" t="s">
        <v>77</v>
      </c>
      <c r="K80" s="212">
        <v>45523</v>
      </c>
      <c r="L80" s="213" t="s">
        <v>515</v>
      </c>
      <c r="M80" s="213" t="s">
        <v>516</v>
      </c>
      <c r="N80" s="210">
        <v>995572662</v>
      </c>
      <c r="O80" s="214">
        <v>30</v>
      </c>
      <c r="P80" s="208" t="s">
        <v>22</v>
      </c>
      <c r="Q80" s="208" t="s">
        <v>76</v>
      </c>
      <c r="R80" s="215"/>
      <c r="S80" s="208" t="s">
        <v>513</v>
      </c>
      <c r="T80" s="216">
        <v>195126224001</v>
      </c>
      <c r="U80" s="219" t="s">
        <v>517</v>
      </c>
      <c r="V80" s="220"/>
    </row>
    <row r="81" spans="1:22" s="218" customFormat="1" ht="33" customHeight="1">
      <c r="A81" s="206">
        <v>76</v>
      </c>
      <c r="B81" s="207">
        <v>45469</v>
      </c>
      <c r="C81" s="208" t="s">
        <v>111</v>
      </c>
      <c r="D81" s="208" t="s">
        <v>526</v>
      </c>
      <c r="E81" s="209">
        <v>41560061</v>
      </c>
      <c r="F81" s="208" t="s">
        <v>275</v>
      </c>
      <c r="G81" s="210" t="s">
        <v>518</v>
      </c>
      <c r="H81" s="211" t="s">
        <v>42</v>
      </c>
      <c r="I81" s="208" t="s">
        <v>76</v>
      </c>
      <c r="J81" s="210" t="s">
        <v>77</v>
      </c>
      <c r="K81" s="212">
        <v>45523</v>
      </c>
      <c r="L81" s="213" t="s">
        <v>515</v>
      </c>
      <c r="M81" s="213" t="s">
        <v>516</v>
      </c>
      <c r="N81" s="210">
        <v>995572662</v>
      </c>
      <c r="O81" s="214">
        <v>15</v>
      </c>
      <c r="P81" s="208" t="s">
        <v>22</v>
      </c>
      <c r="Q81" s="208" t="s">
        <v>76</v>
      </c>
      <c r="R81" s="215"/>
      <c r="S81" s="208" t="s">
        <v>513</v>
      </c>
      <c r="T81" s="216">
        <v>195126224001</v>
      </c>
      <c r="U81" s="219" t="s">
        <v>517</v>
      </c>
      <c r="V81" s="220"/>
    </row>
    <row r="82" spans="1:22" s="218" customFormat="1" ht="33" customHeight="1">
      <c r="A82" s="206">
        <v>77</v>
      </c>
      <c r="B82" s="207">
        <v>45469</v>
      </c>
      <c r="C82" s="208" t="s">
        <v>111</v>
      </c>
      <c r="D82" s="208" t="s">
        <v>526</v>
      </c>
      <c r="E82" s="209">
        <v>112570068</v>
      </c>
      <c r="F82" s="208" t="s">
        <v>209</v>
      </c>
      <c r="G82" s="210" t="s">
        <v>519</v>
      </c>
      <c r="H82" s="211" t="s">
        <v>42</v>
      </c>
      <c r="I82" s="208" t="s">
        <v>76</v>
      </c>
      <c r="J82" s="210" t="s">
        <v>77</v>
      </c>
      <c r="K82" s="212">
        <v>45523</v>
      </c>
      <c r="L82" s="213" t="s">
        <v>515</v>
      </c>
      <c r="M82" s="213" t="s">
        <v>516</v>
      </c>
      <c r="N82" s="210">
        <v>995572662</v>
      </c>
      <c r="O82" s="214">
        <v>15</v>
      </c>
      <c r="P82" s="208" t="s">
        <v>22</v>
      </c>
      <c r="Q82" s="208" t="s">
        <v>76</v>
      </c>
      <c r="R82" s="215"/>
      <c r="S82" s="208" t="s">
        <v>513</v>
      </c>
      <c r="T82" s="216">
        <v>195126224001</v>
      </c>
      <c r="U82" s="219" t="s">
        <v>517</v>
      </c>
      <c r="V82" s="220"/>
    </row>
    <row r="83" spans="1:22" s="218" customFormat="1" ht="33" customHeight="1">
      <c r="A83" s="206">
        <v>78</v>
      </c>
      <c r="B83" s="207">
        <v>45503</v>
      </c>
      <c r="C83" s="208" t="s">
        <v>137</v>
      </c>
      <c r="D83" s="208" t="s">
        <v>522</v>
      </c>
      <c r="E83" s="209">
        <v>112580058</v>
      </c>
      <c r="F83" s="208" t="s">
        <v>102</v>
      </c>
      <c r="G83" s="210" t="s">
        <v>523</v>
      </c>
      <c r="H83" s="211" t="s">
        <v>42</v>
      </c>
      <c r="I83" s="208" t="s">
        <v>76</v>
      </c>
      <c r="J83" s="210" t="s">
        <v>77</v>
      </c>
      <c r="K83" s="212">
        <v>45523</v>
      </c>
      <c r="L83" s="213" t="s">
        <v>520</v>
      </c>
      <c r="M83" s="213" t="s">
        <v>521</v>
      </c>
      <c r="N83" s="210">
        <v>987166311</v>
      </c>
      <c r="O83" s="214">
        <v>20</v>
      </c>
      <c r="P83" s="208" t="s">
        <v>22</v>
      </c>
      <c r="Q83" s="208" t="s">
        <v>76</v>
      </c>
      <c r="R83" s="215"/>
      <c r="S83" s="208" t="s">
        <v>522</v>
      </c>
      <c r="T83" s="216">
        <v>301826129</v>
      </c>
      <c r="U83" s="219" t="s">
        <v>525</v>
      </c>
      <c r="V83" s="220"/>
    </row>
    <row r="84" spans="1:22" s="218" customFormat="1" ht="33" customHeight="1">
      <c r="A84" s="206">
        <v>79</v>
      </c>
      <c r="B84" s="207">
        <v>45503</v>
      </c>
      <c r="C84" s="208" t="s">
        <v>137</v>
      </c>
      <c r="D84" s="208" t="s">
        <v>522</v>
      </c>
      <c r="E84" s="209">
        <v>112950021</v>
      </c>
      <c r="F84" s="208" t="s">
        <v>398</v>
      </c>
      <c r="G84" s="210" t="s">
        <v>524</v>
      </c>
      <c r="H84" s="211" t="s">
        <v>42</v>
      </c>
      <c r="I84" s="208" t="s">
        <v>76</v>
      </c>
      <c r="J84" s="210" t="s">
        <v>77</v>
      </c>
      <c r="K84" s="212">
        <v>45523</v>
      </c>
      <c r="L84" s="213" t="s">
        <v>520</v>
      </c>
      <c r="M84" s="213" t="s">
        <v>521</v>
      </c>
      <c r="N84" s="210">
        <v>987166311</v>
      </c>
      <c r="O84" s="214">
        <v>20</v>
      </c>
      <c r="P84" s="208" t="s">
        <v>22</v>
      </c>
      <c r="Q84" s="208" t="s">
        <v>76</v>
      </c>
      <c r="R84" s="215"/>
      <c r="S84" s="208" t="s">
        <v>522</v>
      </c>
      <c r="T84" s="216">
        <v>301826129</v>
      </c>
      <c r="U84" s="219" t="s">
        <v>525</v>
      </c>
      <c r="V84" s="220"/>
    </row>
    <row r="85" spans="1:22" s="218" customFormat="1" ht="33" customHeight="1">
      <c r="A85" s="206">
        <v>80</v>
      </c>
      <c r="B85" s="207"/>
      <c r="C85" s="208"/>
      <c r="D85" s="208"/>
      <c r="E85" s="209"/>
      <c r="F85" s="208"/>
      <c r="G85" s="210"/>
      <c r="H85" s="211" t="s">
        <v>42</v>
      </c>
      <c r="I85" s="208" t="s">
        <v>76</v>
      </c>
      <c r="J85" s="210" t="s">
        <v>77</v>
      </c>
      <c r="K85" s="212"/>
      <c r="L85" s="213"/>
      <c r="M85" s="213"/>
      <c r="N85" s="210"/>
      <c r="O85" s="214"/>
      <c r="P85" s="208" t="s">
        <v>22</v>
      </c>
      <c r="Q85" s="208" t="s">
        <v>76</v>
      </c>
      <c r="R85" s="215"/>
      <c r="S85" s="208"/>
      <c r="T85" s="216"/>
      <c r="U85" s="219"/>
      <c r="V85" s="220"/>
    </row>
    <row r="86" spans="1:22" s="218" customFormat="1" ht="33" customHeight="1">
      <c r="A86" s="206">
        <v>81</v>
      </c>
      <c r="B86" s="207"/>
      <c r="C86" s="208"/>
      <c r="D86" s="208"/>
      <c r="E86" s="209"/>
      <c r="F86" s="208"/>
      <c r="G86" s="210"/>
      <c r="H86" s="211" t="s">
        <v>42</v>
      </c>
      <c r="I86" s="208" t="s">
        <v>76</v>
      </c>
      <c r="J86" s="210" t="s">
        <v>77</v>
      </c>
      <c r="K86" s="212"/>
      <c r="L86" s="213"/>
      <c r="M86" s="213"/>
      <c r="N86" s="210"/>
      <c r="O86" s="214"/>
      <c r="P86" s="208" t="s">
        <v>22</v>
      </c>
      <c r="Q86" s="208" t="s">
        <v>76</v>
      </c>
      <c r="R86" s="215"/>
      <c r="S86" s="208"/>
      <c r="T86" s="216"/>
      <c r="U86" s="219"/>
      <c r="V86" s="220"/>
    </row>
    <row r="87" spans="1:22" s="218" customFormat="1" ht="33" customHeight="1">
      <c r="A87" s="217"/>
      <c r="O87" s="233">
        <f>SUM(O6:O86)</f>
        <v>1420</v>
      </c>
    </row>
    <row r="88" spans="1:22" s="218" customFormat="1" ht="33" customHeight="1">
      <c r="A88" s="217"/>
    </row>
    <row r="89" spans="1:22" s="72" customFormat="1" ht="33" customHeight="1">
      <c r="A89" s="151"/>
    </row>
    <row r="90" spans="1:22" s="72" customFormat="1" ht="33" customHeight="1">
      <c r="A90"/>
      <c r="B90"/>
      <c r="C90"/>
      <c r="D90"/>
      <c r="E90"/>
      <c r="F90"/>
      <c r="G90"/>
      <c r="H90"/>
      <c r="I90"/>
      <c r="J90"/>
      <c r="K90">
        <v>6</v>
      </c>
      <c r="L90">
        <v>30</v>
      </c>
      <c r="M90">
        <f>K90*L90</f>
        <v>180</v>
      </c>
      <c r="N90"/>
      <c r="O90" s="147"/>
      <c r="P90"/>
      <c r="Q90"/>
      <c r="R90"/>
      <c r="S90"/>
      <c r="T90"/>
      <c r="U90"/>
      <c r="V90" s="151"/>
    </row>
    <row r="91" spans="1:22" s="72" customFormat="1" ht="33" customHeight="1">
      <c r="A91"/>
      <c r="B91"/>
      <c r="C91"/>
      <c r="D91"/>
      <c r="E91"/>
      <c r="F91"/>
      <c r="G91"/>
      <c r="H91"/>
      <c r="I91"/>
      <c r="J91"/>
      <c r="K91">
        <v>29</v>
      </c>
      <c r="L91" s="72">
        <v>20</v>
      </c>
      <c r="M91" s="72">
        <f>K91*L91</f>
        <v>580</v>
      </c>
      <c r="N91"/>
      <c r="O91"/>
      <c r="P91"/>
      <c r="Q91"/>
      <c r="R91"/>
      <c r="S91"/>
      <c r="T91"/>
      <c r="U91"/>
      <c r="V91" s="151"/>
    </row>
    <row r="92" spans="1:22" s="72" customFormat="1" ht="33" customHeight="1">
      <c r="A92"/>
      <c r="B92"/>
      <c r="C92"/>
      <c r="D92"/>
      <c r="E92"/>
      <c r="F92"/>
      <c r="G92"/>
      <c r="H92"/>
      <c r="I92"/>
      <c r="J92"/>
      <c r="K92">
        <v>44</v>
      </c>
      <c r="L92" s="72">
        <v>15</v>
      </c>
      <c r="M92" s="72">
        <f>K92*L92</f>
        <v>660</v>
      </c>
      <c r="N92"/>
      <c r="O92"/>
      <c r="P92"/>
      <c r="Q92"/>
      <c r="R92"/>
      <c r="S92"/>
      <c r="T92"/>
      <c r="U92"/>
      <c r="V92" s="151"/>
    </row>
    <row r="93" spans="1:22" s="72" customFormat="1" ht="33" customHeight="1">
      <c r="A93"/>
      <c r="B93"/>
      <c r="C93"/>
      <c r="D93"/>
      <c r="E93"/>
      <c r="F93"/>
      <c r="G93"/>
      <c r="H93"/>
      <c r="I93"/>
      <c r="J93"/>
      <c r="K93"/>
      <c r="M93" s="72">
        <f>SUM(M90:M92)</f>
        <v>1420</v>
      </c>
      <c r="N93"/>
      <c r="O93"/>
      <c r="P93"/>
      <c r="Q93"/>
      <c r="R93"/>
      <c r="S93"/>
      <c r="T93"/>
      <c r="U93"/>
      <c r="V93" s="151"/>
    </row>
    <row r="94" spans="1:22" s="72" customFormat="1" ht="33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s="151"/>
    </row>
    <row r="95" spans="1:22" s="72" customFormat="1" ht="33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s="151"/>
    </row>
    <row r="96" spans="1:22" s="72" customFormat="1" ht="33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s="151"/>
    </row>
    <row r="97" spans="1:22" s="72" customFormat="1" ht="33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s="151"/>
    </row>
    <row r="98" spans="1:22" s="72" customFormat="1" ht="33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2" s="72" customFormat="1" ht="33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2" s="72" customFormat="1" ht="33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2" s="72" customFormat="1" ht="33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2" s="72" customFormat="1" ht="33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2" s="72" customFormat="1" ht="33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2" ht="32.25" customHeight="1"/>
    <row r="105" spans="1:22" ht="35.25" customHeight="1"/>
    <row r="106" spans="1:22" ht="31.5" customHeight="1"/>
  </sheetData>
  <hyperlinks>
    <hyperlink ref="U8" r:id="rId1" xr:uid="{00000000-0004-0000-0000-000000000000}"/>
    <hyperlink ref="U9" r:id="rId2" xr:uid="{00000000-0004-0000-0000-000001000000}"/>
    <hyperlink ref="U10" r:id="rId3" xr:uid="{00000000-0004-0000-0000-000002000000}"/>
    <hyperlink ref="U11" r:id="rId4" xr:uid="{00000000-0004-0000-0000-000003000000}"/>
    <hyperlink ref="U12" r:id="rId5" xr:uid="{00000000-0004-0000-0000-000004000000}"/>
    <hyperlink ref="U13" r:id="rId6" xr:uid="{00000000-0004-0000-0000-000005000000}"/>
    <hyperlink ref="U14" r:id="rId7" xr:uid="{00000000-0004-0000-0000-000006000000}"/>
    <hyperlink ref="U15" r:id="rId8" xr:uid="{00000000-0004-0000-0000-000007000000}"/>
    <hyperlink ref="U16" r:id="rId9" xr:uid="{00000000-0004-0000-0000-000008000000}"/>
    <hyperlink ref="U17" r:id="rId10" xr:uid="{00000000-0004-0000-0000-000009000000}"/>
    <hyperlink ref="U18" r:id="rId11" xr:uid="{00000000-0004-0000-0000-00000A000000}"/>
    <hyperlink ref="U19" r:id="rId12" xr:uid="{00000000-0004-0000-0000-00000B000000}"/>
    <hyperlink ref="U20" r:id="rId13" xr:uid="{00000000-0004-0000-0000-00000C000000}"/>
    <hyperlink ref="U21" r:id="rId14" xr:uid="{00000000-0004-0000-0000-00000D000000}"/>
    <hyperlink ref="U22" r:id="rId15" xr:uid="{00000000-0004-0000-0000-00000E000000}"/>
    <hyperlink ref="U23" r:id="rId16" xr:uid="{00000000-0004-0000-0000-00000F000000}"/>
    <hyperlink ref="U24" r:id="rId17" xr:uid="{00000000-0004-0000-0000-000010000000}"/>
    <hyperlink ref="U25" r:id="rId18" xr:uid="{00000000-0004-0000-0000-000011000000}"/>
    <hyperlink ref="U26" r:id="rId19" xr:uid="{00000000-0004-0000-0000-000012000000}"/>
    <hyperlink ref="U27" r:id="rId20" xr:uid="{00000000-0004-0000-0000-000013000000}"/>
    <hyperlink ref="U28" r:id="rId21" xr:uid="{00000000-0004-0000-0000-000014000000}"/>
    <hyperlink ref="U29" r:id="rId22" xr:uid="{00000000-0004-0000-0000-000015000000}"/>
    <hyperlink ref="U30" r:id="rId23" xr:uid="{00000000-0004-0000-0000-000016000000}"/>
    <hyperlink ref="U31" r:id="rId24" xr:uid="{00000000-0004-0000-0000-000017000000}"/>
    <hyperlink ref="U32" r:id="rId25" xr:uid="{00000000-0004-0000-0000-000018000000}"/>
    <hyperlink ref="U33" r:id="rId26" xr:uid="{00000000-0004-0000-0000-000019000000}"/>
    <hyperlink ref="U34" r:id="rId27" xr:uid="{00000000-0004-0000-0000-00001A000000}"/>
    <hyperlink ref="U35" r:id="rId28" xr:uid="{00000000-0004-0000-0000-00001B000000}"/>
    <hyperlink ref="U36" r:id="rId29" xr:uid="{00000000-0004-0000-0000-00001C000000}"/>
    <hyperlink ref="U37" r:id="rId30" xr:uid="{00000000-0004-0000-0000-00001D000000}"/>
    <hyperlink ref="U38" r:id="rId31" xr:uid="{00000000-0004-0000-0000-00001E000000}"/>
    <hyperlink ref="U39" r:id="rId32" xr:uid="{00000000-0004-0000-0000-00001F000000}"/>
    <hyperlink ref="U40" r:id="rId33" xr:uid="{00000000-0004-0000-0000-000020000000}"/>
    <hyperlink ref="U41" r:id="rId34" xr:uid="{00000000-0004-0000-0000-000021000000}"/>
    <hyperlink ref="U42" r:id="rId35" xr:uid="{00000000-0004-0000-0000-000022000000}"/>
    <hyperlink ref="U43" r:id="rId36" xr:uid="{00000000-0004-0000-0000-000023000000}"/>
    <hyperlink ref="U44" r:id="rId37" xr:uid="{00000000-0004-0000-0000-000024000000}"/>
    <hyperlink ref="U45" r:id="rId38" xr:uid="{00000000-0004-0000-0000-000025000000}"/>
    <hyperlink ref="U46" r:id="rId39" xr:uid="{00000000-0004-0000-0000-000026000000}"/>
    <hyperlink ref="U47" r:id="rId40" xr:uid="{00000000-0004-0000-0000-000027000000}"/>
    <hyperlink ref="U48" r:id="rId41" xr:uid="{00000000-0004-0000-0000-000028000000}"/>
    <hyperlink ref="U49" r:id="rId42" xr:uid="{00000000-0004-0000-0000-000029000000}"/>
    <hyperlink ref="U50" r:id="rId43" xr:uid="{00000000-0004-0000-0000-00002A000000}"/>
    <hyperlink ref="U51" r:id="rId44" xr:uid="{00000000-0004-0000-0000-00002B000000}"/>
    <hyperlink ref="U52" r:id="rId45" xr:uid="{00000000-0004-0000-0000-00002C000000}"/>
    <hyperlink ref="U53" r:id="rId46" xr:uid="{00000000-0004-0000-0000-00002D000000}"/>
    <hyperlink ref="U54" r:id="rId47" xr:uid="{00000000-0004-0000-0000-00002E000000}"/>
    <hyperlink ref="U55" r:id="rId48" xr:uid="{00000000-0004-0000-0000-00002F000000}"/>
    <hyperlink ref="U56" r:id="rId49" xr:uid="{00000000-0004-0000-0000-000030000000}"/>
    <hyperlink ref="U57" r:id="rId50" xr:uid="{00000000-0004-0000-0000-000031000000}"/>
    <hyperlink ref="U58" r:id="rId51" xr:uid="{00000000-0004-0000-0000-000032000000}"/>
    <hyperlink ref="U59" r:id="rId52" xr:uid="{00000000-0004-0000-0000-000033000000}"/>
    <hyperlink ref="U64" r:id="rId53" xr:uid="{00000000-0004-0000-0000-000034000000}"/>
    <hyperlink ref="U65" r:id="rId54" xr:uid="{00000000-0004-0000-0000-000035000000}"/>
    <hyperlink ref="U66" r:id="rId55" xr:uid="{00000000-0004-0000-0000-000036000000}"/>
    <hyperlink ref="U67" r:id="rId56" xr:uid="{00000000-0004-0000-0000-000037000000}"/>
    <hyperlink ref="U68" r:id="rId57" xr:uid="{00000000-0004-0000-0000-000038000000}"/>
    <hyperlink ref="U69" r:id="rId58" xr:uid="{00000000-0004-0000-0000-000039000000}"/>
    <hyperlink ref="U70" r:id="rId59" xr:uid="{00000000-0004-0000-0000-00003A000000}"/>
    <hyperlink ref="U71" r:id="rId60" xr:uid="{00000000-0004-0000-0000-00003B000000}"/>
    <hyperlink ref="U72" r:id="rId61" xr:uid="{00000000-0004-0000-0000-00003C000000}"/>
    <hyperlink ref="U73" r:id="rId62" xr:uid="{00000000-0004-0000-0000-00003D000000}"/>
    <hyperlink ref="U74" r:id="rId63" xr:uid="{00000000-0004-0000-0000-00003E000000}"/>
    <hyperlink ref="U75" r:id="rId64" xr:uid="{00000000-0004-0000-0000-00003F000000}"/>
    <hyperlink ref="U76" r:id="rId65" xr:uid="{00000000-0004-0000-0000-000040000000}"/>
    <hyperlink ref="U77" r:id="rId66" xr:uid="{00000000-0004-0000-0000-000041000000}"/>
    <hyperlink ref="U78" r:id="rId67" xr:uid="{00000000-0004-0000-0000-000042000000}"/>
    <hyperlink ref="U79" r:id="rId68" xr:uid="{00000000-0004-0000-0000-000043000000}"/>
    <hyperlink ref="U80" r:id="rId69" xr:uid="{00000000-0004-0000-0000-000044000000}"/>
    <hyperlink ref="U81" r:id="rId70" xr:uid="{00000000-0004-0000-0000-000045000000}"/>
    <hyperlink ref="U82" r:id="rId71" xr:uid="{00000000-0004-0000-0000-000046000000}"/>
    <hyperlink ref="U83" r:id="rId72" xr:uid="{00000000-0004-0000-0000-000047000000}"/>
    <hyperlink ref="U84" r:id="rId73" xr:uid="{00000000-0004-0000-0000-000048000000}"/>
  </hyperlinks>
  <pageMargins left="0.7" right="0.7" top="0.75" bottom="0.75" header="0.3" footer="0.3"/>
  <pageSetup paperSize="9" orientation="portrait" horizontalDpi="0" verticalDpi="0" r:id="rId74"/>
  <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45"/>
  <sheetViews>
    <sheetView tabSelected="1" topLeftCell="G13" zoomScale="69" zoomScaleNormal="69" workbookViewId="0">
      <selection activeCell="H22" sqref="H22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1.1640625" bestFit="1" customWidth="1"/>
    <col min="18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82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97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404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48" t="s">
        <v>26</v>
      </c>
      <c r="C8" s="148" t="s">
        <v>27</v>
      </c>
      <c r="D8" s="148" t="s">
        <v>28</v>
      </c>
      <c r="E8" s="148" t="s">
        <v>29</v>
      </c>
      <c r="F8" s="148" t="s">
        <v>30</v>
      </c>
      <c r="G8" s="148" t="s">
        <v>31</v>
      </c>
      <c r="H8" s="148" t="s">
        <v>32</v>
      </c>
      <c r="I8" s="148" t="s">
        <v>33</v>
      </c>
      <c r="J8" s="148" t="s">
        <v>34</v>
      </c>
      <c r="K8" s="148" t="s">
        <v>35</v>
      </c>
      <c r="L8" s="148" t="s">
        <v>36</v>
      </c>
      <c r="M8" s="148" t="s">
        <v>37</v>
      </c>
      <c r="N8" s="148" t="s">
        <v>38</v>
      </c>
      <c r="O8" s="148" t="s">
        <v>39</v>
      </c>
      <c r="P8" s="148" t="s">
        <v>40</v>
      </c>
      <c r="Q8" s="148" t="s">
        <v>41</v>
      </c>
      <c r="R8" s="149" t="s">
        <v>18</v>
      </c>
      <c r="S8" s="150" t="s">
        <v>19</v>
      </c>
    </row>
    <row r="9" spans="1:20" s="202" customFormat="1" ht="56.25" customHeight="1">
      <c r="A9" s="189">
        <v>1</v>
      </c>
      <c r="B9" s="190">
        <v>45119</v>
      </c>
      <c r="C9" s="191">
        <v>45503</v>
      </c>
      <c r="D9" s="192"/>
      <c r="E9" s="192"/>
      <c r="F9" s="193" t="s">
        <v>328</v>
      </c>
      <c r="G9" s="194">
        <v>40584012</v>
      </c>
      <c r="H9" s="195" t="s">
        <v>190</v>
      </c>
      <c r="I9" s="196" t="s">
        <v>329</v>
      </c>
      <c r="J9" s="197" t="s">
        <v>42</v>
      </c>
      <c r="K9" s="194" t="s">
        <v>79</v>
      </c>
      <c r="L9" s="194" t="s">
        <v>330</v>
      </c>
      <c r="M9" s="193" t="s">
        <v>331</v>
      </c>
      <c r="N9" s="198">
        <v>15</v>
      </c>
      <c r="O9" s="199">
        <v>100669399</v>
      </c>
      <c r="P9" s="200" t="s">
        <v>332</v>
      </c>
      <c r="Q9" s="184">
        <v>998379105</v>
      </c>
      <c r="R9" s="184"/>
      <c r="S9" s="184" t="s">
        <v>333</v>
      </c>
      <c r="T9" s="201"/>
    </row>
    <row r="10" spans="1:20" s="202" customFormat="1" ht="56.25" customHeight="1">
      <c r="A10" s="189">
        <v>2</v>
      </c>
      <c r="B10" s="190">
        <v>45238</v>
      </c>
      <c r="C10" s="191">
        <v>45490</v>
      </c>
      <c r="D10" s="192">
        <v>1</v>
      </c>
      <c r="E10" s="192">
        <v>6083213</v>
      </c>
      <c r="F10" s="193" t="s">
        <v>334</v>
      </c>
      <c r="G10" s="194">
        <v>112570126</v>
      </c>
      <c r="H10" s="195" t="s">
        <v>335</v>
      </c>
      <c r="I10" s="196" t="s">
        <v>336</v>
      </c>
      <c r="J10" s="197" t="s">
        <v>42</v>
      </c>
      <c r="K10" s="194" t="s">
        <v>79</v>
      </c>
      <c r="L10" s="194" t="s">
        <v>337</v>
      </c>
      <c r="M10" s="193" t="s">
        <v>338</v>
      </c>
      <c r="N10" s="198">
        <v>12.5</v>
      </c>
      <c r="O10" s="199">
        <v>1700174731</v>
      </c>
      <c r="P10" s="200" t="s">
        <v>339</v>
      </c>
      <c r="Q10" s="184">
        <v>998691372</v>
      </c>
      <c r="R10" s="184"/>
      <c r="S10" s="184" t="s">
        <v>340</v>
      </c>
      <c r="T10" s="201"/>
    </row>
    <row r="11" spans="1:20" s="202" customFormat="1" ht="56.25" customHeight="1">
      <c r="A11" s="189">
        <v>3</v>
      </c>
      <c r="B11" s="190">
        <v>44725</v>
      </c>
      <c r="C11" s="191">
        <v>45513</v>
      </c>
      <c r="D11" s="192">
        <v>1</v>
      </c>
      <c r="E11" s="192">
        <v>6083252</v>
      </c>
      <c r="F11" s="193" t="s">
        <v>341</v>
      </c>
      <c r="G11" s="194">
        <v>1125220025</v>
      </c>
      <c r="H11" s="195" t="s">
        <v>139</v>
      </c>
      <c r="I11" s="196" t="s">
        <v>342</v>
      </c>
      <c r="J11" s="197" t="s">
        <v>42</v>
      </c>
      <c r="K11" s="194" t="s">
        <v>79</v>
      </c>
      <c r="L11" s="194" t="s">
        <v>343</v>
      </c>
      <c r="M11" s="193" t="s">
        <v>344</v>
      </c>
      <c r="N11" s="198">
        <v>12.5</v>
      </c>
      <c r="O11" s="199">
        <v>171389651001</v>
      </c>
      <c r="P11" s="200" t="s">
        <v>500</v>
      </c>
      <c r="Q11" s="184">
        <v>994408935</v>
      </c>
      <c r="R11" s="184"/>
      <c r="S11" s="184" t="s">
        <v>345</v>
      </c>
      <c r="T11" s="201"/>
    </row>
    <row r="12" spans="1:20" s="202" customFormat="1" ht="56.25" customHeight="1">
      <c r="A12" s="189">
        <v>4</v>
      </c>
      <c r="B12" s="190">
        <v>45395</v>
      </c>
      <c r="C12" s="191">
        <v>45512</v>
      </c>
      <c r="D12" s="192">
        <v>1</v>
      </c>
      <c r="E12" s="192">
        <v>6083269</v>
      </c>
      <c r="F12" s="193" t="s">
        <v>346</v>
      </c>
      <c r="G12" s="194">
        <v>112510035</v>
      </c>
      <c r="H12" s="195" t="s">
        <v>347</v>
      </c>
      <c r="I12" s="196" t="s">
        <v>348</v>
      </c>
      <c r="J12" s="197" t="s">
        <v>42</v>
      </c>
      <c r="K12" s="194" t="s">
        <v>79</v>
      </c>
      <c r="L12" s="194" t="s">
        <v>349</v>
      </c>
      <c r="M12" s="193" t="s">
        <v>350</v>
      </c>
      <c r="N12" s="198">
        <v>12.5</v>
      </c>
      <c r="O12" s="199">
        <v>171389651001</v>
      </c>
      <c r="P12" s="200" t="s">
        <v>351</v>
      </c>
      <c r="Q12" s="184">
        <v>997040845</v>
      </c>
      <c r="R12" s="184"/>
      <c r="S12" s="184" t="s">
        <v>352</v>
      </c>
      <c r="T12" s="201"/>
    </row>
    <row r="13" spans="1:20" s="202" customFormat="1" ht="56.25" customHeight="1">
      <c r="A13" s="189">
        <v>5</v>
      </c>
      <c r="B13" s="190">
        <v>45224</v>
      </c>
      <c r="C13" s="191">
        <v>45519</v>
      </c>
      <c r="D13" s="192"/>
      <c r="E13" s="192"/>
      <c r="F13" s="193" t="s">
        <v>499</v>
      </c>
      <c r="G13" s="209">
        <v>113430016</v>
      </c>
      <c r="H13" s="195" t="s">
        <v>95</v>
      </c>
      <c r="I13" s="211" t="s">
        <v>127</v>
      </c>
      <c r="J13" s="197" t="s">
        <v>42</v>
      </c>
      <c r="K13" s="194" t="s">
        <v>79</v>
      </c>
      <c r="L13" s="194" t="s">
        <v>115</v>
      </c>
      <c r="M13" s="193" t="s">
        <v>405</v>
      </c>
      <c r="N13" s="198">
        <v>18.75</v>
      </c>
      <c r="O13" s="199">
        <v>103311452</v>
      </c>
      <c r="P13" s="234" t="s">
        <v>117</v>
      </c>
      <c r="Q13" s="211">
        <v>964103658</v>
      </c>
      <c r="R13" s="184"/>
      <c r="S13" s="235" t="s">
        <v>112</v>
      </c>
      <c r="T13" s="201"/>
    </row>
    <row r="14" spans="1:20" s="202" customFormat="1" ht="56.25" customHeight="1">
      <c r="A14" s="189"/>
      <c r="B14" s="221"/>
      <c r="C14" s="222"/>
      <c r="D14" s="223"/>
      <c r="E14" s="223"/>
      <c r="F14" s="224"/>
      <c r="G14" s="203"/>
      <c r="H14" s="225"/>
      <c r="I14" s="226"/>
      <c r="J14" s="227"/>
      <c r="K14" s="203"/>
      <c r="L14" s="203"/>
      <c r="M14" s="224"/>
      <c r="N14" s="228">
        <f>SUM(N9:N13)</f>
        <v>71.25</v>
      </c>
      <c r="O14" s="229"/>
      <c r="P14" s="230"/>
      <c r="T14" s="201"/>
    </row>
    <row r="15" spans="1:20" s="202" customFormat="1" ht="56.25" customHeight="1">
      <c r="A15" s="189"/>
      <c r="B15" s="221"/>
      <c r="C15" s="222"/>
      <c r="D15" s="223"/>
      <c r="E15" s="223"/>
      <c r="F15" s="224"/>
      <c r="G15" s="203"/>
      <c r="H15" s="225"/>
      <c r="I15" s="226"/>
      <c r="J15" s="227"/>
      <c r="K15" s="203"/>
      <c r="L15" s="203"/>
      <c r="M15" s="224"/>
      <c r="N15" s="228">
        <f>SUM(N9:N13)</f>
        <v>71.25</v>
      </c>
      <c r="O15" s="229"/>
      <c r="P15" s="230"/>
      <c r="T15" s="201"/>
    </row>
    <row r="16" spans="1:20" s="202" customFormat="1" ht="56.25" customHeight="1">
      <c r="A16" s="189"/>
      <c r="B16" s="221"/>
      <c r="C16" s="222"/>
      <c r="D16" s="223"/>
      <c r="E16" s="223"/>
      <c r="F16" s="224"/>
      <c r="G16" s="203"/>
      <c r="H16" s="225"/>
      <c r="I16" s="226"/>
      <c r="J16" s="227"/>
      <c r="K16" s="203"/>
      <c r="L16" s="203">
        <v>3</v>
      </c>
      <c r="M16" s="224" t="s">
        <v>88</v>
      </c>
      <c r="N16" s="228">
        <v>12.5</v>
      </c>
      <c r="O16" s="229">
        <f>L16*N16</f>
        <v>37.5</v>
      </c>
      <c r="P16" s="230"/>
      <c r="T16" s="201"/>
    </row>
    <row r="17" spans="1:20" s="202" customFormat="1" ht="56.25" customHeight="1">
      <c r="A17" s="189"/>
      <c r="B17" s="221"/>
      <c r="C17" s="222"/>
      <c r="D17" s="223"/>
      <c r="E17" s="223"/>
      <c r="F17" s="224"/>
      <c r="G17" s="203"/>
      <c r="H17" s="225"/>
      <c r="I17" s="226"/>
      <c r="J17" s="227"/>
      <c r="K17" s="203"/>
      <c r="L17" s="203">
        <v>1</v>
      </c>
      <c r="M17" s="224" t="s">
        <v>94</v>
      </c>
      <c r="N17" s="228">
        <v>15</v>
      </c>
      <c r="O17" s="229">
        <v>15</v>
      </c>
      <c r="P17" s="230"/>
      <c r="T17" s="201"/>
    </row>
    <row r="18" spans="1:20" s="202" customFormat="1" ht="56.25" customHeight="1">
      <c r="A18" s="189"/>
      <c r="B18" s="221"/>
      <c r="C18" s="222"/>
      <c r="D18" s="223"/>
      <c r="E18" s="223"/>
      <c r="F18" s="224"/>
      <c r="G18" s="203"/>
      <c r="H18" s="225"/>
      <c r="I18" s="226"/>
      <c r="J18" s="227"/>
      <c r="K18" s="203"/>
      <c r="L18" s="203">
        <v>1</v>
      </c>
      <c r="M18" s="224" t="s">
        <v>95</v>
      </c>
      <c r="N18" s="228">
        <v>18.75</v>
      </c>
      <c r="O18" s="229">
        <v>18.75</v>
      </c>
      <c r="P18" s="230"/>
      <c r="T18" s="201"/>
    </row>
    <row r="19" spans="1:20" s="202" customFormat="1" ht="56.25" customHeight="1">
      <c r="A19" s="189"/>
      <c r="B19" s="221"/>
      <c r="C19" s="222"/>
      <c r="D19" s="223"/>
      <c r="E19" s="223"/>
      <c r="F19" s="224"/>
      <c r="G19" s="203"/>
      <c r="H19" s="225"/>
      <c r="I19" s="226"/>
      <c r="J19" s="227"/>
      <c r="K19" s="203"/>
      <c r="L19" s="203"/>
      <c r="M19" s="224"/>
      <c r="N19" s="228"/>
      <c r="O19" s="229">
        <f>SUM(O16:O18)</f>
        <v>71.25</v>
      </c>
      <c r="P19" s="230"/>
      <c r="T19" s="201"/>
    </row>
    <row r="20" spans="1:20" s="202" customFormat="1" ht="56.25" customHeight="1">
      <c r="A20" s="189"/>
      <c r="B20" s="221"/>
      <c r="C20" s="222"/>
      <c r="D20" s="223"/>
      <c r="E20" s="223"/>
      <c r="F20" s="224"/>
      <c r="G20" s="203"/>
      <c r="H20" s="225"/>
      <c r="I20" s="226"/>
      <c r="J20" s="227"/>
      <c r="K20" s="203"/>
      <c r="L20" s="203"/>
      <c r="M20" s="224"/>
      <c r="N20" s="228"/>
      <c r="O20" s="229"/>
      <c r="P20" s="230"/>
      <c r="T20" s="201"/>
    </row>
    <row r="21" spans="1:20" s="202" customFormat="1" ht="56.25" customHeight="1">
      <c r="A21" s="189"/>
      <c r="B21" s="221"/>
      <c r="C21" s="222"/>
      <c r="D21" s="223"/>
      <c r="E21" s="223"/>
      <c r="F21" s="224"/>
      <c r="G21" s="203"/>
      <c r="H21" s="225"/>
      <c r="I21" s="226"/>
      <c r="J21" s="227"/>
      <c r="K21" s="203"/>
      <c r="L21" s="203"/>
      <c r="M21" s="224"/>
      <c r="N21" s="228"/>
      <c r="O21" s="229"/>
      <c r="P21" s="230"/>
      <c r="T21" s="201"/>
    </row>
    <row r="22" spans="1:20" s="202" customFormat="1" ht="56.25" customHeight="1">
      <c r="A22" s="189"/>
      <c r="B22" s="221"/>
      <c r="C22" s="222"/>
      <c r="D22" s="223"/>
      <c r="E22" s="223"/>
      <c r="F22" s="224"/>
      <c r="G22" s="203"/>
      <c r="H22" s="225"/>
      <c r="I22" s="226"/>
      <c r="J22" s="227"/>
      <c r="K22" s="203"/>
      <c r="L22" s="203"/>
      <c r="M22" s="224"/>
      <c r="N22" s="228"/>
      <c r="O22" s="229"/>
      <c r="P22" s="230"/>
      <c r="T22" s="201"/>
    </row>
    <row r="23" spans="1:20" s="202" customFormat="1" ht="56.25" customHeight="1">
      <c r="A23" s="189"/>
      <c r="B23" s="221"/>
      <c r="C23" s="222"/>
      <c r="D23" s="223"/>
      <c r="E23" s="223"/>
      <c r="F23" s="224"/>
      <c r="G23" s="203"/>
      <c r="H23" s="225"/>
      <c r="I23" s="226"/>
      <c r="J23" s="227"/>
      <c r="K23" s="203"/>
      <c r="L23" s="203"/>
      <c r="M23" s="224"/>
      <c r="N23" s="228"/>
      <c r="O23" s="229"/>
      <c r="P23" s="230"/>
      <c r="T23" s="201"/>
    </row>
    <row r="24" spans="1:20" s="202" customFormat="1" ht="56.25" customHeight="1">
      <c r="A24" s="189">
        <v>2</v>
      </c>
      <c r="B24"/>
      <c r="C24"/>
      <c r="D24"/>
      <c r="E24"/>
      <c r="F24"/>
      <c r="G24"/>
      <c r="H24"/>
      <c r="I24"/>
      <c r="J24" s="205">
        <v>3</v>
      </c>
      <c r="K24" s="203" t="s">
        <v>88</v>
      </c>
      <c r="L24" s="205">
        <v>12.5</v>
      </c>
      <c r="M24" s="205">
        <f>J24*L24</f>
        <v>37.5</v>
      </c>
      <c r="N24" s="109">
        <f>SUM(N9:N9)</f>
        <v>15</v>
      </c>
      <c r="O24"/>
      <c r="P24"/>
      <c r="Q24"/>
      <c r="R24"/>
      <c r="S24"/>
      <c r="T24" s="201"/>
    </row>
    <row r="25" spans="1:20" s="202" customFormat="1" ht="56.25" customHeight="1">
      <c r="A25" s="189">
        <v>3</v>
      </c>
      <c r="B25"/>
      <c r="C25"/>
      <c r="D25"/>
      <c r="E25"/>
      <c r="F25"/>
      <c r="G25"/>
      <c r="H25"/>
      <c r="I25"/>
      <c r="J25" s="204">
        <v>1</v>
      </c>
      <c r="K25" s="203" t="s">
        <v>89</v>
      </c>
      <c r="L25" s="205">
        <v>18.75</v>
      </c>
      <c r="M25" s="205">
        <v>18.75</v>
      </c>
      <c r="N25"/>
      <c r="O25"/>
      <c r="P25"/>
      <c r="Q25"/>
      <c r="R25"/>
      <c r="S25"/>
      <c r="T25" s="201"/>
    </row>
    <row r="26" spans="1:20" s="202" customFormat="1" ht="56.25" customHeight="1">
      <c r="A26" s="189">
        <v>4</v>
      </c>
      <c r="B26"/>
      <c r="C26"/>
      <c r="D26"/>
      <c r="E26"/>
      <c r="F26"/>
      <c r="G26"/>
      <c r="H26"/>
      <c r="I26"/>
      <c r="J26" s="205">
        <v>2</v>
      </c>
      <c r="K26" s="203" t="s">
        <v>93</v>
      </c>
      <c r="L26" s="205">
        <v>15</v>
      </c>
      <c r="M26" s="205">
        <v>30</v>
      </c>
      <c r="N26"/>
      <c r="O26"/>
      <c r="P26">
        <v>3</v>
      </c>
      <c r="Q26"/>
      <c r="R26"/>
      <c r="S26"/>
      <c r="T26" s="201"/>
    </row>
    <row r="27" spans="1:20" s="202" customFormat="1" ht="56.25" customHeight="1">
      <c r="A27" s="189">
        <v>5</v>
      </c>
      <c r="B27"/>
      <c r="C27"/>
      <c r="D27"/>
      <c r="E27"/>
      <c r="F27"/>
      <c r="G27"/>
      <c r="H27"/>
      <c r="I27"/>
      <c r="J27" s="205">
        <v>1</v>
      </c>
      <c r="K27" s="203" t="s">
        <v>94</v>
      </c>
      <c r="L27" s="205">
        <v>15</v>
      </c>
      <c r="M27" s="5">
        <v>15</v>
      </c>
      <c r="N27"/>
      <c r="O27"/>
      <c r="P27"/>
      <c r="Q27"/>
      <c r="R27"/>
      <c r="S27"/>
      <c r="T27" s="201"/>
    </row>
    <row r="28" spans="1:20" s="202" customFormat="1" ht="56.25" customHeight="1">
      <c r="A28" s="189">
        <v>6</v>
      </c>
      <c r="B28"/>
      <c r="C28"/>
      <c r="D28"/>
      <c r="E28"/>
      <c r="F28"/>
      <c r="G28"/>
      <c r="H28"/>
      <c r="I28"/>
      <c r="J28" s="205">
        <v>1</v>
      </c>
      <c r="K28" s="203" t="s">
        <v>95</v>
      </c>
      <c r="L28" s="205">
        <v>18.75</v>
      </c>
      <c r="M28">
        <v>18.75</v>
      </c>
      <c r="N28"/>
      <c r="O28"/>
      <c r="P28"/>
      <c r="Q28"/>
      <c r="R28"/>
      <c r="S28"/>
      <c r="T28" s="201"/>
    </row>
    <row r="29" spans="1:20" s="202" customFormat="1" ht="56.25" customHeight="1">
      <c r="A29" s="189">
        <v>7</v>
      </c>
      <c r="B29"/>
      <c r="C29"/>
      <c r="D29"/>
      <c r="E29"/>
      <c r="F29"/>
      <c r="G29"/>
      <c r="H29"/>
      <c r="I29"/>
      <c r="J29"/>
      <c r="K29"/>
      <c r="L29"/>
      <c r="M29">
        <f>SUM(M24:M28)</f>
        <v>120</v>
      </c>
      <c r="N29"/>
      <c r="O29"/>
      <c r="P29"/>
      <c r="Q29"/>
      <c r="R29"/>
      <c r="S29"/>
    </row>
    <row r="30" spans="1:20" s="202" customFormat="1" ht="56.25" customHeight="1">
      <c r="A30" s="189">
        <v>8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20" s="202" customFormat="1" ht="51" customHeight="1">
      <c r="A31" s="189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20" s="202" customFormat="1" ht="56.25" customHeight="1">
      <c r="A32" s="18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s="202" customFormat="1" ht="36.75" customHeight="1">
      <c r="A33" s="18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182"/>
      <c r="Q33" s="182"/>
      <c r="R33" s="182"/>
      <c r="S33" s="182"/>
    </row>
    <row r="34" spans="1:19" s="182" customFormat="1" ht="56.25" customHeight="1">
      <c r="A34" s="181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s="72"/>
      <c r="Q34" s="72"/>
      <c r="R34" s="72"/>
      <c r="S34" s="72"/>
    </row>
    <row r="35" spans="1:19" s="182" customFormat="1" ht="31.5" customHeight="1">
      <c r="A35" s="181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s="72"/>
      <c r="Q35" s="72"/>
      <c r="R35" s="72"/>
      <c r="S35" s="72"/>
    </row>
    <row r="36" spans="1:19" s="182" customFormat="1" ht="30" customHeight="1">
      <c r="A36" s="181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s="182" customFormat="1" ht="30" customHeight="1">
      <c r="A37" s="181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s="182" customFormat="1" ht="24.75" customHeight="1">
      <c r="A38" s="181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s="182" customFormat="1" ht="56.25" customHeight="1">
      <c r="A39" s="181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s="182" customFormat="1" ht="56.25" customHeight="1">
      <c r="A40" s="181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s="182" customFormat="1" ht="56.25" customHeight="1">
      <c r="A41" s="18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s="182" customFormat="1" ht="17">
      <c r="A42" s="183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s="182" customFormat="1" ht="17">
      <c r="A43" s="18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s="72" customFormat="1" ht="17">
      <c r="A44" s="73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s="72" customFormat="1" ht="17">
      <c r="A45" s="73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</sheetData>
  <hyperlinks>
    <hyperlink ref="V41" r:id="rId1" display="santiago2217@icloud.com" xr:uid="{00000000-0004-0000-0100-000000000000}"/>
    <hyperlink ref="P9" r:id="rId2" xr:uid="{00000000-0004-0000-0100-000001000000}"/>
    <hyperlink ref="P10" r:id="rId3" xr:uid="{00000000-0004-0000-0100-000002000000}"/>
    <hyperlink ref="P12" r:id="rId4" xr:uid="{00000000-0004-0000-0100-000003000000}"/>
    <hyperlink ref="P13" r:id="rId5" xr:uid="{00000000-0004-0000-0100-000004000000}"/>
    <hyperlink ref="P11" r:id="rId6" xr:uid="{00000000-0004-0000-0100-000005000000}"/>
  </hyperlinks>
  <pageMargins left="0.7" right="0.7" top="0.75" bottom="0.75" header="0.3" footer="0.3"/>
  <pageSetup paperSize="9" orientation="portrait" horizontalDpi="0" verticalDpi="0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5"/>
  <sheetViews>
    <sheetView topLeftCell="A8" workbookViewId="0">
      <selection activeCell="D25" sqref="D25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53" t="s">
        <v>98</v>
      </c>
      <c r="N4" s="75"/>
      <c r="O4" s="80"/>
      <c r="P4" s="75"/>
      <c r="Q4" s="83"/>
      <c r="R4" s="75"/>
      <c r="S4" s="75"/>
      <c r="T4" s="84"/>
      <c r="U4" s="85">
        <v>45505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8">
        <v>45499</v>
      </c>
      <c r="C6" s="99" t="s">
        <v>100</v>
      </c>
      <c r="D6" s="94" t="s">
        <v>159</v>
      </c>
      <c r="E6" s="95">
        <v>111570003</v>
      </c>
      <c r="F6" s="96" t="s">
        <v>81</v>
      </c>
      <c r="G6" s="100" t="s">
        <v>160</v>
      </c>
      <c r="H6" s="101">
        <v>392014</v>
      </c>
      <c r="I6" s="102" t="s">
        <v>76</v>
      </c>
      <c r="J6" s="102" t="s">
        <v>77</v>
      </c>
      <c r="K6" s="98">
        <v>45500</v>
      </c>
      <c r="L6" s="99" t="s">
        <v>156</v>
      </c>
      <c r="M6" s="97" t="s">
        <v>157</v>
      </c>
      <c r="N6" s="187">
        <v>985539645</v>
      </c>
      <c r="O6" s="103">
        <v>29</v>
      </c>
      <c r="P6" s="99" t="s">
        <v>51</v>
      </c>
      <c r="Q6" s="99" t="s">
        <v>76</v>
      </c>
      <c r="R6" s="104">
        <v>0</v>
      </c>
      <c r="S6" s="104">
        <v>0</v>
      </c>
      <c r="T6" s="105">
        <v>100021997</v>
      </c>
      <c r="U6" s="152" t="s">
        <v>158</v>
      </c>
    </row>
    <row r="7" spans="1:21" ht="17">
      <c r="H7" s="93">
        <v>1</v>
      </c>
      <c r="I7" t="s">
        <v>45</v>
      </c>
      <c r="J7" s="93">
        <v>29</v>
      </c>
      <c r="K7" s="93">
        <f>H7*J7</f>
        <v>29</v>
      </c>
      <c r="N7" s="109">
        <f>SUM(O6:O6)</f>
        <v>29</v>
      </c>
    </row>
    <row r="25" spans="4:4">
      <c r="D25" t="s">
        <v>509</v>
      </c>
    </row>
  </sheetData>
  <hyperlinks>
    <hyperlink ref="U6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9"/>
  <sheetViews>
    <sheetView workbookViewId="0">
      <selection activeCell="D20" sqref="D20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6" t="s">
        <v>52</v>
      </c>
      <c r="D4" s="107"/>
      <c r="E4" s="107"/>
      <c r="F4" s="5"/>
      <c r="G4" s="107"/>
      <c r="H4" s="107"/>
      <c r="I4" s="107"/>
      <c r="J4" s="107"/>
      <c r="K4" s="107"/>
      <c r="L4" s="107"/>
      <c r="M4" s="107"/>
      <c r="N4" s="107"/>
      <c r="O4" s="107"/>
      <c r="P4" s="5"/>
    </row>
    <row r="5" spans="1:22" ht="16" thickBot="1">
      <c r="A5" s="5"/>
      <c r="B5" s="107"/>
      <c r="C5" s="108" t="s">
        <v>1</v>
      </c>
      <c r="D5" s="108"/>
      <c r="E5" s="108"/>
      <c r="F5" s="5"/>
      <c r="J5" t="s">
        <v>64</v>
      </c>
      <c r="K5" s="5"/>
      <c r="L5" s="116" t="s">
        <v>91</v>
      </c>
      <c r="P5" s="5"/>
    </row>
    <row r="6" spans="1:22" s="23" customFormat="1" ht="58.5" customHeight="1">
      <c r="A6" s="110"/>
      <c r="B6" s="111" t="s">
        <v>53</v>
      </c>
      <c r="C6" s="112" t="s">
        <v>54</v>
      </c>
      <c r="D6" s="112" t="s">
        <v>4</v>
      </c>
      <c r="E6" s="113" t="s">
        <v>55</v>
      </c>
      <c r="F6" s="112" t="s">
        <v>56</v>
      </c>
      <c r="G6" s="112" t="s">
        <v>57</v>
      </c>
      <c r="H6" s="111" t="s">
        <v>8</v>
      </c>
      <c r="I6" s="112" t="s">
        <v>58</v>
      </c>
      <c r="J6" s="112" t="s">
        <v>59</v>
      </c>
      <c r="K6" s="112" t="s">
        <v>60</v>
      </c>
      <c r="L6" s="112" t="s">
        <v>12</v>
      </c>
      <c r="M6" s="114" t="s">
        <v>61</v>
      </c>
      <c r="N6" s="112" t="s">
        <v>14</v>
      </c>
      <c r="O6" s="115" t="s">
        <v>15</v>
      </c>
      <c r="P6" s="112" t="s">
        <v>62</v>
      </c>
      <c r="Q6" s="114"/>
      <c r="R6" s="114"/>
    </row>
    <row r="7" spans="1:22" s="38" customFormat="1" ht="24" customHeight="1">
      <c r="A7" s="24">
        <v>1</v>
      </c>
      <c r="B7" s="25"/>
      <c r="C7" s="26" t="s">
        <v>78</v>
      </c>
      <c r="D7" s="26" t="s">
        <v>63</v>
      </c>
      <c r="E7" s="27"/>
      <c r="F7" s="28"/>
      <c r="G7" s="29"/>
      <c r="H7" s="30" t="s">
        <v>42</v>
      </c>
      <c r="I7" s="26" t="s">
        <v>79</v>
      </c>
      <c r="J7" s="29" t="s">
        <v>80</v>
      </c>
      <c r="K7" s="31"/>
      <c r="L7" s="32" t="s">
        <v>78</v>
      </c>
      <c r="M7" s="32"/>
      <c r="N7" s="185"/>
      <c r="O7" s="33"/>
      <c r="P7" s="26" t="s">
        <v>90</v>
      </c>
      <c r="Q7" s="26"/>
      <c r="R7" s="188"/>
      <c r="S7" s="34"/>
      <c r="T7" s="35"/>
      <c r="U7" s="36"/>
      <c r="V7" s="37"/>
    </row>
    <row r="8" spans="1:22">
      <c r="O8" s="109"/>
    </row>
    <row r="9" spans="1:22">
      <c r="N9">
        <f>K9*M9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H12" sqref="H12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7"/>
      <c r="B1" s="118" t="s">
        <v>65</v>
      </c>
      <c r="C1" s="119"/>
      <c r="D1" s="118"/>
      <c r="E1" s="120"/>
      <c r="F1" s="120"/>
      <c r="G1" s="121"/>
      <c r="H1" s="121"/>
      <c r="I1" s="121"/>
      <c r="J1" s="121"/>
      <c r="K1" s="121"/>
      <c r="L1" s="121"/>
      <c r="M1" s="122"/>
      <c r="N1" s="121"/>
      <c r="O1" s="121"/>
      <c r="P1" s="121"/>
    </row>
    <row r="2" spans="1:21">
      <c r="A2" s="117"/>
      <c r="B2" s="123" t="s">
        <v>85</v>
      </c>
      <c r="C2" s="124"/>
      <c r="D2" s="120"/>
      <c r="E2" s="120"/>
      <c r="F2" s="120"/>
      <c r="G2" s="121"/>
      <c r="H2" s="121"/>
      <c r="I2" s="121"/>
      <c r="J2" s="121"/>
      <c r="K2" s="121"/>
      <c r="L2" s="121"/>
      <c r="M2" s="122"/>
      <c r="N2" s="121"/>
      <c r="O2" s="121"/>
      <c r="P2" s="121"/>
    </row>
    <row r="3" spans="1:21">
      <c r="A3" s="117"/>
      <c r="B3" s="125"/>
      <c r="C3" s="126"/>
      <c r="D3" s="125"/>
      <c r="E3" s="125"/>
      <c r="F3" s="125"/>
      <c r="G3" s="125"/>
      <c r="H3" s="125"/>
      <c r="I3" s="127"/>
      <c r="J3" s="125"/>
      <c r="K3" s="120"/>
      <c r="L3" s="120"/>
      <c r="M3" s="128"/>
      <c r="N3" s="121"/>
      <c r="O3" s="121"/>
      <c r="P3" s="125"/>
    </row>
    <row r="4" spans="1:21">
      <c r="A4" s="117"/>
      <c r="B4" s="121"/>
      <c r="C4" s="126" t="s">
        <v>0</v>
      </c>
      <c r="D4" s="121"/>
      <c r="E4" s="129"/>
      <c r="F4" s="121"/>
      <c r="G4" s="130"/>
      <c r="H4" s="121"/>
      <c r="I4" s="121"/>
      <c r="J4" s="121"/>
      <c r="K4" s="120"/>
      <c r="L4" s="124"/>
      <c r="M4" s="122"/>
      <c r="N4" s="121"/>
      <c r="O4" s="121"/>
      <c r="P4" s="121"/>
    </row>
    <row r="5" spans="1:21">
      <c r="A5" s="117"/>
      <c r="B5" s="121"/>
      <c r="C5" s="131" t="s">
        <v>1</v>
      </c>
      <c r="D5" s="131" t="s">
        <v>1</v>
      </c>
      <c r="E5" s="121"/>
      <c r="G5" s="121"/>
      <c r="H5" s="121"/>
      <c r="I5" s="121"/>
      <c r="J5" s="121" t="s">
        <v>75</v>
      </c>
      <c r="K5" s="121"/>
      <c r="L5" s="121"/>
      <c r="M5" s="121" t="s">
        <v>92</v>
      </c>
    </row>
    <row r="6" spans="1:21" ht="37">
      <c r="A6" s="117"/>
      <c r="B6" s="132" t="s">
        <v>2</v>
      </c>
      <c r="C6" s="132" t="s">
        <v>3</v>
      </c>
      <c r="D6" s="132" t="s">
        <v>4</v>
      </c>
      <c r="E6" s="132" t="s">
        <v>5</v>
      </c>
      <c r="F6" s="133" t="s">
        <v>6</v>
      </c>
      <c r="G6" s="132" t="s">
        <v>7</v>
      </c>
      <c r="H6" s="132" t="s">
        <v>8</v>
      </c>
      <c r="I6" s="132" t="s">
        <v>9</v>
      </c>
      <c r="J6" s="132" t="s">
        <v>10</v>
      </c>
      <c r="K6" s="132" t="s">
        <v>11</v>
      </c>
      <c r="L6" s="132" t="s">
        <v>67</v>
      </c>
      <c r="M6" s="134" t="s">
        <v>68</v>
      </c>
      <c r="N6" s="132" t="s">
        <v>69</v>
      </c>
      <c r="O6" s="132" t="s">
        <v>66</v>
      </c>
      <c r="P6" s="132" t="s">
        <v>70</v>
      </c>
      <c r="Q6" s="132" t="s">
        <v>71</v>
      </c>
      <c r="R6" s="132" t="s">
        <v>72</v>
      </c>
      <c r="S6" s="132" t="s">
        <v>73</v>
      </c>
      <c r="T6" s="134" t="s">
        <v>74</v>
      </c>
      <c r="U6" s="132" t="s">
        <v>13</v>
      </c>
    </row>
    <row r="7" spans="1:21" s="39" customFormat="1" ht="24" customHeight="1">
      <c r="A7" s="39">
        <v>1</v>
      </c>
      <c r="B7" s="135"/>
      <c r="C7" s="136"/>
      <c r="D7" s="136"/>
      <c r="E7" s="137"/>
      <c r="F7" s="136"/>
      <c r="G7" s="138"/>
      <c r="H7" s="139" t="s">
        <v>42</v>
      </c>
      <c r="I7" s="140" t="s">
        <v>86</v>
      </c>
      <c r="J7" s="140" t="s">
        <v>77</v>
      </c>
      <c r="K7" s="141"/>
      <c r="L7" s="142"/>
      <c r="M7" s="142"/>
      <c r="N7" s="143"/>
      <c r="O7" s="144" t="s">
        <v>87</v>
      </c>
      <c r="P7" s="136"/>
      <c r="Q7" s="186"/>
      <c r="R7" s="146"/>
      <c r="S7" s="142"/>
      <c r="T7" s="142"/>
      <c r="U7" s="145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 s="147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topLeftCell="A19" zoomScale="110" zoomScaleNormal="110" workbookViewId="0">
      <selection activeCell="E35" sqref="E35"/>
    </sheetView>
  </sheetViews>
  <sheetFormatPr baseColWidth="10" defaultRowHeight="15"/>
  <sheetData>
    <row r="1" spans="1:21" ht="16">
      <c r="G1" s="180"/>
    </row>
    <row r="2" spans="1:21">
      <c r="B2" s="154"/>
      <c r="C2" s="155" t="s">
        <v>0</v>
      </c>
      <c r="F2" s="156"/>
      <c r="G2" s="157"/>
      <c r="H2" s="158"/>
      <c r="I2" s="159"/>
      <c r="J2" s="160"/>
      <c r="K2" s="161"/>
      <c r="L2" s="162"/>
      <c r="M2" s="162"/>
      <c r="N2" s="154"/>
      <c r="O2" s="163"/>
      <c r="T2" s="164"/>
    </row>
    <row r="3" spans="1:21">
      <c r="B3" s="154"/>
      <c r="C3" s="165" t="s">
        <v>1</v>
      </c>
      <c r="F3" s="166"/>
      <c r="G3" s="157"/>
      <c r="H3" s="158"/>
      <c r="I3" s="159"/>
      <c r="J3" s="160" t="s">
        <v>83</v>
      </c>
      <c r="K3" s="161"/>
      <c r="L3" s="162"/>
      <c r="M3" s="167"/>
      <c r="N3" s="168" t="s">
        <v>99</v>
      </c>
      <c r="O3" s="163"/>
      <c r="P3" s="169"/>
      <c r="T3" s="164"/>
    </row>
    <row r="4" spans="1:21" ht="20">
      <c r="B4" s="170" t="s">
        <v>11</v>
      </c>
      <c r="C4" s="170" t="s">
        <v>2</v>
      </c>
      <c r="D4" s="170" t="s">
        <v>3</v>
      </c>
      <c r="E4" s="170" t="s">
        <v>4</v>
      </c>
      <c r="F4" s="170" t="s">
        <v>5</v>
      </c>
      <c r="G4" s="170" t="s">
        <v>6</v>
      </c>
      <c r="H4" s="170" t="s">
        <v>7</v>
      </c>
      <c r="I4" s="170" t="s">
        <v>8</v>
      </c>
      <c r="J4" s="170" t="s">
        <v>9</v>
      </c>
      <c r="K4" s="170" t="s">
        <v>10</v>
      </c>
      <c r="L4" s="171" t="s">
        <v>12</v>
      </c>
      <c r="M4" s="171" t="s">
        <v>13</v>
      </c>
      <c r="N4" s="170" t="s">
        <v>14</v>
      </c>
      <c r="O4" s="172" t="s">
        <v>15</v>
      </c>
      <c r="P4" s="170" t="s">
        <v>16</v>
      </c>
      <c r="Q4" s="170" t="s">
        <v>17</v>
      </c>
      <c r="R4" s="173" t="s">
        <v>18</v>
      </c>
      <c r="S4" s="170" t="s">
        <v>19</v>
      </c>
      <c r="T4" s="170" t="s">
        <v>20</v>
      </c>
      <c r="U4" s="174" t="s">
        <v>21</v>
      </c>
    </row>
    <row r="5" spans="1:21">
      <c r="A5">
        <v>1</v>
      </c>
      <c r="B5" s="175">
        <v>45496</v>
      </c>
      <c r="C5" s="175">
        <v>45493</v>
      </c>
      <c r="D5" s="175" t="s">
        <v>100</v>
      </c>
      <c r="E5" s="175" t="s">
        <v>284</v>
      </c>
      <c r="F5" s="176" t="s">
        <v>285</v>
      </c>
      <c r="G5" s="175" t="s">
        <v>222</v>
      </c>
      <c r="H5" s="175" t="s">
        <v>286</v>
      </c>
      <c r="I5" s="176" t="s">
        <v>287</v>
      </c>
      <c r="J5" s="175" t="s">
        <v>79</v>
      </c>
      <c r="K5" s="175" t="s">
        <v>80</v>
      </c>
      <c r="L5" s="175" t="s">
        <v>288</v>
      </c>
      <c r="M5" s="175" t="s">
        <v>289</v>
      </c>
      <c r="N5" s="177">
        <v>55105082156</v>
      </c>
      <c r="O5" s="178">
        <v>25</v>
      </c>
      <c r="P5" s="175" t="s">
        <v>84</v>
      </c>
      <c r="Q5" s="175" t="s">
        <v>79</v>
      </c>
      <c r="R5" s="175"/>
      <c r="S5" s="175" t="s">
        <v>284</v>
      </c>
      <c r="T5" s="179">
        <v>102872090</v>
      </c>
      <c r="U5" s="231" t="s">
        <v>105</v>
      </c>
    </row>
    <row r="6" spans="1:21">
      <c r="A6">
        <v>2</v>
      </c>
      <c r="B6" s="175">
        <v>45498</v>
      </c>
      <c r="C6" s="175">
        <v>45496</v>
      </c>
      <c r="D6" s="175" t="s">
        <v>290</v>
      </c>
      <c r="E6" s="175" t="s">
        <v>291</v>
      </c>
      <c r="F6" s="176" t="s">
        <v>292</v>
      </c>
      <c r="G6" s="175" t="s">
        <v>293</v>
      </c>
      <c r="H6" s="175" t="s">
        <v>294</v>
      </c>
      <c r="I6" s="176" t="s">
        <v>295</v>
      </c>
      <c r="J6" s="175" t="s">
        <v>79</v>
      </c>
      <c r="K6" s="175" t="s">
        <v>80</v>
      </c>
      <c r="L6" s="175" t="s">
        <v>296</v>
      </c>
      <c r="M6" s="175" t="s">
        <v>297</v>
      </c>
      <c r="N6" s="177">
        <v>992065337</v>
      </c>
      <c r="O6" s="178">
        <v>15</v>
      </c>
      <c r="P6" s="175" t="s">
        <v>84</v>
      </c>
      <c r="Q6" s="175" t="s">
        <v>79</v>
      </c>
      <c r="R6" s="175"/>
      <c r="S6" s="175" t="s">
        <v>291</v>
      </c>
      <c r="T6" s="179">
        <v>106662711</v>
      </c>
      <c r="U6" s="231" t="s">
        <v>298</v>
      </c>
    </row>
    <row r="7" spans="1:21">
      <c r="A7">
        <v>3</v>
      </c>
      <c r="B7" s="175">
        <v>45500</v>
      </c>
      <c r="C7" s="175">
        <v>45499</v>
      </c>
      <c r="D7" s="175" t="s">
        <v>212</v>
      </c>
      <c r="E7" s="175" t="s">
        <v>425</v>
      </c>
      <c r="F7" s="176" t="s">
        <v>426</v>
      </c>
      <c r="G7" s="175" t="s">
        <v>427</v>
      </c>
      <c r="H7" s="175" t="s">
        <v>428</v>
      </c>
      <c r="I7" s="176" t="s">
        <v>42</v>
      </c>
      <c r="J7" s="175" t="s">
        <v>79</v>
      </c>
      <c r="K7" s="175" t="s">
        <v>80</v>
      </c>
      <c r="L7" s="175" t="s">
        <v>429</v>
      </c>
      <c r="M7" s="175" t="s">
        <v>430</v>
      </c>
      <c r="N7" s="177">
        <v>994690071</v>
      </c>
      <c r="O7" s="178">
        <v>29</v>
      </c>
      <c r="P7" s="175" t="s">
        <v>84</v>
      </c>
      <c r="Q7" s="175" t="s">
        <v>79</v>
      </c>
      <c r="R7" s="175"/>
      <c r="S7" s="175" t="s">
        <v>425</v>
      </c>
      <c r="T7" s="179">
        <v>101506228</v>
      </c>
      <c r="U7" s="231" t="s">
        <v>431</v>
      </c>
    </row>
    <row r="8" spans="1:21">
      <c r="A8">
        <v>4</v>
      </c>
      <c r="B8" s="175">
        <v>45500</v>
      </c>
      <c r="C8" s="175">
        <v>45494</v>
      </c>
      <c r="D8" s="175" t="s">
        <v>178</v>
      </c>
      <c r="E8" s="175" t="s">
        <v>458</v>
      </c>
      <c r="F8" s="176" t="s">
        <v>419</v>
      </c>
      <c r="G8" s="175" t="s">
        <v>151</v>
      </c>
      <c r="H8" s="175" t="s">
        <v>459</v>
      </c>
      <c r="I8" s="176" t="s">
        <v>42</v>
      </c>
      <c r="J8" s="175" t="s">
        <v>79</v>
      </c>
      <c r="K8" s="175" t="s">
        <v>80</v>
      </c>
      <c r="L8" s="175" t="s">
        <v>460</v>
      </c>
      <c r="M8" s="175" t="s">
        <v>461</v>
      </c>
      <c r="N8" s="177">
        <v>980880030</v>
      </c>
      <c r="O8" s="178">
        <v>29</v>
      </c>
      <c r="P8" s="175" t="s">
        <v>84</v>
      </c>
      <c r="Q8" s="175" t="s">
        <v>79</v>
      </c>
      <c r="R8" s="175"/>
      <c r="S8" s="175" t="s">
        <v>458</v>
      </c>
      <c r="T8" s="179">
        <v>1103324172</v>
      </c>
      <c r="U8" s="231" t="s">
        <v>462</v>
      </c>
    </row>
    <row r="9" spans="1:21">
      <c r="A9">
        <v>5</v>
      </c>
      <c r="B9" s="175">
        <v>45502</v>
      </c>
      <c r="C9" s="175">
        <v>45496</v>
      </c>
      <c r="D9" s="175" t="s">
        <v>78</v>
      </c>
      <c r="E9" s="175" t="s">
        <v>452</v>
      </c>
      <c r="F9" s="176" t="s">
        <v>453</v>
      </c>
      <c r="G9" s="175" t="s">
        <v>102</v>
      </c>
      <c r="H9" s="175" t="s">
        <v>454</v>
      </c>
      <c r="I9" s="176" t="s">
        <v>455</v>
      </c>
      <c r="J9" s="175" t="s">
        <v>79</v>
      </c>
      <c r="K9" s="175" t="s">
        <v>80</v>
      </c>
      <c r="L9" s="175" t="s">
        <v>456</v>
      </c>
      <c r="M9" s="175" t="s">
        <v>166</v>
      </c>
      <c r="N9" s="177">
        <v>301510970</v>
      </c>
      <c r="O9" s="178">
        <v>29</v>
      </c>
      <c r="P9" s="175" t="s">
        <v>84</v>
      </c>
      <c r="Q9" s="175" t="s">
        <v>79</v>
      </c>
      <c r="R9" s="175"/>
      <c r="S9" s="175" t="s">
        <v>452</v>
      </c>
      <c r="T9" s="179">
        <v>301510970</v>
      </c>
      <c r="U9" s="231" t="s">
        <v>457</v>
      </c>
    </row>
    <row r="10" spans="1:21">
      <c r="A10">
        <v>6</v>
      </c>
      <c r="B10" s="175">
        <v>45504</v>
      </c>
      <c r="C10" s="175">
        <v>45373</v>
      </c>
      <c r="D10" s="175" t="s">
        <v>178</v>
      </c>
      <c r="E10" s="175" t="s">
        <v>439</v>
      </c>
      <c r="F10" s="176" t="s">
        <v>440</v>
      </c>
      <c r="G10" s="175" t="s">
        <v>441</v>
      </c>
      <c r="H10" s="175" t="s">
        <v>442</v>
      </c>
      <c r="I10" s="176" t="s">
        <v>443</v>
      </c>
      <c r="J10" s="175" t="s">
        <v>79</v>
      </c>
      <c r="K10" s="175" t="s">
        <v>80</v>
      </c>
      <c r="L10" s="175" t="s">
        <v>444</v>
      </c>
      <c r="M10" s="175" t="s">
        <v>445</v>
      </c>
      <c r="N10" s="177">
        <v>995768567</v>
      </c>
      <c r="O10" s="178">
        <v>45</v>
      </c>
      <c r="P10" s="175" t="s">
        <v>84</v>
      </c>
      <c r="Q10" s="175" t="s">
        <v>79</v>
      </c>
      <c r="R10" s="175"/>
      <c r="S10" s="175" t="s">
        <v>439</v>
      </c>
      <c r="T10" s="179">
        <v>104483342</v>
      </c>
      <c r="U10" s="231" t="s">
        <v>446</v>
      </c>
    </row>
    <row r="11" spans="1:21">
      <c r="A11">
        <v>7</v>
      </c>
      <c r="B11" s="175">
        <v>45504</v>
      </c>
      <c r="C11" s="175">
        <v>45294</v>
      </c>
      <c r="D11" s="175" t="s">
        <v>78</v>
      </c>
      <c r="E11" s="175" t="s">
        <v>447</v>
      </c>
      <c r="F11" s="176" t="s">
        <v>448</v>
      </c>
      <c r="G11" s="175" t="s">
        <v>335</v>
      </c>
      <c r="H11" s="175" t="s">
        <v>449</v>
      </c>
      <c r="I11" s="176" t="s">
        <v>42</v>
      </c>
      <c r="J11" s="175" t="s">
        <v>79</v>
      </c>
      <c r="K11" s="175" t="s">
        <v>80</v>
      </c>
      <c r="L11" s="175" t="s">
        <v>450</v>
      </c>
      <c r="M11" s="175" t="s">
        <v>176</v>
      </c>
      <c r="N11" s="177">
        <v>998991107</v>
      </c>
      <c r="O11" s="178">
        <v>29</v>
      </c>
      <c r="P11" s="175" t="s">
        <v>84</v>
      </c>
      <c r="Q11" s="175" t="s">
        <v>79</v>
      </c>
      <c r="R11" s="175"/>
      <c r="S11" s="175" t="s">
        <v>447</v>
      </c>
      <c r="T11" s="179">
        <v>300435138</v>
      </c>
      <c r="U11" s="231" t="s">
        <v>451</v>
      </c>
    </row>
    <row r="12" spans="1:21">
      <c r="A12">
        <v>8</v>
      </c>
      <c r="B12" s="175">
        <v>45505</v>
      </c>
      <c r="C12" s="175">
        <v>45504</v>
      </c>
      <c r="D12" s="175" t="s">
        <v>100</v>
      </c>
      <c r="E12" s="175" t="s">
        <v>432</v>
      </c>
      <c r="F12" s="176" t="s">
        <v>433</v>
      </c>
      <c r="G12" s="175" t="s">
        <v>247</v>
      </c>
      <c r="H12" s="175" t="s">
        <v>434</v>
      </c>
      <c r="I12" s="176" t="s">
        <v>435</v>
      </c>
      <c r="J12" s="175" t="s">
        <v>79</v>
      </c>
      <c r="K12" s="175" t="s">
        <v>80</v>
      </c>
      <c r="L12" s="175" t="s">
        <v>436</v>
      </c>
      <c r="M12" s="175" t="s">
        <v>437</v>
      </c>
      <c r="N12" s="177">
        <v>999800901</v>
      </c>
      <c r="O12" s="178">
        <v>25</v>
      </c>
      <c r="P12" s="175" t="s">
        <v>84</v>
      </c>
      <c r="Q12" s="175" t="s">
        <v>79</v>
      </c>
      <c r="R12" s="175"/>
      <c r="S12" s="175" t="s">
        <v>432</v>
      </c>
      <c r="T12" s="179">
        <v>100976729</v>
      </c>
      <c r="U12" s="231" t="s">
        <v>438</v>
      </c>
    </row>
    <row r="13" spans="1:21">
      <c r="A13">
        <v>9</v>
      </c>
      <c r="B13" s="175">
        <v>45506</v>
      </c>
      <c r="C13" s="175">
        <v>45505</v>
      </c>
      <c r="D13" s="175" t="s">
        <v>78</v>
      </c>
      <c r="E13" s="175" t="s">
        <v>299</v>
      </c>
      <c r="F13" s="176" t="s">
        <v>300</v>
      </c>
      <c r="G13" s="175" t="s">
        <v>301</v>
      </c>
      <c r="H13" s="175" t="s">
        <v>302</v>
      </c>
      <c r="I13" s="176" t="s">
        <v>42</v>
      </c>
      <c r="J13" s="175" t="s">
        <v>79</v>
      </c>
      <c r="K13" s="175" t="s">
        <v>80</v>
      </c>
      <c r="L13" s="175" t="s">
        <v>303</v>
      </c>
      <c r="M13" s="175" t="s">
        <v>187</v>
      </c>
      <c r="N13" s="177">
        <v>995157327</v>
      </c>
      <c r="O13" s="178">
        <v>15</v>
      </c>
      <c r="P13" s="175" t="s">
        <v>84</v>
      </c>
      <c r="Q13" s="175" t="s">
        <v>79</v>
      </c>
      <c r="R13" s="175"/>
      <c r="S13" s="175" t="s">
        <v>299</v>
      </c>
      <c r="T13" s="179">
        <v>102266012</v>
      </c>
      <c r="U13" s="231" t="s">
        <v>304</v>
      </c>
    </row>
    <row r="14" spans="1:21">
      <c r="A14">
        <v>10</v>
      </c>
      <c r="B14" s="175">
        <v>45506</v>
      </c>
      <c r="C14" s="175">
        <v>45503</v>
      </c>
      <c r="D14" s="175" t="s">
        <v>111</v>
      </c>
      <c r="E14" s="175" t="s">
        <v>305</v>
      </c>
      <c r="F14" s="176" t="s">
        <v>306</v>
      </c>
      <c r="G14" s="175" t="s">
        <v>307</v>
      </c>
      <c r="H14" s="175" t="s">
        <v>308</v>
      </c>
      <c r="I14" s="176" t="s">
        <v>309</v>
      </c>
      <c r="J14" s="175" t="s">
        <v>79</v>
      </c>
      <c r="K14" s="175" t="s">
        <v>80</v>
      </c>
      <c r="L14" s="175" t="s">
        <v>310</v>
      </c>
      <c r="M14" s="175" t="s">
        <v>311</v>
      </c>
      <c r="N14" s="177">
        <v>998887058</v>
      </c>
      <c r="O14" s="178">
        <v>25</v>
      </c>
      <c r="P14" s="175" t="s">
        <v>84</v>
      </c>
      <c r="Q14" s="175" t="s">
        <v>79</v>
      </c>
      <c r="R14" s="175"/>
      <c r="S14" s="175" t="s">
        <v>305</v>
      </c>
      <c r="T14" s="179">
        <v>190504352</v>
      </c>
      <c r="U14" s="231" t="s">
        <v>312</v>
      </c>
    </row>
    <row r="15" spans="1:21">
      <c r="A15">
        <v>11</v>
      </c>
      <c r="B15" s="175">
        <v>45509</v>
      </c>
      <c r="C15" s="175">
        <v>45493</v>
      </c>
      <c r="D15" s="175" t="s">
        <v>78</v>
      </c>
      <c r="E15" s="175" t="s">
        <v>313</v>
      </c>
      <c r="F15" s="176" t="s">
        <v>314</v>
      </c>
      <c r="G15" s="175" t="s">
        <v>315</v>
      </c>
      <c r="H15" s="175" t="s">
        <v>316</v>
      </c>
      <c r="I15" s="176" t="s">
        <v>42</v>
      </c>
      <c r="J15" s="175" t="s">
        <v>79</v>
      </c>
      <c r="K15" s="175" t="s">
        <v>80</v>
      </c>
      <c r="L15" s="175" t="s">
        <v>317</v>
      </c>
      <c r="M15" s="175" t="s">
        <v>318</v>
      </c>
      <c r="N15" s="177">
        <v>999032940</v>
      </c>
      <c r="O15" s="178">
        <v>25</v>
      </c>
      <c r="P15" s="175" t="s">
        <v>84</v>
      </c>
      <c r="Q15" s="175" t="s">
        <v>79</v>
      </c>
      <c r="R15" s="175"/>
      <c r="S15" s="175" t="s">
        <v>313</v>
      </c>
      <c r="T15" s="179">
        <v>1709687972</v>
      </c>
      <c r="U15" s="231" t="s">
        <v>319</v>
      </c>
    </row>
    <row r="16" spans="1:21">
      <c r="A16">
        <v>12</v>
      </c>
      <c r="B16" s="175">
        <v>45509</v>
      </c>
      <c r="C16" s="175">
        <v>45505</v>
      </c>
      <c r="D16" s="175" t="s">
        <v>78</v>
      </c>
      <c r="E16" s="175" t="s">
        <v>320</v>
      </c>
      <c r="F16" s="176" t="s">
        <v>300</v>
      </c>
      <c r="G16" s="175" t="s">
        <v>321</v>
      </c>
      <c r="H16" s="175" t="s">
        <v>322</v>
      </c>
      <c r="I16" s="176" t="s">
        <v>42</v>
      </c>
      <c r="J16" s="175" t="s">
        <v>79</v>
      </c>
      <c r="K16" s="175" t="s">
        <v>80</v>
      </c>
      <c r="L16" s="175" t="s">
        <v>303</v>
      </c>
      <c r="M16" s="175" t="s">
        <v>323</v>
      </c>
      <c r="N16" s="177">
        <v>995157327</v>
      </c>
      <c r="O16" s="178">
        <v>15</v>
      </c>
      <c r="P16" s="175" t="s">
        <v>84</v>
      </c>
      <c r="Q16" s="175" t="s">
        <v>79</v>
      </c>
      <c r="R16" s="175"/>
      <c r="S16" s="175" t="s">
        <v>320</v>
      </c>
      <c r="T16" s="179">
        <v>102266012</v>
      </c>
      <c r="U16" s="231" t="s">
        <v>304</v>
      </c>
    </row>
    <row r="17" spans="1:21">
      <c r="A17">
        <v>13</v>
      </c>
      <c r="B17" s="175">
        <v>45509</v>
      </c>
      <c r="C17" s="175">
        <v>45488</v>
      </c>
      <c r="D17" s="175" t="s">
        <v>353</v>
      </c>
      <c r="E17" s="175" t="s">
        <v>354</v>
      </c>
      <c r="F17" s="176" t="s">
        <v>355</v>
      </c>
      <c r="G17" s="175" t="s">
        <v>180</v>
      </c>
      <c r="H17" s="175" t="s">
        <v>356</v>
      </c>
      <c r="I17" s="176" t="s">
        <v>42</v>
      </c>
      <c r="J17" s="175" t="s">
        <v>79</v>
      </c>
      <c r="K17" s="175" t="s">
        <v>80</v>
      </c>
      <c r="L17" s="175" t="s">
        <v>357</v>
      </c>
      <c r="M17" s="175" t="s">
        <v>358</v>
      </c>
      <c r="N17" s="177">
        <v>984679590</v>
      </c>
      <c r="O17" s="178">
        <v>15</v>
      </c>
      <c r="P17" s="175" t="s">
        <v>84</v>
      </c>
      <c r="Q17" s="175" t="s">
        <v>79</v>
      </c>
      <c r="R17" s="175"/>
      <c r="S17" s="175" t="s">
        <v>354</v>
      </c>
      <c r="T17" s="179">
        <v>102773405</v>
      </c>
      <c r="U17" s="231" t="s">
        <v>359</v>
      </c>
    </row>
    <row r="18" spans="1:21">
      <c r="A18">
        <v>14</v>
      </c>
      <c r="B18" s="175">
        <v>45510</v>
      </c>
      <c r="C18" s="175">
        <v>45497</v>
      </c>
      <c r="D18" s="175" t="s">
        <v>353</v>
      </c>
      <c r="E18" s="175" t="s">
        <v>360</v>
      </c>
      <c r="F18" s="176" t="s">
        <v>361</v>
      </c>
      <c r="G18" s="175" t="s">
        <v>180</v>
      </c>
      <c r="H18" s="175" t="s">
        <v>362</v>
      </c>
      <c r="I18" s="176" t="s">
        <v>42</v>
      </c>
      <c r="J18" s="175" t="s">
        <v>79</v>
      </c>
      <c r="K18" s="175" t="s">
        <v>80</v>
      </c>
      <c r="L18" s="175" t="s">
        <v>363</v>
      </c>
      <c r="M18" s="175" t="s">
        <v>311</v>
      </c>
      <c r="N18" s="177">
        <v>995987708</v>
      </c>
      <c r="O18" s="178">
        <v>15</v>
      </c>
      <c r="P18" s="175" t="s">
        <v>84</v>
      </c>
      <c r="Q18" s="175" t="s">
        <v>79</v>
      </c>
      <c r="R18" s="175"/>
      <c r="S18" s="175" t="s">
        <v>360</v>
      </c>
      <c r="T18" s="179">
        <v>105322887</v>
      </c>
      <c r="U18" s="231" t="s">
        <v>364</v>
      </c>
    </row>
    <row r="19" spans="1:21">
      <c r="A19">
        <v>15</v>
      </c>
      <c r="B19" s="175">
        <v>45511</v>
      </c>
      <c r="C19" s="175">
        <v>45509</v>
      </c>
      <c r="D19" s="175" t="s">
        <v>365</v>
      </c>
      <c r="E19" s="175" t="s">
        <v>366</v>
      </c>
      <c r="F19" s="176" t="s">
        <v>367</v>
      </c>
      <c r="G19" s="175" t="s">
        <v>163</v>
      </c>
      <c r="H19" s="175" t="s">
        <v>368</v>
      </c>
      <c r="I19" s="176" t="s">
        <v>42</v>
      </c>
      <c r="J19" s="175" t="s">
        <v>79</v>
      </c>
      <c r="K19" s="175" t="s">
        <v>80</v>
      </c>
      <c r="L19" s="175" t="s">
        <v>369</v>
      </c>
      <c r="M19" s="175" t="s">
        <v>370</v>
      </c>
      <c r="N19" s="177">
        <v>998070857</v>
      </c>
      <c r="O19" s="178">
        <v>29</v>
      </c>
      <c r="P19" s="175" t="s">
        <v>84</v>
      </c>
      <c r="Q19" s="175" t="s">
        <v>79</v>
      </c>
      <c r="R19" s="175"/>
      <c r="S19" s="175" t="s">
        <v>366</v>
      </c>
      <c r="T19" s="179">
        <v>103935656</v>
      </c>
      <c r="U19" s="231" t="s">
        <v>371</v>
      </c>
    </row>
    <row r="20" spans="1:21">
      <c r="A20">
        <v>16</v>
      </c>
      <c r="B20" s="175">
        <v>45512</v>
      </c>
      <c r="C20" s="175">
        <v>45496</v>
      </c>
      <c r="D20" s="175" t="s">
        <v>78</v>
      </c>
      <c r="E20" s="175" t="s">
        <v>372</v>
      </c>
      <c r="F20" s="176" t="s">
        <v>373</v>
      </c>
      <c r="G20" s="175" t="s">
        <v>374</v>
      </c>
      <c r="H20" s="175" t="s">
        <v>375</v>
      </c>
      <c r="I20" s="176" t="s">
        <v>42</v>
      </c>
      <c r="J20" s="175" t="s">
        <v>79</v>
      </c>
      <c r="K20" s="175" t="s">
        <v>80</v>
      </c>
      <c r="L20" s="175" t="s">
        <v>376</v>
      </c>
      <c r="M20" s="175" t="s">
        <v>377</v>
      </c>
      <c r="N20" s="177">
        <v>995675107</v>
      </c>
      <c r="O20" s="178">
        <v>29</v>
      </c>
      <c r="P20" s="175" t="s">
        <v>84</v>
      </c>
      <c r="Q20" s="175" t="s">
        <v>79</v>
      </c>
      <c r="R20" s="175"/>
      <c r="S20" s="175" t="s">
        <v>372</v>
      </c>
      <c r="T20" s="179">
        <v>101601474</v>
      </c>
      <c r="U20" s="231" t="s">
        <v>378</v>
      </c>
    </row>
    <row r="21" spans="1:21">
      <c r="A21">
        <v>17</v>
      </c>
      <c r="B21" s="175">
        <v>45512</v>
      </c>
      <c r="C21" s="175">
        <v>45448</v>
      </c>
      <c r="D21" s="175" t="s">
        <v>353</v>
      </c>
      <c r="E21" s="175" t="s">
        <v>379</v>
      </c>
      <c r="F21" s="176" t="s">
        <v>380</v>
      </c>
      <c r="G21" s="175" t="s">
        <v>381</v>
      </c>
      <c r="H21" s="175" t="s">
        <v>382</v>
      </c>
      <c r="I21" s="176" t="s">
        <v>42</v>
      </c>
      <c r="J21" s="175" t="s">
        <v>79</v>
      </c>
      <c r="K21" s="175" t="s">
        <v>80</v>
      </c>
      <c r="L21" s="175" t="s">
        <v>383</v>
      </c>
      <c r="M21" s="175" t="s">
        <v>384</v>
      </c>
      <c r="N21" s="177">
        <v>993906063</v>
      </c>
      <c r="O21" s="178">
        <v>29</v>
      </c>
      <c r="P21" s="175" t="s">
        <v>84</v>
      </c>
      <c r="Q21" s="175" t="s">
        <v>79</v>
      </c>
      <c r="R21" s="175"/>
      <c r="S21" s="175" t="s">
        <v>379</v>
      </c>
      <c r="T21" s="179">
        <v>302683990</v>
      </c>
      <c r="U21" s="231" t="s">
        <v>385</v>
      </c>
    </row>
    <row r="22" spans="1:21">
      <c r="A22">
        <v>18</v>
      </c>
      <c r="B22" s="175">
        <v>45512</v>
      </c>
      <c r="C22" s="175">
        <v>45504</v>
      </c>
      <c r="D22" s="175" t="s">
        <v>353</v>
      </c>
      <c r="E22" s="175" t="s">
        <v>411</v>
      </c>
      <c r="F22" s="176" t="s">
        <v>412</v>
      </c>
      <c r="G22" s="175" t="s">
        <v>413</v>
      </c>
      <c r="H22" s="175" t="s">
        <v>414</v>
      </c>
      <c r="I22" s="176" t="s">
        <v>42</v>
      </c>
      <c r="J22" s="175" t="s">
        <v>79</v>
      </c>
      <c r="K22" s="175" t="s">
        <v>80</v>
      </c>
      <c r="L22" s="175" t="s">
        <v>415</v>
      </c>
      <c r="M22" s="175" t="s">
        <v>416</v>
      </c>
      <c r="N22" s="177">
        <v>999680977</v>
      </c>
      <c r="O22" s="178">
        <v>29</v>
      </c>
      <c r="P22" s="175" t="s">
        <v>84</v>
      </c>
      <c r="Q22" s="175" t="s">
        <v>79</v>
      </c>
      <c r="R22" s="175"/>
      <c r="S22" s="175" t="s">
        <v>411</v>
      </c>
      <c r="T22" s="179">
        <v>1015632778</v>
      </c>
      <c r="U22" s="231" t="s">
        <v>417</v>
      </c>
    </row>
    <row r="23" spans="1:21">
      <c r="A23">
        <v>19</v>
      </c>
      <c r="B23" s="175">
        <v>45514</v>
      </c>
      <c r="C23" s="175">
        <v>45412</v>
      </c>
      <c r="D23" s="175" t="s">
        <v>353</v>
      </c>
      <c r="E23" s="175" t="s">
        <v>418</v>
      </c>
      <c r="F23" s="176" t="s">
        <v>419</v>
      </c>
      <c r="G23" s="175" t="s">
        <v>420</v>
      </c>
      <c r="H23" s="175" t="s">
        <v>421</v>
      </c>
      <c r="I23" s="176" t="s">
        <v>42</v>
      </c>
      <c r="J23" s="175" t="s">
        <v>79</v>
      </c>
      <c r="K23" s="175" t="s">
        <v>80</v>
      </c>
      <c r="L23" s="175" t="s">
        <v>422</v>
      </c>
      <c r="M23" s="175" t="s">
        <v>256</v>
      </c>
      <c r="N23" s="177">
        <v>995432626</v>
      </c>
      <c r="O23" s="178">
        <v>29</v>
      </c>
      <c r="P23" s="175" t="s">
        <v>84</v>
      </c>
      <c r="Q23" s="175" t="s">
        <v>79</v>
      </c>
      <c r="R23" s="175"/>
      <c r="S23" s="175" t="s">
        <v>423</v>
      </c>
      <c r="T23" s="179">
        <v>101710689</v>
      </c>
      <c r="U23" s="231" t="s">
        <v>424</v>
      </c>
    </row>
    <row r="24" spans="1:21">
      <c r="A24">
        <v>20</v>
      </c>
      <c r="B24" s="175">
        <v>45518</v>
      </c>
      <c r="C24" s="175">
        <v>45510</v>
      </c>
      <c r="D24" s="175" t="s">
        <v>178</v>
      </c>
      <c r="E24" s="175" t="s">
        <v>463</v>
      </c>
      <c r="F24" s="176" t="s">
        <v>367</v>
      </c>
      <c r="G24" s="175" t="s">
        <v>163</v>
      </c>
      <c r="H24" s="175" t="s">
        <v>464</v>
      </c>
      <c r="I24" s="176" t="s">
        <v>42</v>
      </c>
      <c r="J24" s="175" t="s">
        <v>79</v>
      </c>
      <c r="K24" s="175" t="s">
        <v>80</v>
      </c>
      <c r="L24" s="175" t="s">
        <v>465</v>
      </c>
      <c r="M24" s="175" t="s">
        <v>466</v>
      </c>
      <c r="N24" s="177" t="s">
        <v>467</v>
      </c>
      <c r="O24" s="178">
        <v>29</v>
      </c>
      <c r="P24" s="175" t="s">
        <v>84</v>
      </c>
      <c r="Q24" s="175" t="s">
        <v>79</v>
      </c>
      <c r="R24" s="175"/>
      <c r="S24" s="175" t="s">
        <v>463</v>
      </c>
      <c r="T24" s="179">
        <v>102191756</v>
      </c>
      <c r="U24" s="231" t="s">
        <v>468</v>
      </c>
    </row>
    <row r="25" spans="1:21">
      <c r="A25">
        <v>21</v>
      </c>
      <c r="B25" s="175">
        <v>45517</v>
      </c>
      <c r="C25" s="175">
        <v>45515</v>
      </c>
      <c r="D25" s="175" t="s">
        <v>178</v>
      </c>
      <c r="E25" s="175" t="s">
        <v>469</v>
      </c>
      <c r="F25" s="176" t="s">
        <v>470</v>
      </c>
      <c r="G25" s="175" t="s">
        <v>471</v>
      </c>
      <c r="H25" s="175" t="s">
        <v>472</v>
      </c>
      <c r="I25" s="176" t="s">
        <v>42</v>
      </c>
      <c r="J25" s="175" t="s">
        <v>79</v>
      </c>
      <c r="K25" s="175" t="s">
        <v>80</v>
      </c>
      <c r="L25" s="175" t="s">
        <v>473</v>
      </c>
      <c r="M25" s="175" t="s">
        <v>474</v>
      </c>
      <c r="N25" s="177">
        <v>999738518</v>
      </c>
      <c r="O25" s="178">
        <v>15</v>
      </c>
      <c r="P25" s="175" t="s">
        <v>84</v>
      </c>
      <c r="Q25" s="175" t="s">
        <v>79</v>
      </c>
      <c r="R25" s="175"/>
      <c r="S25" s="175" t="s">
        <v>469</v>
      </c>
      <c r="T25" s="179">
        <v>103863320</v>
      </c>
      <c r="U25" s="231" t="s">
        <v>475</v>
      </c>
    </row>
    <row r="26" spans="1:21">
      <c r="A26">
        <v>22</v>
      </c>
      <c r="B26" s="175">
        <v>45517</v>
      </c>
      <c r="C26" s="175">
        <v>45515</v>
      </c>
      <c r="D26" s="175" t="s">
        <v>178</v>
      </c>
      <c r="E26" s="175" t="s">
        <v>469</v>
      </c>
      <c r="F26" s="176" t="s">
        <v>470</v>
      </c>
      <c r="G26" s="175" t="s">
        <v>471</v>
      </c>
      <c r="H26" s="175" t="s">
        <v>476</v>
      </c>
      <c r="I26" s="176" t="s">
        <v>42</v>
      </c>
      <c r="J26" s="175" t="s">
        <v>79</v>
      </c>
      <c r="K26" s="175" t="s">
        <v>80</v>
      </c>
      <c r="L26" s="175" t="s">
        <v>473</v>
      </c>
      <c r="M26" s="175" t="s">
        <v>474</v>
      </c>
      <c r="N26" s="177">
        <v>999738518</v>
      </c>
      <c r="O26" s="178">
        <v>15</v>
      </c>
      <c r="P26" s="175" t="s">
        <v>84</v>
      </c>
      <c r="Q26" s="175" t="s">
        <v>79</v>
      </c>
      <c r="R26" s="175"/>
      <c r="S26" s="175" t="s">
        <v>469</v>
      </c>
      <c r="T26" s="179">
        <v>103863320</v>
      </c>
      <c r="U26" s="231" t="s">
        <v>475</v>
      </c>
    </row>
    <row r="27" spans="1:21">
      <c r="A27">
        <v>23</v>
      </c>
      <c r="B27" s="175">
        <v>45520</v>
      </c>
      <c r="C27" s="175">
        <v>45512</v>
      </c>
      <c r="D27" s="175" t="s">
        <v>78</v>
      </c>
      <c r="E27" s="175" t="s">
        <v>477</v>
      </c>
      <c r="F27" s="176" t="s">
        <v>478</v>
      </c>
      <c r="G27" s="175" t="s">
        <v>479</v>
      </c>
      <c r="H27" s="175" t="s">
        <v>480</v>
      </c>
      <c r="I27" s="176" t="s">
        <v>42</v>
      </c>
      <c r="J27" s="175" t="s">
        <v>79</v>
      </c>
      <c r="K27" s="175" t="s">
        <v>80</v>
      </c>
      <c r="L27" s="175" t="s">
        <v>481</v>
      </c>
      <c r="M27" s="175" t="s">
        <v>482</v>
      </c>
      <c r="N27" s="177">
        <v>998199492</v>
      </c>
      <c r="O27" s="178">
        <v>25</v>
      </c>
      <c r="P27" s="175" t="s">
        <v>84</v>
      </c>
      <c r="Q27" s="175" t="s">
        <v>79</v>
      </c>
      <c r="R27" s="175"/>
      <c r="S27" s="175" t="s">
        <v>477</v>
      </c>
      <c r="T27" s="179">
        <v>101843951</v>
      </c>
      <c r="U27" s="231" t="s">
        <v>483</v>
      </c>
    </row>
    <row r="28" spans="1:21">
      <c r="A28">
        <v>24</v>
      </c>
      <c r="B28" s="175">
        <v>45520</v>
      </c>
      <c r="C28" s="175">
        <v>45500</v>
      </c>
      <c r="D28" s="175" t="s">
        <v>137</v>
      </c>
      <c r="E28" s="175" t="s">
        <v>492</v>
      </c>
      <c r="F28" s="176" t="s">
        <v>493</v>
      </c>
      <c r="G28" s="175" t="s">
        <v>494</v>
      </c>
      <c r="H28" s="175" t="s">
        <v>495</v>
      </c>
      <c r="I28" s="176" t="s">
        <v>42</v>
      </c>
      <c r="J28" s="175" t="s">
        <v>79</v>
      </c>
      <c r="K28" s="175" t="s">
        <v>80</v>
      </c>
      <c r="L28" s="175" t="s">
        <v>496</v>
      </c>
      <c r="M28" s="175" t="s">
        <v>497</v>
      </c>
      <c r="N28" s="177">
        <v>999885277</v>
      </c>
      <c r="O28" s="178">
        <v>29</v>
      </c>
      <c r="P28" s="175" t="s">
        <v>84</v>
      </c>
      <c r="Q28" s="175" t="s">
        <v>79</v>
      </c>
      <c r="R28" s="175"/>
      <c r="S28" s="175" t="s">
        <v>492</v>
      </c>
      <c r="T28" s="179">
        <v>101855229</v>
      </c>
      <c r="U28" s="231" t="s">
        <v>498</v>
      </c>
    </row>
    <row r="29" spans="1:21">
      <c r="A29">
        <v>25</v>
      </c>
      <c r="B29" s="175"/>
      <c r="C29" s="175"/>
      <c r="D29" s="175"/>
      <c r="E29" s="175"/>
      <c r="F29" s="176"/>
      <c r="G29" s="175"/>
      <c r="H29" s="175"/>
      <c r="I29" s="176"/>
      <c r="J29" s="175" t="s">
        <v>79</v>
      </c>
      <c r="K29" s="175" t="s">
        <v>80</v>
      </c>
      <c r="L29" s="175"/>
      <c r="M29" s="175"/>
      <c r="N29" s="177"/>
      <c r="O29" s="178"/>
      <c r="P29" s="175" t="s">
        <v>84</v>
      </c>
      <c r="Q29" s="175" t="s">
        <v>79</v>
      </c>
      <c r="R29" s="175"/>
      <c r="S29" s="175"/>
      <c r="T29" s="179"/>
      <c r="U29" s="179"/>
    </row>
    <row r="30" spans="1:21">
      <c r="A30">
        <v>26</v>
      </c>
      <c r="B30" s="175"/>
      <c r="C30" s="175"/>
      <c r="D30" s="175"/>
      <c r="E30" s="175"/>
      <c r="F30" s="176"/>
      <c r="G30" s="175"/>
      <c r="H30" s="175"/>
      <c r="I30" s="176"/>
      <c r="J30" s="175" t="s">
        <v>79</v>
      </c>
      <c r="K30" s="175" t="s">
        <v>80</v>
      </c>
      <c r="L30" s="175"/>
      <c r="M30" s="175"/>
      <c r="N30" s="177"/>
      <c r="O30" s="178"/>
      <c r="P30" s="175" t="s">
        <v>84</v>
      </c>
      <c r="Q30" s="175" t="s">
        <v>79</v>
      </c>
      <c r="R30" s="175"/>
      <c r="S30" s="175"/>
      <c r="T30" s="179"/>
      <c r="U30" s="179"/>
    </row>
    <row r="31" spans="1:21">
      <c r="A31">
        <v>27</v>
      </c>
      <c r="B31" s="175"/>
      <c r="C31" s="175"/>
      <c r="D31" s="175"/>
      <c r="E31" s="175"/>
      <c r="F31" s="176"/>
      <c r="G31" s="175"/>
      <c r="H31" s="175"/>
      <c r="I31" s="176"/>
      <c r="J31" s="175" t="s">
        <v>79</v>
      </c>
      <c r="K31" s="175" t="s">
        <v>80</v>
      </c>
      <c r="L31" s="175"/>
      <c r="M31" s="175"/>
      <c r="N31" s="177"/>
      <c r="O31" s="178"/>
      <c r="P31" s="175" t="s">
        <v>84</v>
      </c>
      <c r="Q31" s="175" t="s">
        <v>79</v>
      </c>
      <c r="R31" s="175"/>
      <c r="S31" s="175"/>
      <c r="T31" s="179"/>
      <c r="U31" s="179"/>
    </row>
    <row r="32" spans="1:21">
      <c r="A32">
        <v>28</v>
      </c>
      <c r="B32" s="175"/>
      <c r="C32" s="175"/>
      <c r="D32" s="175"/>
      <c r="E32" s="175"/>
      <c r="F32" s="176"/>
      <c r="G32" s="175"/>
      <c r="H32" s="175"/>
      <c r="I32" s="176"/>
      <c r="J32" s="175" t="s">
        <v>79</v>
      </c>
      <c r="K32" s="175" t="s">
        <v>80</v>
      </c>
      <c r="L32" s="175"/>
      <c r="M32" s="175"/>
      <c r="N32" s="177"/>
      <c r="O32" s="178"/>
      <c r="P32" s="175" t="s">
        <v>84</v>
      </c>
      <c r="Q32" s="175" t="s">
        <v>79</v>
      </c>
      <c r="R32" s="175"/>
      <c r="S32" s="175"/>
      <c r="T32" s="179"/>
      <c r="U32" s="179"/>
    </row>
    <row r="33" spans="1:21">
      <c r="A33">
        <v>29</v>
      </c>
      <c r="B33" s="175"/>
      <c r="C33" s="175"/>
      <c r="D33" s="175"/>
      <c r="E33" s="175"/>
      <c r="F33" s="176"/>
      <c r="G33" s="175"/>
      <c r="H33" s="175"/>
      <c r="I33" s="176"/>
      <c r="J33" s="175" t="s">
        <v>79</v>
      </c>
      <c r="K33" s="175" t="s">
        <v>80</v>
      </c>
      <c r="L33" s="175"/>
      <c r="M33" s="175"/>
      <c r="N33" s="177"/>
      <c r="O33" s="178"/>
      <c r="P33" s="175" t="s">
        <v>84</v>
      </c>
      <c r="Q33" s="175" t="s">
        <v>79</v>
      </c>
      <c r="R33" s="175"/>
      <c r="S33" s="175"/>
      <c r="T33" s="179"/>
      <c r="U33" s="179"/>
    </row>
    <row r="34" spans="1:21">
      <c r="A34">
        <v>30</v>
      </c>
      <c r="B34" s="175"/>
      <c r="C34" s="175"/>
      <c r="D34" s="175"/>
      <c r="E34" s="175"/>
      <c r="F34" s="176"/>
      <c r="G34" s="175"/>
      <c r="H34" s="175"/>
      <c r="I34" s="176"/>
      <c r="J34" s="175" t="s">
        <v>79</v>
      </c>
      <c r="K34" s="175" t="s">
        <v>80</v>
      </c>
      <c r="L34" s="175"/>
      <c r="M34" s="175"/>
      <c r="N34" s="177"/>
      <c r="O34" s="178"/>
      <c r="P34" s="175" t="s">
        <v>84</v>
      </c>
      <c r="Q34" s="175" t="s">
        <v>79</v>
      </c>
      <c r="R34" s="175"/>
      <c r="S34" s="175"/>
      <c r="T34" s="179"/>
      <c r="U34" s="179"/>
    </row>
    <row r="35" spans="1:21">
      <c r="A35">
        <v>31</v>
      </c>
      <c r="B35" s="175"/>
      <c r="C35" s="175"/>
      <c r="D35" s="175"/>
      <c r="E35" s="175"/>
      <c r="F35" s="176"/>
      <c r="G35" s="175"/>
      <c r="H35" s="175"/>
      <c r="I35" s="176"/>
      <c r="J35" s="175" t="s">
        <v>79</v>
      </c>
      <c r="K35" s="175" t="s">
        <v>80</v>
      </c>
      <c r="L35" s="175"/>
      <c r="M35" s="175"/>
      <c r="N35" s="177"/>
      <c r="O35" s="178"/>
      <c r="P35" s="175" t="s">
        <v>84</v>
      </c>
      <c r="Q35" s="175" t="s">
        <v>79</v>
      </c>
      <c r="R35" s="175"/>
      <c r="S35" s="175"/>
      <c r="T35" s="179"/>
      <c r="U35" s="179"/>
    </row>
    <row r="36" spans="1:21">
      <c r="O36" s="147">
        <f>SUM(O5:O35)</f>
        <v>594</v>
      </c>
    </row>
  </sheetData>
  <hyperlinks>
    <hyperlink ref="U5" r:id="rId1" xr:uid="{00000000-0004-0000-0500-000000000000}"/>
    <hyperlink ref="U6" r:id="rId2" xr:uid="{00000000-0004-0000-0500-000001000000}"/>
    <hyperlink ref="U13" r:id="rId3" xr:uid="{00000000-0004-0000-0500-000002000000}"/>
    <hyperlink ref="U14" r:id="rId4" xr:uid="{00000000-0004-0000-0500-000003000000}"/>
    <hyperlink ref="U15" r:id="rId5" xr:uid="{00000000-0004-0000-0500-000004000000}"/>
    <hyperlink ref="U16" r:id="rId6" xr:uid="{00000000-0004-0000-0500-000005000000}"/>
    <hyperlink ref="U17" r:id="rId7" xr:uid="{00000000-0004-0000-0500-000006000000}"/>
    <hyperlink ref="U18" r:id="rId8" xr:uid="{00000000-0004-0000-0500-000007000000}"/>
    <hyperlink ref="U19" r:id="rId9" xr:uid="{00000000-0004-0000-0500-000008000000}"/>
    <hyperlink ref="U20" r:id="rId10" xr:uid="{00000000-0004-0000-0500-000009000000}"/>
    <hyperlink ref="U21" r:id="rId11" xr:uid="{00000000-0004-0000-0500-00000A000000}"/>
    <hyperlink ref="U22" r:id="rId12" xr:uid="{00000000-0004-0000-0500-00000B000000}"/>
    <hyperlink ref="U23" r:id="rId13" xr:uid="{00000000-0004-0000-0500-00000C000000}"/>
    <hyperlink ref="U7" r:id="rId14" xr:uid="{00000000-0004-0000-0500-00000D000000}"/>
    <hyperlink ref="U12" r:id="rId15" xr:uid="{00000000-0004-0000-0500-00000E000000}"/>
    <hyperlink ref="U10" r:id="rId16" xr:uid="{00000000-0004-0000-0500-00000F000000}"/>
    <hyperlink ref="U11" r:id="rId17" xr:uid="{00000000-0004-0000-0500-000010000000}"/>
    <hyperlink ref="U9" r:id="rId18" xr:uid="{00000000-0004-0000-0500-000011000000}"/>
    <hyperlink ref="U8" r:id="rId19" xr:uid="{00000000-0004-0000-0500-000012000000}"/>
    <hyperlink ref="U24" r:id="rId20" xr:uid="{00000000-0004-0000-0500-000013000000}"/>
    <hyperlink ref="U25" r:id="rId21" xr:uid="{00000000-0004-0000-0500-000014000000}"/>
    <hyperlink ref="U26" r:id="rId22" xr:uid="{00000000-0004-0000-0500-000015000000}"/>
    <hyperlink ref="U27" r:id="rId23" xr:uid="{00000000-0004-0000-0500-000016000000}"/>
    <hyperlink ref="U28" r:id="rId24" xr:uid="{00000000-0004-0000-05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2024-12-23T21:07:48Z</dcterms:modified>
</cp:coreProperties>
</file>