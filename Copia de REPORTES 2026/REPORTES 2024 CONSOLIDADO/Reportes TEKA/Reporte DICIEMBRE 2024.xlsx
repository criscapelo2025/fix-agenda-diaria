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A5E739F1-0FE7-2B4F-A1C9-A5706B93269D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M21" i="2"/>
  <c r="M20" i="2"/>
  <c r="M19" i="2"/>
  <c r="M18" i="2"/>
  <c r="M22" i="2" l="1"/>
  <c r="M38" i="1"/>
  <c r="M40" i="1" l="1"/>
  <c r="M39" i="1"/>
  <c r="M41" i="1" l="1"/>
</calcChain>
</file>

<file path=xl/sharedStrings.xml><?xml version="1.0" encoding="utf-8"?>
<sst xmlns="http://schemas.openxmlformats.org/spreadsheetml/2006/main" count="741" uniqueCount="265">
  <si>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</si>
  <si>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</si>
  <si>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</si>
  <si>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</si>
  <si>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</si>
  <si>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</si>
  <si>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</si>
  <si>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</si>
  <si>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</si>
  <si>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</si>
  <si>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</si>
  <si>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</si>
  <si>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</si>
  <si>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</si>
  <si>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</si>
  <si>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</si>
  <si>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</si>
  <si>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</si>
  <si>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</si>
  <si>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</si>
  <si>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</si>
  <si>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</si>
  <si>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</si>
  <si>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</si>
  <si>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</si>
  <si>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</si>
  <si>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</si>
  <si>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</si>
  <si>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</si>
  <si>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</si>
  <si>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</si>
  <si>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</si>
  <si>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</si>
  <si>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</si>
  <si>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</si>
  <si>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</si>
  <si>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</si>
  <si>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</si>
  <si>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</si>
  <si>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</si>
  <si>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</si>
  <si>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</si>
  <si>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</si>
  <si>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</si>
  <si>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</si>
  <si>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</si>
  <si>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</si>
  <si>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</si>
  <si>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</si>
  <si>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</si>
  <si>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</si>
  <si>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</si>
  <si>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</si>
  <si>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</si>
  <si>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</si>
  <si>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</si>
  <si>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</si>
  <si>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</si>
  <si>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</si>
  <si>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</si>
  <si>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</si>
  <si>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</si>
  <si>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</si>
  <si>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</si>
  <si>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</si>
  <si>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</si>
  <si>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</si>
  <si>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</si>
  <si>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</si>
  <si>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</si>
  <si>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</si>
  <si>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</si>
  <si>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</si>
  <si>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</si>
  <si>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</si>
  <si>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</si>
  <si>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</si>
  <si>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</si>
  <si>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</si>
  <si>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</si>
  <si>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</si>
  <si>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</si>
  <si>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</si>
  <si>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SEPTIEMBRE 2024</t>
  </si>
  <si>
    <t>Cristian Capelo</t>
  </si>
  <si>
    <t>Trituradores</t>
  </si>
  <si>
    <t>Cocinas</t>
  </si>
  <si>
    <t>Horno</t>
  </si>
  <si>
    <t>Lavavajillas</t>
  </si>
  <si>
    <t>CAPELO NOVIEMBRE2024</t>
  </si>
  <si>
    <t xml:space="preserve">CAPELO NOVIEMBRE 2024 </t>
  </si>
  <si>
    <t>CAPELO DICIEMBRE 2024</t>
  </si>
  <si>
    <t>Al 16 de DICIEMBRE del 2024</t>
  </si>
  <si>
    <t>Diciembre</t>
  </si>
  <si>
    <t>Capelo Diciembre 2024</t>
  </si>
  <si>
    <t>CAPELO - DICIEMBRE 2024</t>
  </si>
  <si>
    <t>Kywi</t>
  </si>
  <si>
    <t>043-906-000032673</t>
  </si>
  <si>
    <t xml:space="preserve">Cocina GBC 64000 KBB </t>
  </si>
  <si>
    <t>ZP244900174</t>
  </si>
  <si>
    <t>Maria Helena Aguilar</t>
  </si>
  <si>
    <t>Manuel Vega y Padre Aguirre</t>
  </si>
  <si>
    <t>ma5252360@gmail.com</t>
  </si>
  <si>
    <t>ZP242N00910</t>
  </si>
  <si>
    <t>Cocina GBC 75030 KBB</t>
  </si>
  <si>
    <t>ZP241900087</t>
  </si>
  <si>
    <t>Edificio Santa Ana</t>
  </si>
  <si>
    <t>Refrigeradora RLF 74920</t>
  </si>
  <si>
    <t>MC234J00021</t>
  </si>
  <si>
    <t>Horno HLB 760 G</t>
  </si>
  <si>
    <t>TZ247C12535</t>
  </si>
  <si>
    <t>Comercial Solis</t>
  </si>
  <si>
    <t>001-500-000066741</t>
  </si>
  <si>
    <t>PX244N00010</t>
  </si>
  <si>
    <t>Campana DVI 98-61 E0S BM</t>
  </si>
  <si>
    <t>Ana Gabriel Peñafiel</t>
  </si>
  <si>
    <t>UNAE</t>
  </si>
  <si>
    <t>0301524617</t>
  </si>
  <si>
    <t>0987233336</t>
  </si>
  <si>
    <t>0999047343</t>
  </si>
  <si>
    <t>sacmicas@gmail.com</t>
  </si>
  <si>
    <t>microondas ML 82-61 BIS L</t>
  </si>
  <si>
    <t>TP243M05784</t>
  </si>
  <si>
    <t>Horno HBL BS G1P</t>
  </si>
  <si>
    <t>TZ242K21499</t>
  </si>
  <si>
    <t>ZPZ3B800543</t>
  </si>
  <si>
    <t>Cocina IZC 32310 MSP BK</t>
  </si>
  <si>
    <t>ZPZ43200284</t>
  </si>
  <si>
    <t>Horno Steakmaster</t>
  </si>
  <si>
    <t>TZ219610374</t>
  </si>
  <si>
    <t>Adrian Heras</t>
  </si>
  <si>
    <t>Calle del Batan y Unidad Nacional</t>
  </si>
  <si>
    <t>0982660042</t>
  </si>
  <si>
    <t>0104435409</t>
  </si>
  <si>
    <t>adrianheras@icloud.com</t>
  </si>
  <si>
    <t>0995881329</t>
  </si>
  <si>
    <t>IZS97630MST BK</t>
  </si>
  <si>
    <t>ZP22B660031</t>
  </si>
  <si>
    <t>ZP245800128</t>
  </si>
  <si>
    <t>Av Gonzalez Suares</t>
  </si>
  <si>
    <t>Veronica Castillo</t>
  </si>
  <si>
    <t>Kiwi</t>
  </si>
  <si>
    <t>043-901-000015743</t>
  </si>
  <si>
    <t>0104719448</t>
  </si>
  <si>
    <t>cavi.constructora@hotmail.com</t>
  </si>
  <si>
    <t>Horno HSB 630 BK</t>
  </si>
  <si>
    <t>TZ241R25436</t>
  </si>
  <si>
    <t>0998434826</t>
  </si>
  <si>
    <t>Cocina GBC 75-61GBA BM</t>
  </si>
  <si>
    <t>Teresa Gaguana</t>
  </si>
  <si>
    <t>Condominio San Pedro</t>
  </si>
  <si>
    <t>0959682731</t>
  </si>
  <si>
    <t>0921545984</t>
  </si>
  <si>
    <t>ola-teresaesa@outlook.es</t>
  </si>
  <si>
    <t>ZP247500393</t>
  </si>
  <si>
    <t>Campana C9310</t>
  </si>
  <si>
    <t>TP242C00909</t>
  </si>
  <si>
    <t>Home Vega</t>
  </si>
  <si>
    <t>006-000-156984</t>
  </si>
  <si>
    <t>Cocina JZC 16342 BBB</t>
  </si>
  <si>
    <t>ZP245F00220</t>
  </si>
  <si>
    <t>Gabriela Gonzales</t>
  </si>
  <si>
    <t>Machangara</t>
  </si>
  <si>
    <t>0999726830</t>
  </si>
  <si>
    <t>gaby.g1034@hotmail.com</t>
  </si>
  <si>
    <t>043-903-000045473</t>
  </si>
  <si>
    <t>kiwi</t>
  </si>
  <si>
    <t>TP247904154</t>
  </si>
  <si>
    <t>Microondas ML 82-61 BIS L</t>
  </si>
  <si>
    <t>Horno HLB 8416 BK</t>
  </si>
  <si>
    <t>TZ244J19283</t>
  </si>
  <si>
    <t>016-907-000218325</t>
  </si>
  <si>
    <t>Campana C910</t>
  </si>
  <si>
    <t>TP243607318</t>
  </si>
  <si>
    <t>Maria Lituma</t>
  </si>
  <si>
    <t>Limon</t>
  </si>
  <si>
    <t>0999388974</t>
  </si>
  <si>
    <t>0102005428</t>
  </si>
  <si>
    <t>michelle_96038@hotmail.com</t>
  </si>
  <si>
    <t>0391008825</t>
  </si>
  <si>
    <t>Cocina GBC 95030 KBB</t>
  </si>
  <si>
    <t>2P245H00428</t>
  </si>
  <si>
    <t>006-002-000158395</t>
  </si>
  <si>
    <t>ZP242P00815</t>
  </si>
  <si>
    <t>Adriana Arpi</t>
  </si>
  <si>
    <t>Los Chugo 1-099</t>
  </si>
  <si>
    <t>0102250115</t>
  </si>
  <si>
    <t>juliahbarrera@hotmail.com</t>
  </si>
  <si>
    <t>Horno GZC 7533OXBB</t>
  </si>
  <si>
    <t>ZP244V00265</t>
  </si>
  <si>
    <t>001-500-0000-65596</t>
  </si>
  <si>
    <t>Horno GBC 75030KBB</t>
  </si>
  <si>
    <t>ZP242N00530</t>
  </si>
  <si>
    <t>Nelly Gomez</t>
  </si>
  <si>
    <t>Av 10 de agosto y Pichincha</t>
  </si>
  <si>
    <t>0983312274</t>
  </si>
  <si>
    <t>0102616943</t>
  </si>
  <si>
    <t>abjairolopez@gmail.com</t>
  </si>
  <si>
    <t>Campana EXT C710</t>
  </si>
  <si>
    <t>TP245000359</t>
  </si>
  <si>
    <t>0987921640</t>
  </si>
  <si>
    <t>CO249E00646</t>
  </si>
  <si>
    <t>Almacenes Chordeleg</t>
  </si>
  <si>
    <t>heroes de Verdeloma y Luis Codero</t>
  </si>
  <si>
    <t>072825840</t>
  </si>
  <si>
    <t>0300886025001</t>
  </si>
  <si>
    <t>CO249E00814</t>
  </si>
  <si>
    <t>Kiwi Miraflores</t>
  </si>
  <si>
    <t>CO249E00918</t>
  </si>
  <si>
    <t>Av. Elialiut Multiplaza Miraflores</t>
  </si>
  <si>
    <t>CO249E00256</t>
  </si>
  <si>
    <t>CO249500140</t>
  </si>
  <si>
    <t>Barbacoa a Gas T-BBQ 3100</t>
  </si>
  <si>
    <t>CO249E00059</t>
  </si>
  <si>
    <t>CO249E00142</t>
  </si>
  <si>
    <t>CO249E00241</t>
  </si>
  <si>
    <t>CO249E00483</t>
  </si>
  <si>
    <t>CO249E00885</t>
  </si>
  <si>
    <t>Kiwi Wayra</t>
  </si>
  <si>
    <t>Av. 24 de Mayo Wayra Plaza</t>
  </si>
  <si>
    <t>0987001205</t>
  </si>
  <si>
    <t>1790041220001</t>
  </si>
  <si>
    <t>CO249E00201</t>
  </si>
  <si>
    <t>Juan Jose Calderon</t>
  </si>
  <si>
    <t>San Pedro del Cebollar</t>
  </si>
  <si>
    <t>0995670755</t>
  </si>
  <si>
    <t>0104641154</t>
  </si>
  <si>
    <t>tulo26jjc@gmail.com</t>
  </si>
  <si>
    <t>jhon.cruz@kywi.com.ec</t>
  </si>
  <si>
    <t>almaceneschordeleg@gmail.com</t>
  </si>
  <si>
    <t>CO249E00728</t>
  </si>
  <si>
    <t>Av. Paucarbamba y Luis Moreno</t>
  </si>
  <si>
    <t>CO249E00612</t>
  </si>
  <si>
    <t>Mariscal Lamar</t>
  </si>
  <si>
    <t>0991172261</t>
  </si>
  <si>
    <t>0104088265</t>
  </si>
  <si>
    <t>CO249E00507</t>
  </si>
  <si>
    <t>0906351443</t>
  </si>
  <si>
    <t>freddyn@kywi.com.ec</t>
  </si>
  <si>
    <t>CO249E00146</t>
  </si>
  <si>
    <t>CO249E00144</t>
  </si>
  <si>
    <t>CO249E00589</t>
  </si>
  <si>
    <t>CO249E00608</t>
  </si>
  <si>
    <t>Sangurima y Thomas ordoñez</t>
  </si>
  <si>
    <t>0104779830</t>
  </si>
  <si>
    <t>CO249E00544</t>
  </si>
  <si>
    <t>Belen Tello</t>
  </si>
  <si>
    <t>El Tejar</t>
  </si>
  <si>
    <t>0983145657</t>
  </si>
  <si>
    <t>0104987771</t>
  </si>
  <si>
    <t>bel.tello.crespo@gmail.com</t>
  </si>
  <si>
    <t>043-407-000018033</t>
  </si>
  <si>
    <t>Mercard</t>
  </si>
  <si>
    <t>001-502-000000028</t>
  </si>
  <si>
    <t>0994541607</t>
  </si>
  <si>
    <t>0958639951</t>
  </si>
  <si>
    <t>ismaelpalacios245@gmail.com</t>
  </si>
  <si>
    <t>0100735976001</t>
  </si>
  <si>
    <t>maria.velez.m@hotmail.com</t>
  </si>
  <si>
    <t>016-902-000465750</t>
  </si>
  <si>
    <t>Sukasa</t>
  </si>
  <si>
    <t>044-013-000008150</t>
  </si>
  <si>
    <t>Alodia Cevallos</t>
  </si>
  <si>
    <t>0992287509</t>
  </si>
  <si>
    <t>alodiacevallos0@gmail.com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</si>
</sst>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0" fillId="0" borderId="0"/>
    <xf numFmtId="0" fontId="10" fillId="2" borderId="0">
      <alignment horizontal="left"/>
    </xf>
    <xf numFmtId="0" fontId="2" fillId="0" borderId="0"/>
    <xf numFmtId="0" fontId="3" fillId="0" borderId="0" applyNumberForma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167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2" fillId="0" borderId="0"/>
    <xf numFmtId="0" fontId="3" fillId="0" borderId="0" applyNumberFormat="0" applyFill="0" applyBorder="0" applyAlignment="0" applyProtection="0"/>
    <xf numFmtId="0" fontId="25" fillId="0" borderId="0"/>
    <xf numFmtId="0" fontId="10" fillId="0" borderId="0"/>
  </cellStyleXfs>
  <cellXfs count="212">
    <xf numFmtId="0" fontId="0" fillId="0" borderId="0" xfId="0"/>
    <xf numFmtId="0" fontId="4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left"/>
    </xf>
    <xf numFmtId="1" fontId="0" fillId="0" borderId="0" xfId="0" applyNumberFormat="1"/>
    <xf numFmtId="2" fontId="8" fillId="0" borderId="0" xfId="0" applyNumberFormat="1" applyFont="1" applyAlignment="1">
      <alignment horizontal="right" indent="1"/>
    </xf>
    <xf numFmtId="4" fontId="9" fillId="0" borderId="0" xfId="0" applyNumberFormat="1" applyFont="1" applyAlignment="1">
      <alignment horizontal="left" vertical="center"/>
    </xf>
    <xf numFmtId="0" fontId="11" fillId="0" borderId="0" xfId="1" applyFont="1"/>
    <xf numFmtId="0" fontId="12" fillId="2" borderId="0" xfId="2" applyFont="1" applyAlignment="1">
      <alignment horizontal="center" vertical="center"/>
    </xf>
    <xf numFmtId="1" fontId="12" fillId="2" borderId="0" xfId="2" applyNumberFormat="1" applyFont="1" applyAlignment="1">
      <alignment horizontal="right" vertical="center"/>
    </xf>
    <xf numFmtId="1" fontId="12" fillId="2" borderId="0" xfId="2" applyNumberFormat="1" applyFont="1" applyAlignment="1">
      <alignment horizontal="center" vertical="center"/>
    </xf>
    <xf numFmtId="2" fontId="12" fillId="2" borderId="0" xfId="2" applyNumberFormat="1" applyFont="1" applyAlignment="1">
      <alignment vertical="center"/>
    </xf>
    <xf numFmtId="49" fontId="0" fillId="0" borderId="0" xfId="0" quotePrefix="1" applyNumberFormat="1"/>
    <xf numFmtId="17" fontId="8" fillId="0" borderId="0" xfId="0" quotePrefix="1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3" applyFont="1" applyAlignment="1">
      <alignment horizontal="right"/>
    </xf>
    <xf numFmtId="164" fontId="15" fillId="5" borderId="2" xfId="3" applyNumberFormat="1" applyFont="1" applyFill="1" applyBorder="1" applyAlignment="1">
      <alignment horizontal="left"/>
    </xf>
    <xf numFmtId="0" fontId="15" fillId="5" borderId="2" xfId="3" applyFont="1" applyFill="1" applyBorder="1"/>
    <xf numFmtId="0" fontId="15" fillId="0" borderId="2" xfId="3" applyFont="1" applyBorder="1" applyAlignment="1">
      <alignment horizontal="center" vertical="center"/>
    </xf>
    <xf numFmtId="0" fontId="15" fillId="0" borderId="2" xfId="3" applyFont="1" applyBorder="1"/>
    <xf numFmtId="0" fontId="15" fillId="5" borderId="2" xfId="3" applyFont="1" applyFill="1" applyBorder="1" applyAlignment="1">
      <alignment horizontal="left"/>
    </xf>
    <xf numFmtId="0" fontId="15" fillId="5" borderId="2" xfId="3" applyFont="1" applyFill="1" applyBorder="1" applyAlignment="1">
      <alignment horizontal="left" vertical="center"/>
    </xf>
    <xf numFmtId="14" fontId="15" fillId="5" borderId="2" xfId="3" applyNumberFormat="1" applyFont="1" applyFill="1" applyBorder="1" applyAlignment="1">
      <alignment horizontal="left"/>
    </xf>
    <xf numFmtId="1" fontId="15" fillId="5" borderId="2" xfId="3" applyNumberFormat="1" applyFont="1" applyFill="1" applyBorder="1"/>
    <xf numFmtId="2" fontId="15" fillId="5" borderId="2" xfId="3" applyNumberFormat="1" applyFont="1" applyFill="1" applyBorder="1" applyAlignment="1">
      <alignment horizontal="center"/>
    </xf>
    <xf numFmtId="0" fontId="15" fillId="5" borderId="2" xfId="3" applyFont="1" applyFill="1" applyBorder="1" applyAlignment="1">
      <alignment horizontal="center" vertical="center"/>
    </xf>
    <xf numFmtId="0" fontId="16" fillId="5" borderId="2" xfId="4" applyNumberFormat="1" applyFont="1" applyFill="1" applyBorder="1"/>
    <xf numFmtId="0" fontId="17" fillId="5" borderId="2" xfId="4" applyNumberFormat="1" applyFont="1" applyFill="1" applyBorder="1"/>
    <xf numFmtId="0" fontId="18" fillId="0" borderId="3" xfId="3" applyFont="1" applyBorder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9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9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4" xfId="7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 wrapText="1" readingOrder="1"/>
    </xf>
    <xf numFmtId="0" fontId="28" fillId="0" borderId="5" xfId="7" applyFont="1" applyBorder="1" applyAlignment="1">
      <alignment horizontal="left" wrapText="1"/>
    </xf>
    <xf numFmtId="0" fontId="30" fillId="0" borderId="5" xfId="7" applyFont="1" applyBorder="1" applyAlignment="1">
      <alignment horizontal="left" wrapText="1"/>
    </xf>
    <xf numFmtId="17" fontId="31" fillId="0" borderId="5" xfId="7" quotePrefix="1" applyNumberFormat="1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49" fontId="32" fillId="0" borderId="6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7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8" xfId="7" applyFont="1" applyBorder="1" applyAlignment="1">
      <alignment horizontal="left"/>
    </xf>
    <xf numFmtId="166" fontId="33" fillId="0" borderId="9" xfId="7" applyNumberFormat="1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26" fillId="0" borderId="11" xfId="7" applyFont="1" applyBorder="1" applyAlignment="1">
      <alignment horizontal="left"/>
    </xf>
    <xf numFmtId="0" fontId="36" fillId="0" borderId="0" xfId="0" applyFont="1"/>
    <xf numFmtId="0" fontId="15" fillId="0" borderId="0" xfId="0" applyFont="1" applyAlignment="1">
      <alignment horizontal="right"/>
    </xf>
    <xf numFmtId="0" fontId="38" fillId="0" borderId="0" xfId="9" applyFont="1"/>
    <xf numFmtId="0" fontId="2" fillId="0" borderId="0" xfId="14"/>
    <xf numFmtId="4" fontId="5" fillId="0" borderId="0" xfId="14" applyNumberFormat="1" applyFont="1"/>
    <xf numFmtId="0" fontId="6" fillId="0" borderId="0" xfId="14" applyFont="1" applyAlignment="1">
      <alignment vertical="center"/>
    </xf>
    <xf numFmtId="2" fontId="2" fillId="0" borderId="0" xfId="14" applyNumberFormat="1" applyAlignment="1">
      <alignment horizontal="left"/>
    </xf>
    <xf numFmtId="0" fontId="2" fillId="0" borderId="0" xfId="14" applyAlignment="1">
      <alignment horizontal="left"/>
    </xf>
    <xf numFmtId="43" fontId="2" fillId="0" borderId="0" xfId="15" applyFont="1" applyFill="1"/>
    <xf numFmtId="0" fontId="39" fillId="0" borderId="0" xfId="14" applyFont="1"/>
    <xf numFmtId="4" fontId="9" fillId="0" borderId="0" xfId="14" applyNumberFormat="1" applyFont="1" applyAlignment="1">
      <alignment horizontal="left" vertical="center"/>
    </xf>
    <xf numFmtId="0" fontId="25" fillId="0" borderId="0" xfId="9"/>
    <xf numFmtId="17" fontId="2" fillId="0" borderId="0" xfId="14" quotePrefix="1" applyNumberFormat="1"/>
    <xf numFmtId="17" fontId="39" fillId="0" borderId="0" xfId="14" quotePrefix="1" applyNumberFormat="1" applyFont="1"/>
    <xf numFmtId="0" fontId="40" fillId="7" borderId="14" xfId="14" applyFont="1" applyFill="1" applyBorder="1" applyAlignment="1">
      <alignment horizontal="center" wrapText="1"/>
    </xf>
    <xf numFmtId="0" fontId="41" fillId="7" borderId="14" xfId="9" applyFont="1" applyFill="1" applyBorder="1" applyAlignment="1">
      <alignment horizontal="left" wrapText="1"/>
    </xf>
    <xf numFmtId="43" fontId="41" fillId="7" borderId="14" xfId="15" applyFont="1" applyFill="1" applyBorder="1" applyAlignment="1">
      <alignment horizontal="left" wrapText="1"/>
    </xf>
    <xf numFmtId="0" fontId="41" fillId="7" borderId="14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4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18" fillId="0" borderId="10" xfId="14" applyFont="1" applyBorder="1" applyAlignment="1">
      <alignment horizontal="left"/>
    </xf>
    <xf numFmtId="0" fontId="18" fillId="0" borderId="16" xfId="14" applyFont="1" applyBorder="1" applyAlignment="1">
      <alignment horizontal="left"/>
    </xf>
    <xf numFmtId="0" fontId="18" fillId="0" borderId="16" xfId="14" applyFont="1" applyBorder="1"/>
    <xf numFmtId="0" fontId="18" fillId="0" borderId="10" xfId="14" applyFont="1" applyBorder="1" applyAlignment="1">
      <alignment horizontal="left" vertical="center"/>
    </xf>
    <xf numFmtId="14" fontId="18" fillId="0" borderId="15" xfId="14" applyNumberFormat="1" applyFont="1" applyBorder="1" applyAlignment="1">
      <alignment horizontal="left"/>
    </xf>
    <xf numFmtId="0" fontId="18" fillId="0" borderId="15" xfId="14" applyFont="1" applyBorder="1" applyAlignment="1">
      <alignment horizontal="left" vertical="center"/>
    </xf>
    <xf numFmtId="0" fontId="18" fillId="0" borderId="15" xfId="14" applyFont="1" applyBorder="1" applyAlignment="1">
      <alignment horizontal="left"/>
    </xf>
    <xf numFmtId="0" fontId="18" fillId="0" borderId="15" xfId="14" quotePrefix="1" applyFont="1" applyBorder="1" applyAlignment="1">
      <alignment horizontal="left"/>
    </xf>
    <xf numFmtId="14" fontId="18" fillId="0" borderId="15" xfId="14" applyNumberFormat="1" applyFont="1" applyBorder="1" applyAlignment="1">
      <alignment horizontal="left" vertical="center"/>
    </xf>
    <xf numFmtId="43" fontId="18" fillId="0" borderId="15" xfId="15" applyFont="1" applyBorder="1"/>
    <xf numFmtId="43" fontId="18" fillId="0" borderId="15" xfId="15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3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5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6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9" fillId="0" borderId="0" xfId="17" applyNumberFormat="1" applyFont="1" applyAlignment="1">
      <alignment horizontal="left" vertical="center"/>
    </xf>
    <xf numFmtId="0" fontId="40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40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36" fillId="8" borderId="1" xfId="0" applyFont="1" applyFill="1" applyBorder="1" applyAlignment="1">
      <alignment vertical="center"/>
    </xf>
    <xf numFmtId="49" fontId="19" fillId="8" borderId="1" xfId="0" applyNumberFormat="1" applyFont="1" applyFill="1" applyBorder="1" applyAlignment="1">
      <alignment horizontal="center"/>
    </xf>
    <xf numFmtId="165" fontId="3" fillId="5" borderId="2" xfId="19" applyNumberFormat="1" applyFill="1" applyBorder="1" applyAlignment="1">
      <alignment horizontal="left"/>
    </xf>
    <xf numFmtId="0" fontId="37" fillId="8" borderId="0" xfId="9" applyFont="1" applyFill="1" applyAlignment="1">
      <alignment vertical="center"/>
    </xf>
    <xf numFmtId="14" fontId="37" fillId="8" borderId="2" xfId="10" applyNumberFormat="1" applyFont="1" applyFill="1" applyBorder="1" applyAlignment="1">
      <alignment vertical="center" wrapText="1"/>
    </xf>
    <xf numFmtId="14" fontId="37" fillId="8" borderId="2" xfId="10" applyNumberFormat="1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left" vertical="center" wrapText="1"/>
    </xf>
    <xf numFmtId="0" fontId="37" fillId="8" borderId="12" xfId="10" applyFont="1" applyFill="1" applyBorder="1" applyAlignment="1">
      <alignment vertical="center" wrapText="1"/>
    </xf>
    <xf numFmtId="0" fontId="37" fillId="8" borderId="2" xfId="10" quotePrefix="1" applyFont="1" applyFill="1" applyBorder="1" applyAlignment="1">
      <alignment horizontal="left" vertical="center" wrapText="1"/>
    </xf>
    <xf numFmtId="1" fontId="37" fillId="8" borderId="2" xfId="11" quotePrefix="1" applyNumberFormat="1" applyFont="1" applyFill="1" applyBorder="1" applyAlignment="1">
      <alignment horizontal="left" vertical="center"/>
    </xf>
    <xf numFmtId="43" fontId="37" fillId="8" borderId="2" xfId="12" applyFont="1" applyFill="1" applyBorder="1" applyAlignment="1">
      <alignment vertical="center"/>
    </xf>
    <xf numFmtId="43" fontId="37" fillId="8" borderId="2" xfId="12" quotePrefix="1" applyFont="1" applyFill="1" applyBorder="1" applyAlignment="1">
      <alignment horizontal="left" vertical="center"/>
    </xf>
    <xf numFmtId="43" fontId="3" fillId="8" borderId="13" xfId="19" applyNumberFormat="1" applyFill="1" applyBorder="1" applyAlignment="1">
      <alignment horizontal="left" vertical="center"/>
    </xf>
    <xf numFmtId="0" fontId="3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5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5" fillId="8" borderId="2" xfId="3" applyFont="1" applyFill="1" applyBorder="1" applyAlignment="1">
      <alignment horizontal="left" vertical="center"/>
    </xf>
    <xf numFmtId="168" fontId="36" fillId="9" borderId="22" xfId="0" applyNumberFormat="1" applyFont="1" applyFill="1" applyBorder="1" applyAlignment="1">
      <alignment horizontal="left" vertical="center"/>
    </xf>
    <xf numFmtId="14" fontId="15" fillId="8" borderId="2" xfId="3" applyNumberFormat="1" applyFont="1" applyFill="1" applyBorder="1" applyAlignment="1">
      <alignment horizontal="center" vertical="center"/>
    </xf>
    <xf numFmtId="1" fontId="15" fillId="8" borderId="2" xfId="3" applyNumberFormat="1" applyFont="1" applyFill="1" applyBorder="1" applyAlignment="1">
      <alignment horizontal="left" vertical="center"/>
    </xf>
    <xf numFmtId="2" fontId="15" fillId="8" borderId="2" xfId="3" applyNumberFormat="1" applyFont="1" applyFill="1" applyBorder="1" applyAlignment="1">
      <alignment horizontal="center" vertical="center"/>
    </xf>
    <xf numFmtId="165" fontId="15" fillId="8" borderId="2" xfId="3" applyNumberFormat="1" applyFont="1" applyFill="1" applyBorder="1" applyAlignment="1">
      <alignment horizontal="center" vertical="center"/>
    </xf>
    <xf numFmtId="0" fontId="35" fillId="8" borderId="2" xfId="4" applyNumberFormat="1" applyFont="1" applyFill="1" applyBorder="1" applyAlignment="1">
      <alignment horizontal="center" vertical="center"/>
    </xf>
    <xf numFmtId="0" fontId="3" fillId="8" borderId="2" xfId="19" applyNumberFormat="1" applyFill="1" applyBorder="1" applyAlignment="1">
      <alignment horizontal="left" vertical="center"/>
    </xf>
    <xf numFmtId="0" fontId="3" fillId="10" borderId="22" xfId="19" applyFill="1" applyBorder="1" applyAlignment="1">
      <alignment horizontal="left" vertical="center"/>
    </xf>
    <xf numFmtId="0" fontId="1" fillId="0" borderId="0" xfId="0" applyFont="1"/>
    <xf numFmtId="0" fontId="63" fillId="8" borderId="0" xfId="10" applyFont="1" applyFill="1" applyAlignment="1">
      <alignment horizontal="left" vertical="center" wrapText="1"/>
    </xf>
    <xf numFmtId="0" fontId="1" fillId="0" borderId="0" xfId="0" applyFont="1" applyAlignment="1">
      <alignment horizontal="left"/>
    </xf>
    <xf numFmtId="49" fontId="15" fillId="8" borderId="2" xfId="3" applyNumberFormat="1" applyFont="1" applyFill="1" applyBorder="1" applyAlignment="1">
      <alignment horizontal="left" vertical="center"/>
    </xf>
    <xf numFmtId="49" fontId="35" fillId="8" borderId="2" xfId="4" applyNumberFormat="1" applyFont="1" applyFill="1" applyBorder="1" applyAlignment="1">
      <alignment horizontal="center" vertical="center"/>
    </xf>
    <xf numFmtId="14" fontId="64" fillId="11" borderId="2" xfId="0" applyNumberFormat="1" applyFont="1" applyFill="1" applyBorder="1" applyAlignment="1">
      <alignment horizontal="center" vertical="center"/>
    </xf>
    <xf numFmtId="1" fontId="64" fillId="11" borderId="12" xfId="0" applyNumberFormat="1" applyFont="1" applyFill="1" applyBorder="1" applyAlignment="1">
      <alignment horizontal="left" vertical="center"/>
    </xf>
    <xf numFmtId="49" fontId="64" fillId="11" borderId="12" xfId="0" applyNumberFormat="1" applyFont="1" applyFill="1" applyBorder="1" applyAlignment="1">
      <alignment horizontal="left" vertical="center"/>
    </xf>
    <xf numFmtId="2" fontId="64" fillId="11" borderId="12" xfId="0" applyNumberFormat="1" applyFont="1" applyFill="1" applyBorder="1" applyAlignment="1">
      <alignment horizontal="center" vertical="center"/>
    </xf>
    <xf numFmtId="49" fontId="65" fillId="11" borderId="12" xfId="0" applyNumberFormat="1" applyFont="1" applyFill="1" applyBorder="1" applyAlignment="1">
      <alignment horizontal="center" vertical="center"/>
    </xf>
    <xf numFmtId="0" fontId="3" fillId="11" borderId="12" xfId="19" applyFill="1" applyBorder="1" applyAlignment="1">
      <alignment horizontal="left" vertical="center"/>
    </xf>
    <xf numFmtId="0" fontId="64" fillId="11" borderId="2" xfId="0" applyFont="1" applyFill="1" applyBorder="1" applyAlignment="1">
      <alignment horizontal="left" vertical="center"/>
    </xf>
    <xf numFmtId="49" fontId="62" fillId="8" borderId="15" xfId="21" applyNumberFormat="1" applyFont="1" applyFill="1" applyBorder="1" applyAlignment="1">
      <alignment horizontal="left"/>
    </xf>
    <xf numFmtId="49" fontId="18" fillId="0" borderId="15" xfId="14" quotePrefix="1" applyNumberFormat="1" applyFont="1" applyBorder="1" applyAlignment="1">
      <alignment horizontal="left" vertical="center"/>
    </xf>
    <xf numFmtId="1" fontId="36" fillId="8" borderId="2" xfId="3" applyNumberFormat="1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rianheras@icloud.com" TargetMode="External"/><Relationship Id="rId13" Type="http://schemas.openxmlformats.org/officeDocument/2006/relationships/hyperlink" Target="mailto:ola-teresaesa@outlook.es" TargetMode="External"/><Relationship Id="rId18" Type="http://schemas.openxmlformats.org/officeDocument/2006/relationships/hyperlink" Target="mailto:michelle_96038@hotmail.co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mailto:sacmicas@gmail.com" TargetMode="External"/><Relationship Id="rId21" Type="http://schemas.openxmlformats.org/officeDocument/2006/relationships/hyperlink" Target="mailto:abjairolopez@gmail.com" TargetMode="External"/><Relationship Id="rId7" Type="http://schemas.openxmlformats.org/officeDocument/2006/relationships/hyperlink" Target="mailto:sacmicas@gmail.com" TargetMode="External"/><Relationship Id="rId12" Type="http://schemas.openxmlformats.org/officeDocument/2006/relationships/hyperlink" Target="mailto:ola-teresaesa@outlook.es" TargetMode="External"/><Relationship Id="rId17" Type="http://schemas.openxmlformats.org/officeDocument/2006/relationships/hyperlink" Target="mailto:michelle_96038@hot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ma5252360@gmail.com" TargetMode="External"/><Relationship Id="rId16" Type="http://schemas.openxmlformats.org/officeDocument/2006/relationships/hyperlink" Target="mailto:gaby.g1034@hotmail.com" TargetMode="External"/><Relationship Id="rId20" Type="http://schemas.openxmlformats.org/officeDocument/2006/relationships/hyperlink" Target="mailto:juliahbarrera@hotmail.com" TargetMode="External"/><Relationship Id="rId1" Type="http://schemas.openxmlformats.org/officeDocument/2006/relationships/hyperlink" Target="mailto:ma5252360@gmail.com" TargetMode="External"/><Relationship Id="rId6" Type="http://schemas.openxmlformats.org/officeDocument/2006/relationships/hyperlink" Target="mailto:sacmicas@gmail.com" TargetMode="External"/><Relationship Id="rId11" Type="http://schemas.openxmlformats.org/officeDocument/2006/relationships/hyperlink" Target="mailto:cavi.constructora@hotmail.com" TargetMode="External"/><Relationship Id="rId24" Type="http://schemas.openxmlformats.org/officeDocument/2006/relationships/hyperlink" Target="mailto:alodiacevallos0@gmail.com" TargetMode="External"/><Relationship Id="rId5" Type="http://schemas.openxmlformats.org/officeDocument/2006/relationships/hyperlink" Target="mailto:sacmicas@gmail.com" TargetMode="External"/><Relationship Id="rId15" Type="http://schemas.openxmlformats.org/officeDocument/2006/relationships/hyperlink" Target="mailto:gaby.g1034@hotmail.com" TargetMode="External"/><Relationship Id="rId23" Type="http://schemas.openxmlformats.org/officeDocument/2006/relationships/hyperlink" Target="mailto:alodiacevallos0@gmail.com" TargetMode="External"/><Relationship Id="rId10" Type="http://schemas.openxmlformats.org/officeDocument/2006/relationships/hyperlink" Target="mailto:cavi.constructora@hotmail.com" TargetMode="External"/><Relationship Id="rId19" Type="http://schemas.openxmlformats.org/officeDocument/2006/relationships/hyperlink" Target="mailto:juliahbarrera@hotmail.com" TargetMode="External"/><Relationship Id="rId4" Type="http://schemas.openxmlformats.org/officeDocument/2006/relationships/hyperlink" Target="mailto:sacmicas@gmail.com" TargetMode="External"/><Relationship Id="rId9" Type="http://schemas.openxmlformats.org/officeDocument/2006/relationships/hyperlink" Target="mailto:adrianheras@icloud.com" TargetMode="External"/><Relationship Id="rId14" Type="http://schemas.openxmlformats.org/officeDocument/2006/relationships/hyperlink" Target="mailto:gaby.g1034@hotmail.com" TargetMode="External"/><Relationship Id="rId22" Type="http://schemas.openxmlformats.org/officeDocument/2006/relationships/hyperlink" Target="mailto:abjairolopez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smaelpalacios245@gmail.com" TargetMode="External"/><Relationship Id="rId3" Type="http://schemas.openxmlformats.org/officeDocument/2006/relationships/hyperlink" Target="mailto:tulo26jjc@gmail.com" TargetMode="External"/><Relationship Id="rId7" Type="http://schemas.openxmlformats.org/officeDocument/2006/relationships/hyperlink" Target="mailto:bel.tello.crespo@gmail.com" TargetMode="External"/><Relationship Id="rId2" Type="http://schemas.openxmlformats.org/officeDocument/2006/relationships/hyperlink" Target="mailto:freddyn@kywi.com.ec" TargetMode="External"/><Relationship Id="rId1" Type="http://schemas.openxmlformats.org/officeDocument/2006/relationships/hyperlink" Target="mailto:almaceneschordeleg@gmail.com" TargetMode="External"/><Relationship Id="rId6" Type="http://schemas.openxmlformats.org/officeDocument/2006/relationships/hyperlink" Target="mailto:ismaelpalacios245@gmail.com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jhon.cruz@kywi.com.ec" TargetMode="External"/><Relationship Id="rId10" Type="http://schemas.openxmlformats.org/officeDocument/2006/relationships/hyperlink" Target="mailto:maria.velez.m@hotmail.com" TargetMode="External"/><Relationship Id="rId4" Type="http://schemas.openxmlformats.org/officeDocument/2006/relationships/hyperlink" Target="mailto:jhon.cruz@kywi.com.ec" TargetMode="External"/><Relationship Id="rId9" Type="http://schemas.openxmlformats.org/officeDocument/2006/relationships/hyperlink" Target="mailto:ismaelpalacios245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1"/>
  <sheetViews>
    <sheetView tabSelected="1" zoomScale="89" zoomScaleNormal="89" workbookViewId="0">
      <selection activeCell="P45" sqref="P45"/>
    </sheetView>
  </sheetViews>
  <sheetFormatPr baseColWidth="10" defaultRowHeight="15"/>
  <cols>
    <col min="1" max="1" width="3.33203125" customWidth="1"/>
    <col min="2" max="2" width="12.5" bestFit="1" customWidth="1"/>
    <col min="3" max="3" width="19.6640625" customWidth="1"/>
    <col min="4" max="4" width="21.33203125" customWidth="1"/>
    <col min="5" max="5" width="18" customWidth="1"/>
    <col min="6" max="6" width="31.33203125" customWidth="1"/>
    <col min="7" max="7" width="23.33203125" bestFit="1" customWidth="1"/>
    <col min="8" max="8" width="8.5" customWidth="1"/>
    <col min="9" max="9" width="14.6640625" customWidth="1"/>
    <col min="10" max="10" width="17.33203125" customWidth="1"/>
    <col min="11" max="11" width="14.5" customWidth="1"/>
    <col min="12" max="12" width="28.5" customWidth="1"/>
    <col min="13" max="13" width="37" customWidth="1"/>
    <col min="14" max="14" width="14.6640625" bestFit="1" customWidth="1"/>
    <col min="15" max="15" width="11.1640625" customWidth="1"/>
    <col min="16" max="16" width="28.83203125" customWidth="1"/>
    <col min="17" max="17" width="18.33203125" customWidth="1"/>
    <col min="18" max="18" width="7.1640625" customWidth="1"/>
    <col min="19" max="19" width="20.5" customWidth="1"/>
    <col min="20" max="20" width="16.6640625" customWidth="1"/>
    <col min="21" max="21" width="29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91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1" customHeight="1">
      <c r="A6">
        <v>1</v>
      </c>
      <c r="B6" s="189">
        <v>45587</v>
      </c>
      <c r="C6" s="188" t="s">
        <v>96</v>
      </c>
      <c r="D6" s="188" t="s">
        <v>97</v>
      </c>
      <c r="E6" s="185">
        <v>112580017</v>
      </c>
      <c r="F6" s="188" t="s">
        <v>98</v>
      </c>
      <c r="G6" s="188" t="s">
        <v>99</v>
      </c>
      <c r="H6" s="185" t="s">
        <v>42</v>
      </c>
      <c r="I6" s="185" t="s">
        <v>74</v>
      </c>
      <c r="J6" s="185" t="s">
        <v>75</v>
      </c>
      <c r="K6" s="190">
        <v>45560</v>
      </c>
      <c r="L6" s="191" t="s">
        <v>100</v>
      </c>
      <c r="M6" s="191" t="s">
        <v>101</v>
      </c>
      <c r="N6" s="200" t="s">
        <v>118</v>
      </c>
      <c r="O6" s="192">
        <v>20</v>
      </c>
      <c r="P6" s="185" t="s">
        <v>22</v>
      </c>
      <c r="Q6" s="185" t="s">
        <v>74</v>
      </c>
      <c r="R6" s="193"/>
      <c r="S6" s="188" t="s">
        <v>97</v>
      </c>
      <c r="T6" s="201">
        <v>104261110</v>
      </c>
      <c r="U6" s="195" t="s">
        <v>102</v>
      </c>
    </row>
    <row r="7" spans="1:21" ht="31" customHeight="1">
      <c r="A7">
        <v>2</v>
      </c>
      <c r="B7" s="189">
        <v>45587</v>
      </c>
      <c r="C7" s="188" t="s">
        <v>96</v>
      </c>
      <c r="D7" s="188" t="s">
        <v>97</v>
      </c>
      <c r="E7" s="185">
        <v>112580017</v>
      </c>
      <c r="F7" s="188" t="s">
        <v>98</v>
      </c>
      <c r="G7" s="188" t="s">
        <v>103</v>
      </c>
      <c r="H7" s="185" t="s">
        <v>42</v>
      </c>
      <c r="I7" s="185" t="s">
        <v>74</v>
      </c>
      <c r="J7" s="185" t="s">
        <v>75</v>
      </c>
      <c r="K7" s="190">
        <v>45560</v>
      </c>
      <c r="L7" s="191" t="s">
        <v>100</v>
      </c>
      <c r="M7" s="191" t="s">
        <v>101</v>
      </c>
      <c r="N7" s="200" t="s">
        <v>118</v>
      </c>
      <c r="O7" s="192">
        <v>20</v>
      </c>
      <c r="P7" s="185" t="s">
        <v>22</v>
      </c>
      <c r="Q7" s="185" t="s">
        <v>74</v>
      </c>
      <c r="R7" s="193"/>
      <c r="S7" s="188" t="s">
        <v>97</v>
      </c>
      <c r="T7" s="201">
        <v>104261110</v>
      </c>
      <c r="U7" s="195" t="s">
        <v>102</v>
      </c>
    </row>
    <row r="8" spans="1:21" ht="31" customHeight="1">
      <c r="A8">
        <v>3</v>
      </c>
      <c r="B8" s="189">
        <v>45622</v>
      </c>
      <c r="C8" s="188" t="s">
        <v>260</v>
      </c>
      <c r="D8" s="188" t="s">
        <v>261</v>
      </c>
      <c r="E8" s="185">
        <v>112580027</v>
      </c>
      <c r="F8" s="188" t="s">
        <v>104</v>
      </c>
      <c r="G8" s="188" t="s">
        <v>105</v>
      </c>
      <c r="H8" s="185" t="s">
        <v>42</v>
      </c>
      <c r="I8" s="185" t="s">
        <v>74</v>
      </c>
      <c r="J8" s="185" t="s">
        <v>75</v>
      </c>
      <c r="K8" s="190">
        <v>45622</v>
      </c>
      <c r="L8" s="191" t="s">
        <v>262</v>
      </c>
      <c r="M8" s="191" t="s">
        <v>106</v>
      </c>
      <c r="N8" s="200" t="s">
        <v>119</v>
      </c>
      <c r="O8" s="192">
        <v>15</v>
      </c>
      <c r="P8" s="185" t="s">
        <v>22</v>
      </c>
      <c r="Q8" s="185" t="s">
        <v>74</v>
      </c>
      <c r="R8" s="193"/>
      <c r="S8" s="188" t="s">
        <v>261</v>
      </c>
      <c r="T8" s="201">
        <v>100338177</v>
      </c>
      <c r="U8" s="195" t="s">
        <v>264</v>
      </c>
    </row>
    <row r="9" spans="1:21" ht="31" customHeight="1">
      <c r="A9">
        <v>4</v>
      </c>
      <c r="B9" s="189">
        <v>45622</v>
      </c>
      <c r="C9" s="188" t="s">
        <v>260</v>
      </c>
      <c r="D9" s="188" t="s">
        <v>261</v>
      </c>
      <c r="E9" s="185">
        <v>113430018</v>
      </c>
      <c r="F9" s="188" t="s">
        <v>107</v>
      </c>
      <c r="G9" s="188" t="s">
        <v>108</v>
      </c>
      <c r="H9" s="185" t="s">
        <v>42</v>
      </c>
      <c r="I9" s="185" t="s">
        <v>74</v>
      </c>
      <c r="J9" s="185" t="s">
        <v>75</v>
      </c>
      <c r="K9" s="190">
        <v>45622</v>
      </c>
      <c r="L9" s="191" t="s">
        <v>262</v>
      </c>
      <c r="M9" s="191" t="s">
        <v>106</v>
      </c>
      <c r="N9" s="200" t="s">
        <v>119</v>
      </c>
      <c r="O9" s="192">
        <v>15</v>
      </c>
      <c r="P9" s="185" t="s">
        <v>22</v>
      </c>
      <c r="Q9" s="185" t="s">
        <v>74</v>
      </c>
      <c r="R9" s="193"/>
      <c r="S9" s="188" t="s">
        <v>261</v>
      </c>
      <c r="T9" s="201">
        <v>100338177</v>
      </c>
      <c r="U9" s="195" t="s">
        <v>264</v>
      </c>
    </row>
    <row r="10" spans="1:21" ht="31" customHeight="1">
      <c r="A10">
        <v>5</v>
      </c>
      <c r="B10" s="189">
        <v>45622</v>
      </c>
      <c r="C10" s="188" t="s">
        <v>260</v>
      </c>
      <c r="D10" s="188" t="s">
        <v>261</v>
      </c>
      <c r="E10" s="185">
        <v>111030002</v>
      </c>
      <c r="F10" s="188" t="s">
        <v>109</v>
      </c>
      <c r="G10" s="188" t="s">
        <v>110</v>
      </c>
      <c r="H10" s="185" t="s">
        <v>42</v>
      </c>
      <c r="I10" s="185" t="s">
        <v>74</v>
      </c>
      <c r="J10" s="185" t="s">
        <v>75</v>
      </c>
      <c r="K10" s="190">
        <v>45622</v>
      </c>
      <c r="L10" s="191" t="s">
        <v>262</v>
      </c>
      <c r="M10" s="191" t="s">
        <v>106</v>
      </c>
      <c r="N10" s="200" t="s">
        <v>119</v>
      </c>
      <c r="O10" s="192">
        <v>15</v>
      </c>
      <c r="P10" s="185" t="s">
        <v>22</v>
      </c>
      <c r="Q10" s="185" t="s">
        <v>74</v>
      </c>
      <c r="R10" s="193"/>
      <c r="S10" s="188" t="s">
        <v>261</v>
      </c>
      <c r="T10" s="201">
        <v>100338177</v>
      </c>
      <c r="U10" s="195" t="s">
        <v>264</v>
      </c>
    </row>
    <row r="11" spans="1:21" ht="31" customHeight="1">
      <c r="A11">
        <v>6</v>
      </c>
      <c r="B11" s="189">
        <v>45563</v>
      </c>
      <c r="C11" s="188" t="s">
        <v>111</v>
      </c>
      <c r="D11" s="188" t="s">
        <v>112</v>
      </c>
      <c r="E11" s="185">
        <v>112930068</v>
      </c>
      <c r="F11" s="188" t="s">
        <v>114</v>
      </c>
      <c r="G11" s="188" t="s">
        <v>113</v>
      </c>
      <c r="H11" s="185" t="s">
        <v>42</v>
      </c>
      <c r="I11" s="185" t="s">
        <v>74</v>
      </c>
      <c r="J11" s="185" t="s">
        <v>75</v>
      </c>
      <c r="K11" s="190">
        <v>45623</v>
      </c>
      <c r="L11" s="191" t="s">
        <v>115</v>
      </c>
      <c r="M11" s="191" t="s">
        <v>116</v>
      </c>
      <c r="N11" s="200" t="s">
        <v>135</v>
      </c>
      <c r="O11" s="192">
        <v>15</v>
      </c>
      <c r="P11" s="185" t="s">
        <v>22</v>
      </c>
      <c r="Q11" s="185" t="s">
        <v>74</v>
      </c>
      <c r="R11" s="193"/>
      <c r="S11" s="188" t="s">
        <v>112</v>
      </c>
      <c r="T11" s="201" t="s">
        <v>117</v>
      </c>
      <c r="U11" s="195" t="s">
        <v>120</v>
      </c>
    </row>
    <row r="12" spans="1:21" ht="31" customHeight="1">
      <c r="A12">
        <v>7</v>
      </c>
      <c r="B12" s="189">
        <v>45563</v>
      </c>
      <c r="C12" s="188" t="s">
        <v>111</v>
      </c>
      <c r="D12" s="188" t="s">
        <v>112</v>
      </c>
      <c r="E12" s="185">
        <v>112030010</v>
      </c>
      <c r="F12" s="188" t="s">
        <v>121</v>
      </c>
      <c r="G12" s="188" t="s">
        <v>122</v>
      </c>
      <c r="H12" s="185" t="s">
        <v>42</v>
      </c>
      <c r="I12" s="185" t="s">
        <v>74</v>
      </c>
      <c r="J12" s="185" t="s">
        <v>75</v>
      </c>
      <c r="K12" s="190">
        <v>45623</v>
      </c>
      <c r="L12" s="191" t="s">
        <v>115</v>
      </c>
      <c r="M12" s="191" t="s">
        <v>116</v>
      </c>
      <c r="N12" s="200" t="s">
        <v>135</v>
      </c>
      <c r="O12" s="192">
        <v>15</v>
      </c>
      <c r="P12" s="185" t="s">
        <v>22</v>
      </c>
      <c r="Q12" s="185" t="s">
        <v>74</v>
      </c>
      <c r="R12" s="193"/>
      <c r="S12" s="188" t="s">
        <v>112</v>
      </c>
      <c r="T12" s="201" t="s">
        <v>117</v>
      </c>
      <c r="U12" s="195" t="s">
        <v>120</v>
      </c>
    </row>
    <row r="13" spans="1:21" ht="31" customHeight="1">
      <c r="A13">
        <v>8</v>
      </c>
      <c r="B13" s="189">
        <v>45563</v>
      </c>
      <c r="C13" s="188" t="s">
        <v>111</v>
      </c>
      <c r="D13" s="188" t="s">
        <v>112</v>
      </c>
      <c r="E13" s="185">
        <v>111000059</v>
      </c>
      <c r="F13" s="188" t="s">
        <v>123</v>
      </c>
      <c r="G13" s="188" t="s">
        <v>124</v>
      </c>
      <c r="H13" s="185" t="s">
        <v>42</v>
      </c>
      <c r="I13" s="185" t="s">
        <v>74</v>
      </c>
      <c r="J13" s="185" t="s">
        <v>75</v>
      </c>
      <c r="K13" s="190">
        <v>45623</v>
      </c>
      <c r="L13" s="191" t="s">
        <v>115</v>
      </c>
      <c r="M13" s="191" t="s">
        <v>116</v>
      </c>
      <c r="N13" s="200" t="s">
        <v>135</v>
      </c>
      <c r="O13" s="192">
        <v>15</v>
      </c>
      <c r="P13" s="185" t="s">
        <v>22</v>
      </c>
      <c r="Q13" s="185" t="s">
        <v>74</v>
      </c>
      <c r="R13" s="193"/>
      <c r="S13" s="188" t="s">
        <v>112</v>
      </c>
      <c r="T13" s="201" t="s">
        <v>117</v>
      </c>
      <c r="U13" s="195" t="s">
        <v>120</v>
      </c>
    </row>
    <row r="14" spans="1:21" ht="31" customHeight="1">
      <c r="A14">
        <v>9</v>
      </c>
      <c r="B14" s="189">
        <v>45563</v>
      </c>
      <c r="C14" s="188" t="s">
        <v>111</v>
      </c>
      <c r="D14" s="188" t="s">
        <v>112</v>
      </c>
      <c r="E14" s="185">
        <v>112570211</v>
      </c>
      <c r="F14" s="188" t="s">
        <v>148</v>
      </c>
      <c r="G14" s="188" t="s">
        <v>125</v>
      </c>
      <c r="H14" s="185" t="s">
        <v>42</v>
      </c>
      <c r="I14" s="185" t="s">
        <v>74</v>
      </c>
      <c r="J14" s="185" t="s">
        <v>75</v>
      </c>
      <c r="K14" s="190">
        <v>45623</v>
      </c>
      <c r="L14" s="191" t="s">
        <v>115</v>
      </c>
      <c r="M14" s="191" t="s">
        <v>116</v>
      </c>
      <c r="N14" s="200" t="s">
        <v>135</v>
      </c>
      <c r="O14" s="192">
        <v>15</v>
      </c>
      <c r="P14" s="185" t="s">
        <v>22</v>
      </c>
      <c r="Q14" s="185" t="s">
        <v>74</v>
      </c>
      <c r="R14" s="193"/>
      <c r="S14" s="188" t="s">
        <v>112</v>
      </c>
      <c r="T14" s="201" t="s">
        <v>117</v>
      </c>
      <c r="U14" s="195" t="s">
        <v>120</v>
      </c>
    </row>
    <row r="15" spans="1:21" ht="31" customHeight="1">
      <c r="A15">
        <v>10</v>
      </c>
      <c r="B15" s="189">
        <v>45563</v>
      </c>
      <c r="C15" s="188" t="s">
        <v>111</v>
      </c>
      <c r="D15" s="188" t="s">
        <v>112</v>
      </c>
      <c r="E15" s="185">
        <v>112510036</v>
      </c>
      <c r="F15" s="188" t="s">
        <v>126</v>
      </c>
      <c r="G15" s="188" t="s">
        <v>127</v>
      </c>
      <c r="H15" s="185" t="s">
        <v>42</v>
      </c>
      <c r="I15" s="185" t="s">
        <v>74</v>
      </c>
      <c r="J15" s="185" t="s">
        <v>75</v>
      </c>
      <c r="K15" s="190">
        <v>45623</v>
      </c>
      <c r="L15" s="191" t="s">
        <v>115</v>
      </c>
      <c r="M15" s="191" t="s">
        <v>116</v>
      </c>
      <c r="N15" s="200" t="s">
        <v>135</v>
      </c>
      <c r="O15" s="192">
        <v>15</v>
      </c>
      <c r="P15" s="185" t="s">
        <v>22</v>
      </c>
      <c r="Q15" s="185" t="s">
        <v>74</v>
      </c>
      <c r="R15" s="193"/>
      <c r="S15" s="188" t="s">
        <v>112</v>
      </c>
      <c r="T15" s="201" t="s">
        <v>117</v>
      </c>
      <c r="U15" s="195" t="s">
        <v>120</v>
      </c>
    </row>
    <row r="16" spans="1:21" ht="31" customHeight="1">
      <c r="A16">
        <v>11</v>
      </c>
      <c r="B16" s="189">
        <v>45625</v>
      </c>
      <c r="C16" s="188" t="s">
        <v>96</v>
      </c>
      <c r="D16" s="188" t="s">
        <v>259</v>
      </c>
      <c r="E16" s="185">
        <v>111000030</v>
      </c>
      <c r="F16" s="188" t="s">
        <v>128</v>
      </c>
      <c r="G16" s="188" t="s">
        <v>129</v>
      </c>
      <c r="H16" s="185" t="s">
        <v>42</v>
      </c>
      <c r="I16" s="185" t="s">
        <v>74</v>
      </c>
      <c r="J16" s="185" t="s">
        <v>75</v>
      </c>
      <c r="K16" s="190">
        <v>45625</v>
      </c>
      <c r="L16" s="191" t="s">
        <v>130</v>
      </c>
      <c r="M16" s="191" t="s">
        <v>131</v>
      </c>
      <c r="N16" s="200" t="s">
        <v>132</v>
      </c>
      <c r="O16" s="192">
        <v>20</v>
      </c>
      <c r="P16" s="185" t="s">
        <v>22</v>
      </c>
      <c r="Q16" s="185" t="s">
        <v>74</v>
      </c>
      <c r="R16" s="193"/>
      <c r="S16" s="188" t="s">
        <v>259</v>
      </c>
      <c r="T16" s="201" t="s">
        <v>133</v>
      </c>
      <c r="U16" s="195" t="s">
        <v>134</v>
      </c>
    </row>
    <row r="17" spans="1:21" ht="31" customHeight="1">
      <c r="A17">
        <v>12</v>
      </c>
      <c r="B17" s="189">
        <v>45625</v>
      </c>
      <c r="C17" s="188" t="s">
        <v>96</v>
      </c>
      <c r="D17" s="188" t="s">
        <v>259</v>
      </c>
      <c r="E17" s="185">
        <v>112500048</v>
      </c>
      <c r="F17" s="188" t="s">
        <v>136</v>
      </c>
      <c r="G17" s="188" t="s">
        <v>137</v>
      </c>
      <c r="H17" s="185" t="s">
        <v>42</v>
      </c>
      <c r="I17" s="185" t="s">
        <v>74</v>
      </c>
      <c r="J17" s="185" t="s">
        <v>75</v>
      </c>
      <c r="K17" s="190">
        <v>45625</v>
      </c>
      <c r="L17" s="191" t="s">
        <v>130</v>
      </c>
      <c r="M17" s="191" t="s">
        <v>131</v>
      </c>
      <c r="N17" s="200" t="s">
        <v>132</v>
      </c>
      <c r="O17" s="192">
        <v>20</v>
      </c>
      <c r="P17" s="185" t="s">
        <v>22</v>
      </c>
      <c r="Q17" s="185" t="s">
        <v>74</v>
      </c>
      <c r="R17" s="193"/>
      <c r="S17" s="188" t="s">
        <v>259</v>
      </c>
      <c r="T17" s="201" t="s">
        <v>133</v>
      </c>
      <c r="U17" s="195" t="s">
        <v>134</v>
      </c>
    </row>
    <row r="18" spans="1:21" ht="31" customHeight="1">
      <c r="A18">
        <v>13</v>
      </c>
      <c r="B18" s="189">
        <v>45628</v>
      </c>
      <c r="C18" s="188" t="s">
        <v>141</v>
      </c>
      <c r="D18" s="188" t="s">
        <v>142</v>
      </c>
      <c r="E18" s="185">
        <v>112580027</v>
      </c>
      <c r="F18" s="188" t="s">
        <v>104</v>
      </c>
      <c r="G18" s="188" t="s">
        <v>138</v>
      </c>
      <c r="H18" s="185" t="s">
        <v>42</v>
      </c>
      <c r="I18" s="185" t="s">
        <v>74</v>
      </c>
      <c r="J18" s="185" t="s">
        <v>75</v>
      </c>
      <c r="K18" s="190">
        <v>45628</v>
      </c>
      <c r="L18" s="191" t="s">
        <v>140</v>
      </c>
      <c r="M18" s="191" t="s">
        <v>139</v>
      </c>
      <c r="N18" s="200" t="s">
        <v>147</v>
      </c>
      <c r="O18" s="192">
        <v>20</v>
      </c>
      <c r="P18" s="185" t="s">
        <v>22</v>
      </c>
      <c r="Q18" s="185" t="s">
        <v>74</v>
      </c>
      <c r="R18" s="193"/>
      <c r="S18" s="188" t="s">
        <v>142</v>
      </c>
      <c r="T18" s="201" t="s">
        <v>143</v>
      </c>
      <c r="U18" s="195" t="s">
        <v>144</v>
      </c>
    </row>
    <row r="19" spans="1:21" ht="31" customHeight="1">
      <c r="A19">
        <v>14</v>
      </c>
      <c r="B19" s="189">
        <v>45628</v>
      </c>
      <c r="C19" s="188" t="s">
        <v>141</v>
      </c>
      <c r="D19" s="188" t="s">
        <v>142</v>
      </c>
      <c r="E19" s="185">
        <v>112580027</v>
      </c>
      <c r="F19" s="188" t="s">
        <v>145</v>
      </c>
      <c r="G19" s="188" t="s">
        <v>146</v>
      </c>
      <c r="H19" s="185" t="s">
        <v>42</v>
      </c>
      <c r="I19" s="185" t="s">
        <v>74</v>
      </c>
      <c r="J19" s="185" t="s">
        <v>75</v>
      </c>
      <c r="K19" s="190">
        <v>45628</v>
      </c>
      <c r="L19" s="191" t="s">
        <v>140</v>
      </c>
      <c r="M19" s="191" t="s">
        <v>139</v>
      </c>
      <c r="N19" s="200" t="s">
        <v>147</v>
      </c>
      <c r="O19" s="192">
        <v>20</v>
      </c>
      <c r="P19" s="185" t="s">
        <v>22</v>
      </c>
      <c r="Q19" s="185" t="s">
        <v>74</v>
      </c>
      <c r="R19" s="193"/>
      <c r="S19" s="188" t="s">
        <v>142</v>
      </c>
      <c r="T19" s="201" t="s">
        <v>143</v>
      </c>
      <c r="U19" s="195" t="s">
        <v>144</v>
      </c>
    </row>
    <row r="20" spans="1:21" ht="31" customHeight="1">
      <c r="A20">
        <v>15</v>
      </c>
      <c r="B20" s="189">
        <v>45631</v>
      </c>
      <c r="C20" s="188" t="s">
        <v>166</v>
      </c>
      <c r="D20" s="188" t="s">
        <v>165</v>
      </c>
      <c r="E20" s="185">
        <v>112580027</v>
      </c>
      <c r="F20" s="188" t="s">
        <v>104</v>
      </c>
      <c r="G20" s="188" t="s">
        <v>154</v>
      </c>
      <c r="H20" s="185" t="s">
        <v>42</v>
      </c>
      <c r="I20" s="185" t="s">
        <v>74</v>
      </c>
      <c r="J20" s="185" t="s">
        <v>75</v>
      </c>
      <c r="K20" s="190">
        <v>45631</v>
      </c>
      <c r="L20" s="191" t="s">
        <v>149</v>
      </c>
      <c r="M20" s="191" t="s">
        <v>150</v>
      </c>
      <c r="N20" s="200" t="s">
        <v>151</v>
      </c>
      <c r="O20" s="192">
        <v>20</v>
      </c>
      <c r="P20" s="185" t="s">
        <v>22</v>
      </c>
      <c r="Q20" s="185" t="s">
        <v>74</v>
      </c>
      <c r="R20" s="193"/>
      <c r="S20" s="188" t="s">
        <v>165</v>
      </c>
      <c r="T20" s="201" t="s">
        <v>152</v>
      </c>
      <c r="U20" s="195" t="s">
        <v>153</v>
      </c>
    </row>
    <row r="21" spans="1:21" ht="31" customHeight="1">
      <c r="A21">
        <v>16</v>
      </c>
      <c r="B21" s="189">
        <v>45631</v>
      </c>
      <c r="C21" s="188" t="s">
        <v>141</v>
      </c>
      <c r="D21" s="188" t="s">
        <v>165</v>
      </c>
      <c r="E21" s="185">
        <v>40466241</v>
      </c>
      <c r="F21" s="188" t="s">
        <v>155</v>
      </c>
      <c r="G21" s="188" t="s">
        <v>156</v>
      </c>
      <c r="H21" s="185" t="s">
        <v>42</v>
      </c>
      <c r="I21" s="185" t="s">
        <v>74</v>
      </c>
      <c r="J21" s="185" t="s">
        <v>75</v>
      </c>
      <c r="K21" s="190">
        <v>45631</v>
      </c>
      <c r="L21" s="191" t="s">
        <v>149</v>
      </c>
      <c r="M21" s="191" t="s">
        <v>150</v>
      </c>
      <c r="N21" s="200" t="s">
        <v>151</v>
      </c>
      <c r="O21" s="192">
        <v>20</v>
      </c>
      <c r="P21" s="185" t="s">
        <v>22</v>
      </c>
      <c r="Q21" s="185" t="s">
        <v>74</v>
      </c>
      <c r="R21" s="193"/>
      <c r="S21" s="188" t="s">
        <v>165</v>
      </c>
      <c r="T21" s="201" t="s">
        <v>152</v>
      </c>
      <c r="U21" s="195" t="s">
        <v>153</v>
      </c>
    </row>
    <row r="22" spans="1:21" ht="31" customHeight="1">
      <c r="A22">
        <v>17</v>
      </c>
      <c r="B22" s="189">
        <v>45632</v>
      </c>
      <c r="C22" s="188" t="s">
        <v>157</v>
      </c>
      <c r="D22" s="188" t="s">
        <v>158</v>
      </c>
      <c r="E22" s="185">
        <v>112570118</v>
      </c>
      <c r="F22" s="188" t="s">
        <v>159</v>
      </c>
      <c r="G22" s="188" t="s">
        <v>160</v>
      </c>
      <c r="H22" s="185" t="s">
        <v>42</v>
      </c>
      <c r="I22" s="185" t="s">
        <v>74</v>
      </c>
      <c r="J22" s="185" t="s">
        <v>75</v>
      </c>
      <c r="K22" s="190">
        <v>45632</v>
      </c>
      <c r="L22" s="191" t="s">
        <v>161</v>
      </c>
      <c r="M22" s="191" t="s">
        <v>162</v>
      </c>
      <c r="N22" s="200" t="s">
        <v>163</v>
      </c>
      <c r="O22" s="192">
        <v>15</v>
      </c>
      <c r="P22" s="185" t="s">
        <v>22</v>
      </c>
      <c r="Q22" s="185" t="s">
        <v>74</v>
      </c>
      <c r="R22" s="193"/>
      <c r="S22" s="188" t="s">
        <v>158</v>
      </c>
      <c r="T22" s="201" t="s">
        <v>179</v>
      </c>
      <c r="U22" s="195" t="s">
        <v>164</v>
      </c>
    </row>
    <row r="23" spans="1:21" ht="31" customHeight="1">
      <c r="A23">
        <v>18</v>
      </c>
      <c r="B23" s="189">
        <v>45632</v>
      </c>
      <c r="C23" s="188" t="s">
        <v>157</v>
      </c>
      <c r="D23" s="188" t="s">
        <v>158</v>
      </c>
      <c r="E23" s="185">
        <v>112030019</v>
      </c>
      <c r="F23" s="188" t="s">
        <v>168</v>
      </c>
      <c r="G23" s="188" t="s">
        <v>167</v>
      </c>
      <c r="H23" s="185" t="s">
        <v>42</v>
      </c>
      <c r="I23" s="185" t="s">
        <v>74</v>
      </c>
      <c r="J23" s="185" t="s">
        <v>75</v>
      </c>
      <c r="K23" s="190">
        <v>45632</v>
      </c>
      <c r="L23" s="191" t="s">
        <v>161</v>
      </c>
      <c r="M23" s="191" t="s">
        <v>162</v>
      </c>
      <c r="N23" s="200" t="s">
        <v>163</v>
      </c>
      <c r="O23" s="192">
        <v>15</v>
      </c>
      <c r="P23" s="185" t="s">
        <v>22</v>
      </c>
      <c r="Q23" s="185" t="s">
        <v>74</v>
      </c>
      <c r="R23" s="193"/>
      <c r="S23" s="188" t="s">
        <v>158</v>
      </c>
      <c r="T23" s="201" t="s">
        <v>179</v>
      </c>
      <c r="U23" s="195" t="s">
        <v>164</v>
      </c>
    </row>
    <row r="24" spans="1:21" ht="31" customHeight="1">
      <c r="A24">
        <v>19</v>
      </c>
      <c r="B24" s="189">
        <v>45632</v>
      </c>
      <c r="C24" s="188" t="s">
        <v>157</v>
      </c>
      <c r="D24" s="188" t="s">
        <v>158</v>
      </c>
      <c r="E24" s="185">
        <v>111000051</v>
      </c>
      <c r="F24" s="188" t="s">
        <v>169</v>
      </c>
      <c r="G24" s="188" t="s">
        <v>170</v>
      </c>
      <c r="H24" s="185" t="s">
        <v>42</v>
      </c>
      <c r="I24" s="185" t="s">
        <v>74</v>
      </c>
      <c r="J24" s="185" t="s">
        <v>75</v>
      </c>
      <c r="K24" s="190">
        <v>45632</v>
      </c>
      <c r="L24" s="191" t="s">
        <v>161</v>
      </c>
      <c r="M24" s="191" t="s">
        <v>162</v>
      </c>
      <c r="N24" s="200" t="s">
        <v>163</v>
      </c>
      <c r="O24" s="192">
        <v>15</v>
      </c>
      <c r="P24" s="185" t="s">
        <v>22</v>
      </c>
      <c r="Q24" s="185" t="s">
        <v>74</v>
      </c>
      <c r="R24" s="193"/>
      <c r="S24" s="188" t="s">
        <v>158</v>
      </c>
      <c r="T24" s="201" t="s">
        <v>179</v>
      </c>
      <c r="U24" s="195" t="s">
        <v>164</v>
      </c>
    </row>
    <row r="25" spans="1:21" ht="31" customHeight="1">
      <c r="A25">
        <v>20</v>
      </c>
      <c r="B25" s="189">
        <v>45632</v>
      </c>
      <c r="C25" s="188" t="s">
        <v>141</v>
      </c>
      <c r="D25" s="188" t="s">
        <v>171</v>
      </c>
      <c r="E25" s="185">
        <v>40466111</v>
      </c>
      <c r="F25" s="188" t="s">
        <v>172</v>
      </c>
      <c r="G25" s="188" t="s">
        <v>173</v>
      </c>
      <c r="H25" s="185" t="s">
        <v>42</v>
      </c>
      <c r="I25" s="185" t="s">
        <v>74</v>
      </c>
      <c r="J25" s="185" t="s">
        <v>75</v>
      </c>
      <c r="K25" s="190">
        <v>45632</v>
      </c>
      <c r="L25" s="191" t="s">
        <v>174</v>
      </c>
      <c r="M25" s="191" t="s">
        <v>175</v>
      </c>
      <c r="N25" s="200" t="s">
        <v>176</v>
      </c>
      <c r="O25" s="192">
        <v>20</v>
      </c>
      <c r="P25" s="185" t="s">
        <v>22</v>
      </c>
      <c r="Q25" s="185" t="s">
        <v>74</v>
      </c>
      <c r="R25" s="193"/>
      <c r="S25" s="188" t="s">
        <v>171</v>
      </c>
      <c r="T25" s="201" t="s">
        <v>177</v>
      </c>
      <c r="U25" s="195" t="s">
        <v>178</v>
      </c>
    </row>
    <row r="26" spans="1:21" ht="31" customHeight="1">
      <c r="A26">
        <v>21</v>
      </c>
      <c r="B26" s="189">
        <v>45632</v>
      </c>
      <c r="C26" s="188" t="s">
        <v>141</v>
      </c>
      <c r="D26" s="188" t="s">
        <v>171</v>
      </c>
      <c r="E26" s="185">
        <v>112580058</v>
      </c>
      <c r="F26" s="188" t="s">
        <v>180</v>
      </c>
      <c r="G26" s="188" t="s">
        <v>181</v>
      </c>
      <c r="H26" s="185" t="s">
        <v>42</v>
      </c>
      <c r="I26" s="185" t="s">
        <v>74</v>
      </c>
      <c r="J26" s="185" t="s">
        <v>75</v>
      </c>
      <c r="K26" s="202">
        <v>45632</v>
      </c>
      <c r="L26" s="203" t="s">
        <v>174</v>
      </c>
      <c r="M26" s="203" t="s">
        <v>175</v>
      </c>
      <c r="N26" s="204" t="s">
        <v>176</v>
      </c>
      <c r="O26" s="205">
        <v>20</v>
      </c>
      <c r="P26" s="185" t="s">
        <v>22</v>
      </c>
      <c r="Q26" s="185" t="s">
        <v>74</v>
      </c>
      <c r="R26" s="207"/>
      <c r="S26" s="208" t="s">
        <v>171</v>
      </c>
      <c r="T26" s="206" t="s">
        <v>177</v>
      </c>
      <c r="U26" s="207" t="s">
        <v>178</v>
      </c>
    </row>
    <row r="27" spans="1:21" ht="31" customHeight="1">
      <c r="A27">
        <v>22</v>
      </c>
      <c r="B27" s="189">
        <v>45635</v>
      </c>
      <c r="C27" s="188" t="s">
        <v>157</v>
      </c>
      <c r="D27" s="188" t="s">
        <v>182</v>
      </c>
      <c r="E27" s="185">
        <v>112580058</v>
      </c>
      <c r="F27" s="188" t="s">
        <v>180</v>
      </c>
      <c r="G27" s="188" t="s">
        <v>183</v>
      </c>
      <c r="H27" s="185" t="s">
        <v>42</v>
      </c>
      <c r="I27" s="185" t="s">
        <v>74</v>
      </c>
      <c r="J27" s="185" t="s">
        <v>75</v>
      </c>
      <c r="K27" s="190">
        <v>45635</v>
      </c>
      <c r="L27" s="211" t="s">
        <v>184</v>
      </c>
      <c r="M27" s="191" t="s">
        <v>185</v>
      </c>
      <c r="N27" s="200" t="s">
        <v>263</v>
      </c>
      <c r="O27" s="192">
        <v>20</v>
      </c>
      <c r="P27" s="185" t="s">
        <v>22</v>
      </c>
      <c r="Q27" s="185" t="s">
        <v>74</v>
      </c>
      <c r="R27" s="193"/>
      <c r="S27" s="188" t="s">
        <v>182</v>
      </c>
      <c r="T27" s="201" t="s">
        <v>186</v>
      </c>
      <c r="U27" s="195" t="s">
        <v>187</v>
      </c>
    </row>
    <row r="28" spans="1:21" ht="31" customHeight="1">
      <c r="A28">
        <v>23</v>
      </c>
      <c r="B28" s="189">
        <v>45635</v>
      </c>
      <c r="C28" s="188" t="s">
        <v>157</v>
      </c>
      <c r="D28" s="188" t="s">
        <v>182</v>
      </c>
      <c r="E28" s="185">
        <v>112570093</v>
      </c>
      <c r="F28" s="188" t="s">
        <v>188</v>
      </c>
      <c r="G28" s="188" t="s">
        <v>189</v>
      </c>
      <c r="H28" s="185" t="s">
        <v>42</v>
      </c>
      <c r="I28" s="185" t="s">
        <v>74</v>
      </c>
      <c r="J28" s="185" t="s">
        <v>75</v>
      </c>
      <c r="K28" s="190">
        <v>45635</v>
      </c>
      <c r="L28" s="211" t="s">
        <v>184</v>
      </c>
      <c r="M28" s="191" t="s">
        <v>185</v>
      </c>
      <c r="N28" s="200" t="s">
        <v>263</v>
      </c>
      <c r="O28" s="192">
        <v>20</v>
      </c>
      <c r="P28" s="185" t="s">
        <v>22</v>
      </c>
      <c r="Q28" s="185" t="s">
        <v>74</v>
      </c>
      <c r="R28" s="193"/>
      <c r="S28" s="188" t="s">
        <v>182</v>
      </c>
      <c r="T28" s="201" t="s">
        <v>186</v>
      </c>
      <c r="U28" s="195" t="s">
        <v>187</v>
      </c>
    </row>
    <row r="29" spans="1:21" ht="31" customHeight="1">
      <c r="A29">
        <v>24</v>
      </c>
      <c r="B29" s="189">
        <v>45636</v>
      </c>
      <c r="C29" s="188" t="s">
        <v>111</v>
      </c>
      <c r="D29" s="188" t="s">
        <v>190</v>
      </c>
      <c r="E29" s="185">
        <v>112580027</v>
      </c>
      <c r="F29" s="188" t="s">
        <v>191</v>
      </c>
      <c r="G29" s="188" t="s">
        <v>192</v>
      </c>
      <c r="H29" s="185" t="s">
        <v>42</v>
      </c>
      <c r="I29" s="185" t="s">
        <v>74</v>
      </c>
      <c r="J29" s="185" t="s">
        <v>75</v>
      </c>
      <c r="K29" s="190">
        <v>45636</v>
      </c>
      <c r="L29" s="191" t="s">
        <v>193</v>
      </c>
      <c r="M29" s="191" t="s">
        <v>194</v>
      </c>
      <c r="N29" s="200" t="s">
        <v>195</v>
      </c>
      <c r="O29" s="192">
        <v>20</v>
      </c>
      <c r="P29" s="185" t="s">
        <v>22</v>
      </c>
      <c r="Q29" s="185" t="s">
        <v>74</v>
      </c>
      <c r="R29" s="193"/>
      <c r="S29" s="188" t="s">
        <v>190</v>
      </c>
      <c r="T29" s="201" t="s">
        <v>196</v>
      </c>
      <c r="U29" s="195" t="s">
        <v>197</v>
      </c>
    </row>
    <row r="30" spans="1:21" ht="31" customHeight="1">
      <c r="A30">
        <v>25</v>
      </c>
      <c r="B30" s="189">
        <v>45636</v>
      </c>
      <c r="C30" s="188" t="s">
        <v>111</v>
      </c>
      <c r="D30" s="188" t="s">
        <v>190</v>
      </c>
      <c r="E30" s="185">
        <v>4046304</v>
      </c>
      <c r="F30" s="188" t="s">
        <v>198</v>
      </c>
      <c r="G30" s="188" t="s">
        <v>199</v>
      </c>
      <c r="H30" s="185" t="s">
        <v>42</v>
      </c>
      <c r="I30" s="185" t="s">
        <v>74</v>
      </c>
      <c r="J30" s="185" t="s">
        <v>75</v>
      </c>
      <c r="K30" s="190">
        <v>45636</v>
      </c>
      <c r="L30" s="191" t="s">
        <v>193</v>
      </c>
      <c r="M30" s="191" t="s">
        <v>194</v>
      </c>
      <c r="N30" s="200" t="s">
        <v>195</v>
      </c>
      <c r="O30" s="192">
        <v>20</v>
      </c>
      <c r="P30" s="185" t="s">
        <v>22</v>
      </c>
      <c r="Q30" s="185" t="s">
        <v>74</v>
      </c>
      <c r="R30" s="193"/>
      <c r="S30" s="188" t="s">
        <v>190</v>
      </c>
      <c r="T30" s="201" t="s">
        <v>196</v>
      </c>
      <c r="U30" s="195" t="s">
        <v>197</v>
      </c>
    </row>
    <row r="31" spans="1:21" ht="31" customHeight="1">
      <c r="A31">
        <v>26</v>
      </c>
      <c r="B31" s="189"/>
      <c r="C31" s="188"/>
      <c r="D31" s="188"/>
      <c r="E31" s="185"/>
      <c r="F31" s="188"/>
      <c r="G31" s="188"/>
      <c r="H31" s="185"/>
      <c r="I31" s="185"/>
      <c r="J31" s="185"/>
      <c r="K31" s="190"/>
      <c r="L31" s="191"/>
      <c r="M31" s="191"/>
      <c r="N31" s="200"/>
      <c r="O31" s="192"/>
      <c r="P31" s="185"/>
      <c r="Q31" s="185"/>
      <c r="R31" s="193"/>
      <c r="S31" s="188"/>
      <c r="T31" s="201"/>
      <c r="U31" s="195"/>
    </row>
    <row r="32" spans="1:21" ht="31" customHeight="1">
      <c r="A32">
        <v>27</v>
      </c>
      <c r="B32" s="189"/>
      <c r="C32" s="188"/>
      <c r="D32" s="188"/>
      <c r="E32" s="185"/>
      <c r="F32" s="188"/>
      <c r="G32" s="188"/>
      <c r="H32" s="185"/>
      <c r="I32" s="185"/>
      <c r="J32" s="185"/>
      <c r="K32" s="190"/>
      <c r="L32" s="191"/>
      <c r="M32" s="191"/>
      <c r="N32" s="200"/>
      <c r="O32" s="192"/>
      <c r="P32" s="185"/>
      <c r="Q32" s="185"/>
      <c r="R32" s="193"/>
      <c r="S32" s="188"/>
      <c r="T32" s="201"/>
      <c r="U32" s="195"/>
    </row>
    <row r="33" spans="1:21" ht="31" customHeight="1">
      <c r="A33">
        <v>28</v>
      </c>
      <c r="B33" s="189"/>
      <c r="C33" s="188"/>
      <c r="D33" s="188"/>
      <c r="E33" s="185"/>
      <c r="F33" s="188"/>
      <c r="G33" s="188"/>
      <c r="H33" s="185"/>
      <c r="I33" s="185"/>
      <c r="J33" s="185"/>
      <c r="K33" s="190"/>
      <c r="L33" s="191"/>
      <c r="M33" s="191"/>
      <c r="N33" s="200"/>
      <c r="O33" s="192"/>
      <c r="P33" s="185"/>
      <c r="Q33" s="185"/>
      <c r="R33" s="193"/>
      <c r="S33" s="188"/>
      <c r="T33" s="201"/>
      <c r="U33" s="195"/>
    </row>
    <row r="34" spans="1:21" ht="31" customHeight="1">
      <c r="A34">
        <v>29</v>
      </c>
      <c r="B34" s="189"/>
      <c r="C34" s="188"/>
      <c r="D34" s="188"/>
      <c r="E34" s="185"/>
      <c r="F34" s="188"/>
      <c r="G34" s="188"/>
      <c r="H34" s="185"/>
      <c r="I34" s="185"/>
      <c r="J34" s="185"/>
      <c r="K34" s="190"/>
      <c r="L34" s="191"/>
      <c r="M34" s="191"/>
      <c r="N34" s="200"/>
      <c r="O34" s="192"/>
      <c r="P34" s="185"/>
      <c r="Q34" s="185"/>
      <c r="R34" s="193"/>
      <c r="S34" s="188"/>
      <c r="T34" s="201"/>
      <c r="U34" s="195"/>
    </row>
    <row r="35" spans="1:21" ht="31" customHeight="1">
      <c r="A35">
        <v>30</v>
      </c>
      <c r="B35" s="189"/>
      <c r="C35" s="188"/>
      <c r="D35" s="188"/>
      <c r="E35" s="185"/>
      <c r="F35" s="188"/>
      <c r="G35" s="188"/>
      <c r="H35" s="185"/>
      <c r="I35" s="185"/>
      <c r="J35" s="185"/>
      <c r="K35" s="190"/>
      <c r="L35" s="191"/>
      <c r="M35" s="191"/>
      <c r="N35" s="200"/>
      <c r="O35" s="192"/>
      <c r="P35" s="185"/>
      <c r="Q35" s="185"/>
      <c r="R35" s="193"/>
      <c r="S35" s="188"/>
      <c r="T35" s="201"/>
      <c r="U35" s="195"/>
    </row>
    <row r="36" spans="1:21" ht="31" customHeight="1">
      <c r="A36">
        <v>31</v>
      </c>
      <c r="B36" s="189"/>
      <c r="C36" s="188"/>
      <c r="D36" s="188"/>
      <c r="E36" s="185"/>
      <c r="F36" s="188"/>
      <c r="G36" s="188"/>
      <c r="H36" s="185"/>
      <c r="I36" s="185"/>
      <c r="J36" s="185"/>
      <c r="K36" s="190"/>
      <c r="L36" s="191"/>
      <c r="M36" s="191"/>
      <c r="N36" s="200"/>
      <c r="O36" s="192"/>
      <c r="P36" s="185"/>
      <c r="Q36" s="185"/>
      <c r="R36" s="193"/>
      <c r="S36" s="188"/>
      <c r="T36" s="194"/>
      <c r="U36" s="195"/>
    </row>
    <row r="37" spans="1:21" ht="31" customHeight="1">
      <c r="A37">
        <v>32</v>
      </c>
      <c r="B37" s="189"/>
      <c r="C37" s="188"/>
      <c r="D37" s="188"/>
      <c r="E37" s="185"/>
      <c r="F37" s="188"/>
      <c r="G37" s="188"/>
      <c r="H37" s="185"/>
      <c r="I37" s="185"/>
      <c r="J37" s="185"/>
      <c r="K37" s="190"/>
      <c r="L37" s="191"/>
      <c r="M37" s="191"/>
      <c r="N37" s="188"/>
      <c r="O37" s="192"/>
      <c r="P37" s="185"/>
      <c r="Q37" s="185"/>
      <c r="R37" s="193"/>
      <c r="S37" s="188"/>
      <c r="T37" s="194"/>
      <c r="U37" s="195"/>
    </row>
    <row r="38" spans="1:21">
      <c r="K38">
        <v>0</v>
      </c>
      <c r="L38">
        <v>30</v>
      </c>
      <c r="M38">
        <f>K38*L38</f>
        <v>0</v>
      </c>
    </row>
    <row r="39" spans="1:21">
      <c r="K39">
        <v>35</v>
      </c>
      <c r="L39">
        <v>15</v>
      </c>
      <c r="M39">
        <f>K39*L39</f>
        <v>525</v>
      </c>
    </row>
    <row r="40" spans="1:21">
      <c r="K40">
        <v>30</v>
      </c>
      <c r="L40">
        <v>20</v>
      </c>
      <c r="M40">
        <f>K40*L40</f>
        <v>600</v>
      </c>
    </row>
    <row r="41" spans="1:21">
      <c r="M41">
        <f>SUM(M38:M40)</f>
        <v>1125</v>
      </c>
    </row>
  </sheetData>
  <hyperlinks>
    <hyperlink ref="U6" r:id="rId1" xr:uid="{9398D191-DEAC-2649-9E8E-F3C441B32035}"/>
    <hyperlink ref="U7" r:id="rId2" xr:uid="{47AA9114-937B-CA41-B859-1EF6F5F179A7}"/>
    <hyperlink ref="U11" r:id="rId3" xr:uid="{2CE9D4A6-96E3-EC42-8A51-18D6F1508148}"/>
    <hyperlink ref="U12" r:id="rId4" xr:uid="{BA22D9AE-7F5E-3842-A534-EF5EB5D3F60E}"/>
    <hyperlink ref="U13" r:id="rId5" xr:uid="{547C84C2-F601-5140-AC49-F322BAEF49C5}"/>
    <hyperlink ref="U14" r:id="rId6" xr:uid="{8E789835-9EA1-C441-ADE1-5F28DC775426}"/>
    <hyperlink ref="U15" r:id="rId7" xr:uid="{9938813F-ACBF-264C-B840-3DFEDA088B1F}"/>
    <hyperlink ref="U16" r:id="rId8" xr:uid="{DDAC7C57-BA24-C549-8FC3-93E47395177B}"/>
    <hyperlink ref="U17" r:id="rId9" xr:uid="{94CEB534-A290-1346-9EFE-49DBD41F4756}"/>
    <hyperlink ref="U18" r:id="rId10" xr:uid="{8C50A67E-E29D-8A48-807A-C16251A1F748}"/>
    <hyperlink ref="U19" r:id="rId11" xr:uid="{E6F1F150-EA72-404F-ADC2-E7DFE3A9FAD4}"/>
    <hyperlink ref="U20" r:id="rId12" xr:uid="{209201F5-6C14-5A47-9C7A-F862072ABC29}"/>
    <hyperlink ref="U21" r:id="rId13" xr:uid="{FD2CE381-D6EC-654E-91FB-C89FD5A889B5}"/>
    <hyperlink ref="U22" r:id="rId14" xr:uid="{04FB42D6-DEB0-6F4A-8B0E-F1413DE6B69C}"/>
    <hyperlink ref="U23" r:id="rId15" xr:uid="{CCCE7B67-6E7E-AC4C-81C0-9C432F33F53A}"/>
    <hyperlink ref="U24" r:id="rId16" xr:uid="{5A1C748F-673A-3F49-B513-B4488ADEADCD}"/>
    <hyperlink ref="U25" r:id="rId17" xr:uid="{977C6AB8-36CF-1843-9792-4AF34DB18965}"/>
    <hyperlink ref="U26" r:id="rId18" display="mailto:michelle_96038@hotmail.com" xr:uid="{23619315-F49C-F44F-8D5C-2AFC4E24B0F4}"/>
    <hyperlink ref="U27" r:id="rId19" xr:uid="{7DD3F8C9-0DF1-1144-92AD-E124015A2379}"/>
    <hyperlink ref="U28" r:id="rId20" xr:uid="{239E3FC9-2699-614C-8081-29F420541BF7}"/>
    <hyperlink ref="U29" r:id="rId21" xr:uid="{06A7A58C-6B5E-EC41-8F5B-CB274D5CBD43}"/>
    <hyperlink ref="U30" r:id="rId22" xr:uid="{012C4048-0CC9-B340-9CD5-19395EA36230}"/>
    <hyperlink ref="U8" r:id="rId23" xr:uid="{4D28656B-C217-4D4E-9C26-055F34A2277E}"/>
    <hyperlink ref="U9:U10" r:id="rId24" display="alodiacevallos0@gmail.com" xr:uid="{1B2159F6-A9DB-1A42-A9BD-A88374576A68}"/>
  </hyperlinks>
  <pageMargins left="0.7" right="0.7" top="0.75" bottom="0.75" header="0.3" footer="0.3"/>
  <pageSetup paperSize="9" orientation="portrait" horizontalDpi="0" verticalDpi="0" r:id="rId25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2"/>
  <sheetViews>
    <sheetView zoomScaleNormal="100" workbookViewId="0">
      <selection activeCell="M12" sqref="M12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2.832031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79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93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92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3" t="s">
        <v>26</v>
      </c>
      <c r="C8" s="133" t="s">
        <v>27</v>
      </c>
      <c r="D8" s="133" t="s">
        <v>28</v>
      </c>
      <c r="E8" s="133" t="s">
        <v>29</v>
      </c>
      <c r="F8" s="133" t="s">
        <v>30</v>
      </c>
      <c r="G8" s="133" t="s">
        <v>31</v>
      </c>
      <c r="H8" s="133" t="s">
        <v>32</v>
      </c>
      <c r="I8" s="133" t="s">
        <v>33</v>
      </c>
      <c r="J8" s="133" t="s">
        <v>34</v>
      </c>
      <c r="K8" s="133" t="s">
        <v>35</v>
      </c>
      <c r="L8" s="133" t="s">
        <v>36</v>
      </c>
      <c r="M8" s="133" t="s">
        <v>37</v>
      </c>
      <c r="N8" s="133" t="s">
        <v>38</v>
      </c>
      <c r="O8" s="133" t="s">
        <v>39</v>
      </c>
      <c r="P8" s="133" t="s">
        <v>40</v>
      </c>
      <c r="Q8" s="133" t="s">
        <v>41</v>
      </c>
      <c r="R8" s="134" t="s">
        <v>18</v>
      </c>
      <c r="S8" s="135" t="s">
        <v>19</v>
      </c>
    </row>
    <row r="9" spans="1:20" s="183" customFormat="1" ht="56.25" customHeight="1">
      <c r="A9" s="170">
        <v>1</v>
      </c>
      <c r="B9" s="171"/>
      <c r="C9" s="172"/>
      <c r="D9" s="173"/>
      <c r="E9" s="173"/>
      <c r="F9" s="174"/>
      <c r="G9" s="175"/>
      <c r="H9" s="176"/>
      <c r="I9" s="177"/>
      <c r="J9" s="178" t="s">
        <v>42</v>
      </c>
      <c r="K9" s="175" t="s">
        <v>84</v>
      </c>
      <c r="L9" s="175"/>
      <c r="M9" s="174"/>
      <c r="N9" s="179">
        <v>12.5</v>
      </c>
      <c r="O9" s="180"/>
      <c r="P9" s="181"/>
      <c r="Q9" s="167"/>
      <c r="R9" s="167"/>
      <c r="S9" s="167"/>
      <c r="T9" s="182"/>
    </row>
    <row r="10" spans="1:20" s="183" customFormat="1" ht="56.25" customHeight="1">
      <c r="A10" s="170"/>
      <c r="B10" s="171"/>
      <c r="C10" s="172"/>
      <c r="D10" s="173"/>
      <c r="E10" s="173"/>
      <c r="F10" s="174"/>
      <c r="G10" s="175"/>
      <c r="H10" s="176"/>
      <c r="I10" s="177"/>
      <c r="J10" s="178"/>
      <c r="K10" s="175"/>
      <c r="L10" s="175"/>
      <c r="M10" s="174"/>
      <c r="N10" s="179"/>
      <c r="O10" s="180"/>
      <c r="P10" s="181"/>
      <c r="Q10" s="167"/>
      <c r="R10" s="167"/>
      <c r="S10" s="167"/>
      <c r="T10" s="182"/>
    </row>
    <row r="11" spans="1:20" s="183" customFormat="1" ht="56.25" customHeight="1">
      <c r="A11" s="170"/>
      <c r="B11" s="171"/>
      <c r="C11" s="172"/>
      <c r="D11" s="173"/>
      <c r="E11" s="173"/>
      <c r="F11" s="174"/>
      <c r="G11" s="175"/>
      <c r="H11" s="176"/>
      <c r="I11" s="177"/>
      <c r="J11" s="178"/>
      <c r="K11" s="175"/>
      <c r="L11" s="175"/>
      <c r="M11" s="174"/>
      <c r="N11" s="179"/>
      <c r="O11" s="180"/>
      <c r="P11" s="181"/>
      <c r="Q11" s="167"/>
      <c r="R11" s="167"/>
      <c r="S11" s="167"/>
      <c r="T11" s="182"/>
    </row>
    <row r="12" spans="1:20" s="183" customFormat="1" ht="56.25" customHeight="1">
      <c r="A12" s="170"/>
      <c r="B12" s="171"/>
      <c r="C12" s="172"/>
      <c r="D12" s="173"/>
      <c r="E12" s="173"/>
      <c r="F12" s="174"/>
      <c r="G12" s="175"/>
      <c r="H12" s="176"/>
      <c r="I12" s="177"/>
      <c r="J12" s="178"/>
      <c r="K12" s="175"/>
      <c r="L12" s="175"/>
      <c r="M12" s="174"/>
      <c r="N12" s="179"/>
      <c r="O12" s="180"/>
      <c r="P12" s="181"/>
      <c r="Q12" s="167"/>
      <c r="R12" s="167"/>
      <c r="S12" s="167"/>
      <c r="T12" s="182"/>
    </row>
    <row r="13" spans="1:20" s="183" customFormat="1" ht="56.25" customHeight="1">
      <c r="A13" s="170"/>
      <c r="B13" s="171"/>
      <c r="C13" s="172"/>
      <c r="D13" s="173"/>
      <c r="E13" s="173"/>
      <c r="F13" s="174"/>
      <c r="G13" s="175"/>
      <c r="H13" s="176"/>
      <c r="I13" s="177"/>
      <c r="J13" s="178"/>
      <c r="K13" s="175"/>
      <c r="L13" s="175"/>
      <c r="M13" s="174"/>
      <c r="N13" s="179"/>
      <c r="O13" s="180"/>
      <c r="P13" s="181"/>
      <c r="Q13" s="167"/>
      <c r="R13" s="167"/>
      <c r="S13" s="167"/>
      <c r="T13" s="182"/>
    </row>
    <row r="14" spans="1:20" s="183" customFormat="1" ht="56.25" customHeight="1">
      <c r="A14" s="170"/>
      <c r="B14" s="171"/>
      <c r="C14" s="172"/>
      <c r="D14" s="173"/>
      <c r="E14" s="173"/>
      <c r="F14" s="174"/>
      <c r="G14" s="175"/>
      <c r="H14" s="176"/>
      <c r="I14" s="177"/>
      <c r="J14" s="178"/>
      <c r="K14" s="175"/>
      <c r="L14" s="175"/>
      <c r="M14" s="174"/>
      <c r="N14" s="179"/>
      <c r="O14" s="180"/>
      <c r="P14" s="181"/>
      <c r="Q14" s="167"/>
      <c r="R14" s="167"/>
      <c r="S14" s="167"/>
      <c r="T14" s="182"/>
    </row>
    <row r="15" spans="1:20" s="183" customFormat="1" ht="56.25" customHeight="1">
      <c r="A15" s="170"/>
      <c r="B15" s="171"/>
      <c r="C15" s="172"/>
      <c r="D15" s="173"/>
      <c r="E15" s="173"/>
      <c r="F15" s="174"/>
      <c r="G15" s="175"/>
      <c r="H15" s="176"/>
      <c r="I15" s="177"/>
      <c r="J15" s="178"/>
      <c r="K15" s="175"/>
      <c r="L15" s="175"/>
      <c r="M15" s="174"/>
      <c r="N15" s="179"/>
      <c r="O15" s="180"/>
      <c r="P15" s="181"/>
      <c r="Q15" s="167"/>
      <c r="R15" s="167"/>
      <c r="S15" s="167"/>
      <c r="T15" s="182"/>
    </row>
    <row r="16" spans="1:20" s="165" customFormat="1" ht="17">
      <c r="A16" s="166"/>
      <c r="B16"/>
      <c r="C16"/>
      <c r="D16"/>
      <c r="E16"/>
      <c r="F16"/>
      <c r="G16"/>
      <c r="H16"/>
      <c r="I16"/>
      <c r="J16"/>
      <c r="K16"/>
      <c r="L16"/>
      <c r="M16"/>
      <c r="N16" s="184">
        <f>SUM(N9:N15)</f>
        <v>12.5</v>
      </c>
      <c r="O16"/>
      <c r="P16"/>
      <c r="Q16"/>
      <c r="R16"/>
      <c r="S16"/>
    </row>
    <row r="17" spans="1:19" s="165" customFormat="1" ht="17">
      <c r="A17" s="166"/>
      <c r="B17"/>
      <c r="C17"/>
      <c r="D17"/>
      <c r="E17"/>
      <c r="F17"/>
      <c r="G17"/>
      <c r="H17"/>
      <c r="I17"/>
      <c r="J17"/>
      <c r="K17"/>
      <c r="L17"/>
      <c r="M17"/>
      <c r="N17" s="184"/>
      <c r="O17"/>
      <c r="P17"/>
      <c r="Q17"/>
      <c r="R17"/>
      <c r="S17"/>
    </row>
    <row r="18" spans="1:19" s="165" customFormat="1" ht="17">
      <c r="A18" s="166"/>
      <c r="B18"/>
      <c r="C18"/>
      <c r="D18"/>
      <c r="E18"/>
      <c r="F18"/>
      <c r="G18"/>
      <c r="H18"/>
      <c r="I18"/>
      <c r="J18" s="197">
        <v>2</v>
      </c>
      <c r="K18" s="198" t="s">
        <v>85</v>
      </c>
      <c r="L18" s="198">
        <v>12.5</v>
      </c>
      <c r="M18">
        <f>J18*L18</f>
        <v>25</v>
      </c>
      <c r="N18"/>
      <c r="O18"/>
      <c r="P18"/>
      <c r="Q18"/>
      <c r="R18"/>
      <c r="S18"/>
    </row>
    <row r="19" spans="1:19" s="72" customFormat="1" ht="17">
      <c r="A19" s="73"/>
      <c r="B19"/>
      <c r="C19"/>
      <c r="D19"/>
      <c r="E19"/>
      <c r="F19"/>
      <c r="G19"/>
      <c r="H19"/>
      <c r="I19"/>
      <c r="J19" s="197">
        <v>2</v>
      </c>
      <c r="K19" s="198" t="s">
        <v>86</v>
      </c>
      <c r="L19" s="198">
        <v>12.5</v>
      </c>
      <c r="M19">
        <f>J19*L19</f>
        <v>25</v>
      </c>
      <c r="N19"/>
      <c r="O19"/>
      <c r="P19"/>
      <c r="Q19"/>
      <c r="R19"/>
      <c r="S19"/>
    </row>
    <row r="20" spans="1:19" s="72" customFormat="1" ht="17">
      <c r="A20" s="73"/>
      <c r="B20"/>
      <c r="C20"/>
      <c r="D20"/>
      <c r="E20"/>
      <c r="F20"/>
      <c r="G20"/>
      <c r="H20"/>
      <c r="I20"/>
      <c r="J20" s="197">
        <v>2</v>
      </c>
      <c r="K20" s="198" t="s">
        <v>87</v>
      </c>
      <c r="L20" s="199">
        <v>18.75</v>
      </c>
      <c r="M20">
        <f>J20*L20</f>
        <v>37.5</v>
      </c>
      <c r="N20"/>
      <c r="O20"/>
      <c r="P20"/>
      <c r="Q20"/>
      <c r="R20"/>
      <c r="S20"/>
    </row>
    <row r="21" spans="1:19" ht="17">
      <c r="J21" s="197">
        <v>2</v>
      </c>
      <c r="K21" s="198" t="s">
        <v>88</v>
      </c>
      <c r="L21" s="198">
        <v>18.75</v>
      </c>
      <c r="M21">
        <f>J21*L21</f>
        <v>37.5</v>
      </c>
    </row>
    <row r="22" spans="1:19" ht="16">
      <c r="J22" s="197"/>
      <c r="K22" s="197"/>
      <c r="L22" s="197"/>
      <c r="M22">
        <f>SUM(M18:M21)</f>
        <v>125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topLeftCell="F1" zoomScale="147" zoomScaleNormal="147" workbookViewId="0">
      <selection activeCell="R12" sqref="R12"/>
    </sheetView>
  </sheetViews>
  <sheetFormatPr baseColWidth="10" defaultRowHeight="15"/>
  <cols>
    <col min="1" max="1" width="3.6640625" customWidth="1"/>
    <col min="2" max="2" width="11.33203125" bestFit="1" customWidth="1"/>
    <col min="4" max="4" width="20.5" customWidth="1"/>
    <col min="5" max="5" width="12.6640625" customWidth="1"/>
    <col min="6" max="6" width="28.1640625" customWidth="1"/>
    <col min="7" max="7" width="14.6640625" customWidth="1"/>
    <col min="8" max="8" width="8.1640625" customWidth="1"/>
    <col min="9" max="9" width="8.5" customWidth="1"/>
    <col min="10" max="10" width="9" customWidth="1"/>
    <col min="11" max="11" width="10.33203125" customWidth="1"/>
    <col min="12" max="12" width="20.33203125" customWidth="1"/>
    <col min="13" max="13" width="31.83203125" customWidth="1"/>
    <col min="14" max="14" width="11.1640625" bestFit="1" customWidth="1"/>
    <col min="15" max="15" width="7.83203125" customWidth="1"/>
    <col min="16" max="17" width="8.1640625" customWidth="1"/>
    <col min="18" max="18" width="6.83203125" customWidth="1"/>
    <col min="19" max="19" width="19.1640625" customWidth="1"/>
    <col min="20" max="20" width="16.1640625" customWidth="1"/>
    <col min="21" max="21" width="32.33203125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7" t="s">
        <v>94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>
        <v>45621</v>
      </c>
      <c r="C6" s="98"/>
      <c r="D6" s="93"/>
      <c r="E6" s="94">
        <v>111570002</v>
      </c>
      <c r="F6" s="95" t="s">
        <v>212</v>
      </c>
      <c r="G6" s="99" t="s">
        <v>201</v>
      </c>
      <c r="H6" s="100" t="s">
        <v>42</v>
      </c>
      <c r="I6" s="101" t="s">
        <v>74</v>
      </c>
      <c r="J6" s="101" t="s">
        <v>75</v>
      </c>
      <c r="K6" s="97">
        <v>45621</v>
      </c>
      <c r="L6" s="98" t="s">
        <v>202</v>
      </c>
      <c r="M6" s="96" t="s">
        <v>203</v>
      </c>
      <c r="N6" s="209" t="s">
        <v>204</v>
      </c>
      <c r="O6" s="102">
        <v>29</v>
      </c>
      <c r="P6" s="98"/>
      <c r="Q6" s="98" t="s">
        <v>74</v>
      </c>
      <c r="R6" s="103"/>
      <c r="S6" s="103"/>
      <c r="T6" s="210" t="s">
        <v>205</v>
      </c>
      <c r="U6" s="136" t="s">
        <v>229</v>
      </c>
    </row>
    <row r="7" spans="1:21" s="38" customFormat="1" ht="23.25" customHeight="1">
      <c r="A7" s="92">
        <v>2</v>
      </c>
      <c r="B7" s="97">
        <v>45622</v>
      </c>
      <c r="C7" s="98"/>
      <c r="D7" s="93"/>
      <c r="E7" s="94">
        <v>111570002</v>
      </c>
      <c r="F7" s="95" t="s">
        <v>212</v>
      </c>
      <c r="G7" s="99" t="s">
        <v>206</v>
      </c>
      <c r="H7" s="100" t="s">
        <v>42</v>
      </c>
      <c r="I7" s="101" t="s">
        <v>74</v>
      </c>
      <c r="J7" s="101" t="s">
        <v>75</v>
      </c>
      <c r="K7" s="97">
        <v>45622</v>
      </c>
      <c r="L7" s="98" t="s">
        <v>207</v>
      </c>
      <c r="M7" s="96" t="s">
        <v>209</v>
      </c>
      <c r="N7" s="209" t="s">
        <v>255</v>
      </c>
      <c r="O7" s="102">
        <v>29</v>
      </c>
      <c r="P7" s="98"/>
      <c r="Q7" s="98" t="s">
        <v>74</v>
      </c>
      <c r="R7" s="103"/>
      <c r="S7" s="103"/>
      <c r="T7" s="210" t="s">
        <v>221</v>
      </c>
      <c r="U7" s="136"/>
    </row>
    <row r="8" spans="1:21" s="38" customFormat="1" ht="23.25" customHeight="1">
      <c r="A8" s="92">
        <v>3</v>
      </c>
      <c r="B8" s="97">
        <v>45622</v>
      </c>
      <c r="C8" s="98"/>
      <c r="D8" s="93"/>
      <c r="E8" s="94">
        <v>111570002</v>
      </c>
      <c r="F8" s="95" t="s">
        <v>212</v>
      </c>
      <c r="G8" s="99" t="s">
        <v>208</v>
      </c>
      <c r="H8" s="100" t="s">
        <v>42</v>
      </c>
      <c r="I8" s="101" t="s">
        <v>74</v>
      </c>
      <c r="J8" s="101" t="s">
        <v>75</v>
      </c>
      <c r="K8" s="97">
        <v>45622</v>
      </c>
      <c r="L8" s="98" t="s">
        <v>207</v>
      </c>
      <c r="M8" s="96" t="s">
        <v>209</v>
      </c>
      <c r="N8" s="209" t="s">
        <v>255</v>
      </c>
      <c r="O8" s="102">
        <v>29</v>
      </c>
      <c r="P8" s="98"/>
      <c r="Q8" s="98" t="s">
        <v>74</v>
      </c>
      <c r="R8" s="103"/>
      <c r="S8" s="103"/>
      <c r="T8" s="210" t="s">
        <v>221</v>
      </c>
      <c r="U8" s="136"/>
    </row>
    <row r="9" spans="1:21" s="38" customFormat="1" ht="23.25" customHeight="1">
      <c r="A9" s="92">
        <v>4</v>
      </c>
      <c r="B9" s="97">
        <v>45622</v>
      </c>
      <c r="C9" s="98"/>
      <c r="D9" s="93"/>
      <c r="E9" s="94">
        <v>111570003</v>
      </c>
      <c r="F9" s="95" t="s">
        <v>78</v>
      </c>
      <c r="G9" s="99" t="s">
        <v>210</v>
      </c>
      <c r="H9" s="100" t="s">
        <v>42</v>
      </c>
      <c r="I9" s="101" t="s">
        <v>74</v>
      </c>
      <c r="J9" s="101" t="s">
        <v>75</v>
      </c>
      <c r="K9" s="97">
        <v>45622</v>
      </c>
      <c r="L9" s="98" t="s">
        <v>207</v>
      </c>
      <c r="M9" s="96" t="s">
        <v>209</v>
      </c>
      <c r="N9" s="209" t="s">
        <v>255</v>
      </c>
      <c r="O9" s="102">
        <v>29</v>
      </c>
      <c r="P9" s="98"/>
      <c r="Q9" s="98" t="s">
        <v>74</v>
      </c>
      <c r="R9" s="103"/>
      <c r="S9" s="103"/>
      <c r="T9" s="210" t="s">
        <v>221</v>
      </c>
      <c r="U9" s="136"/>
    </row>
    <row r="10" spans="1:21" s="38" customFormat="1" ht="23.25" customHeight="1">
      <c r="A10" s="92">
        <v>5</v>
      </c>
      <c r="B10" s="97">
        <v>45622</v>
      </c>
      <c r="C10" s="98"/>
      <c r="D10" s="93"/>
      <c r="E10" s="94">
        <v>111570003</v>
      </c>
      <c r="F10" s="95" t="s">
        <v>78</v>
      </c>
      <c r="G10" s="99" t="s">
        <v>211</v>
      </c>
      <c r="H10" s="100" t="s">
        <v>42</v>
      </c>
      <c r="I10" s="101" t="s">
        <v>74</v>
      </c>
      <c r="J10" s="101" t="s">
        <v>75</v>
      </c>
      <c r="K10" s="97">
        <v>45622</v>
      </c>
      <c r="L10" s="98" t="s">
        <v>207</v>
      </c>
      <c r="M10" s="96" t="s">
        <v>209</v>
      </c>
      <c r="N10" s="209" t="s">
        <v>255</v>
      </c>
      <c r="O10" s="102">
        <v>29</v>
      </c>
      <c r="P10" s="98"/>
      <c r="Q10" s="98" t="s">
        <v>74</v>
      </c>
      <c r="R10" s="103"/>
      <c r="S10" s="103"/>
      <c r="T10" s="210" t="s">
        <v>221</v>
      </c>
      <c r="U10" s="136"/>
    </row>
    <row r="11" spans="1:21" s="38" customFormat="1" ht="23.25" customHeight="1">
      <c r="A11" s="92">
        <v>6</v>
      </c>
      <c r="B11" s="97">
        <v>45623</v>
      </c>
      <c r="C11" s="98"/>
      <c r="D11" s="93"/>
      <c r="E11" s="94">
        <v>111570003</v>
      </c>
      <c r="F11" s="95" t="s">
        <v>78</v>
      </c>
      <c r="G11" s="99" t="s">
        <v>213</v>
      </c>
      <c r="H11" s="100" t="s">
        <v>42</v>
      </c>
      <c r="I11" s="101" t="s">
        <v>74</v>
      </c>
      <c r="J11" s="101" t="s">
        <v>75</v>
      </c>
      <c r="K11" s="97">
        <v>45623</v>
      </c>
      <c r="L11" s="98" t="s">
        <v>218</v>
      </c>
      <c r="M11" s="96" t="s">
        <v>219</v>
      </c>
      <c r="N11" s="209" t="s">
        <v>220</v>
      </c>
      <c r="O11" s="102">
        <v>29</v>
      </c>
      <c r="P11" s="98"/>
      <c r="Q11" s="98" t="s">
        <v>74</v>
      </c>
      <c r="R11" s="103"/>
      <c r="S11" s="103"/>
      <c r="T11" s="210" t="s">
        <v>221</v>
      </c>
      <c r="U11" s="136" t="s">
        <v>228</v>
      </c>
    </row>
    <row r="12" spans="1:21" s="38" customFormat="1" ht="23.25" customHeight="1">
      <c r="A12" s="92">
        <v>7</v>
      </c>
      <c r="B12" s="97">
        <v>45623</v>
      </c>
      <c r="C12" s="98"/>
      <c r="D12" s="93"/>
      <c r="E12" s="94">
        <v>111570003</v>
      </c>
      <c r="F12" s="95" t="s">
        <v>78</v>
      </c>
      <c r="G12" s="99" t="s">
        <v>214</v>
      </c>
      <c r="H12" s="100" t="s">
        <v>42</v>
      </c>
      <c r="I12" s="101" t="s">
        <v>74</v>
      </c>
      <c r="J12" s="101" t="s">
        <v>75</v>
      </c>
      <c r="K12" s="97">
        <v>45623</v>
      </c>
      <c r="L12" s="98" t="s">
        <v>218</v>
      </c>
      <c r="M12" s="96" t="s">
        <v>219</v>
      </c>
      <c r="N12" s="209" t="s">
        <v>220</v>
      </c>
      <c r="O12" s="102">
        <v>29</v>
      </c>
      <c r="P12" s="98"/>
      <c r="Q12" s="98" t="s">
        <v>74</v>
      </c>
      <c r="R12" s="103"/>
      <c r="S12" s="103"/>
      <c r="T12" s="210" t="s">
        <v>221</v>
      </c>
      <c r="U12" s="136" t="s">
        <v>228</v>
      </c>
    </row>
    <row r="13" spans="1:21" s="38" customFormat="1" ht="23.25" customHeight="1">
      <c r="A13" s="92">
        <v>8</v>
      </c>
      <c r="B13" s="97">
        <v>45623</v>
      </c>
      <c r="C13" s="98"/>
      <c r="D13" s="93"/>
      <c r="E13" s="94">
        <v>111570003</v>
      </c>
      <c r="F13" s="95" t="s">
        <v>78</v>
      </c>
      <c r="G13" s="99" t="s">
        <v>215</v>
      </c>
      <c r="H13" s="100" t="s">
        <v>42</v>
      </c>
      <c r="I13" s="101" t="s">
        <v>74</v>
      </c>
      <c r="J13" s="101" t="s">
        <v>75</v>
      </c>
      <c r="K13" s="97">
        <v>45623</v>
      </c>
      <c r="L13" s="98" t="s">
        <v>218</v>
      </c>
      <c r="M13" s="96" t="s">
        <v>219</v>
      </c>
      <c r="N13" s="209" t="s">
        <v>220</v>
      </c>
      <c r="O13" s="102">
        <v>29</v>
      </c>
      <c r="P13" s="98"/>
      <c r="Q13" s="98" t="s">
        <v>74</v>
      </c>
      <c r="R13" s="103"/>
      <c r="S13" s="103"/>
      <c r="T13" s="210" t="s">
        <v>221</v>
      </c>
      <c r="U13" s="136" t="s">
        <v>228</v>
      </c>
    </row>
    <row r="14" spans="1:21" s="38" customFormat="1" ht="23.25" customHeight="1">
      <c r="A14" s="92">
        <v>9</v>
      </c>
      <c r="B14" s="97">
        <v>45623</v>
      </c>
      <c r="C14" s="98"/>
      <c r="D14" s="93"/>
      <c r="E14" s="94">
        <v>111570002</v>
      </c>
      <c r="F14" s="95" t="s">
        <v>212</v>
      </c>
      <c r="G14" s="99" t="s">
        <v>216</v>
      </c>
      <c r="H14" s="100" t="s">
        <v>42</v>
      </c>
      <c r="I14" s="101" t="s">
        <v>74</v>
      </c>
      <c r="J14" s="101" t="s">
        <v>75</v>
      </c>
      <c r="K14" s="97">
        <v>45623</v>
      </c>
      <c r="L14" s="98" t="s">
        <v>218</v>
      </c>
      <c r="M14" s="96" t="s">
        <v>219</v>
      </c>
      <c r="N14" s="209" t="s">
        <v>220</v>
      </c>
      <c r="O14" s="102">
        <v>29</v>
      </c>
      <c r="P14" s="98"/>
      <c r="Q14" s="98" t="s">
        <v>74</v>
      </c>
      <c r="R14" s="103"/>
      <c r="S14" s="103"/>
      <c r="T14" s="210" t="s">
        <v>221</v>
      </c>
      <c r="U14" s="136" t="s">
        <v>228</v>
      </c>
    </row>
    <row r="15" spans="1:21" s="38" customFormat="1" ht="23.25" customHeight="1">
      <c r="A15" s="92">
        <v>10</v>
      </c>
      <c r="B15" s="97">
        <v>45623</v>
      </c>
      <c r="C15" s="98"/>
      <c r="D15" s="93"/>
      <c r="E15" s="94">
        <v>111570002</v>
      </c>
      <c r="F15" s="95" t="s">
        <v>212</v>
      </c>
      <c r="G15" s="99" t="s">
        <v>217</v>
      </c>
      <c r="H15" s="100" t="s">
        <v>42</v>
      </c>
      <c r="I15" s="101" t="s">
        <v>74</v>
      </c>
      <c r="J15" s="101" t="s">
        <v>75</v>
      </c>
      <c r="K15" s="97">
        <v>45623</v>
      </c>
      <c r="L15" s="98" t="s">
        <v>218</v>
      </c>
      <c r="M15" s="96" t="s">
        <v>219</v>
      </c>
      <c r="N15" s="209" t="s">
        <v>220</v>
      </c>
      <c r="O15" s="102">
        <v>29</v>
      </c>
      <c r="P15" s="98"/>
      <c r="Q15" s="98" t="s">
        <v>74</v>
      </c>
      <c r="R15" s="103"/>
      <c r="S15" s="103"/>
      <c r="T15" s="210" t="s">
        <v>221</v>
      </c>
      <c r="U15" s="136" t="s">
        <v>228</v>
      </c>
    </row>
    <row r="16" spans="1:21" s="38" customFormat="1" ht="23.25" customHeight="1">
      <c r="A16" s="92">
        <v>11</v>
      </c>
      <c r="B16" s="97">
        <v>45619</v>
      </c>
      <c r="C16" s="98"/>
      <c r="D16" s="93" t="s">
        <v>253</v>
      </c>
      <c r="E16" s="94">
        <v>111570003</v>
      </c>
      <c r="F16" s="95" t="s">
        <v>78</v>
      </c>
      <c r="G16" s="99" t="s">
        <v>222</v>
      </c>
      <c r="H16" s="100" t="s">
        <v>42</v>
      </c>
      <c r="I16" s="101" t="s">
        <v>74</v>
      </c>
      <c r="J16" s="101" t="s">
        <v>75</v>
      </c>
      <c r="K16" s="97">
        <v>45625</v>
      </c>
      <c r="L16" s="98" t="s">
        <v>223</v>
      </c>
      <c r="M16" s="96" t="s">
        <v>224</v>
      </c>
      <c r="N16" s="209" t="s">
        <v>225</v>
      </c>
      <c r="O16" s="102">
        <v>29</v>
      </c>
      <c r="P16" s="98"/>
      <c r="Q16" s="98" t="s">
        <v>74</v>
      </c>
      <c r="R16" s="103"/>
      <c r="S16" s="93" t="s">
        <v>253</v>
      </c>
      <c r="T16" s="210" t="s">
        <v>226</v>
      </c>
      <c r="U16" s="136" t="s">
        <v>227</v>
      </c>
    </row>
    <row r="17" spans="1:21" s="38" customFormat="1" ht="23.25" customHeight="1">
      <c r="A17" s="92">
        <v>12</v>
      </c>
      <c r="B17" s="97">
        <v>45625</v>
      </c>
      <c r="C17" s="98"/>
      <c r="D17" s="93"/>
      <c r="E17" s="94">
        <v>111570002</v>
      </c>
      <c r="F17" s="95" t="s">
        <v>212</v>
      </c>
      <c r="G17" s="99" t="s">
        <v>230</v>
      </c>
      <c r="H17" s="100" t="s">
        <v>42</v>
      </c>
      <c r="I17" s="101" t="s">
        <v>74</v>
      </c>
      <c r="J17" s="101" t="s">
        <v>75</v>
      </c>
      <c r="K17" s="97">
        <v>45625</v>
      </c>
      <c r="L17" s="98" t="s">
        <v>252</v>
      </c>
      <c r="M17" s="96" t="s">
        <v>231</v>
      </c>
      <c r="N17" s="209" t="s">
        <v>254</v>
      </c>
      <c r="O17" s="102">
        <v>29</v>
      </c>
      <c r="P17" s="98"/>
      <c r="Q17" s="98" t="s">
        <v>74</v>
      </c>
      <c r="R17" s="103"/>
      <c r="S17" s="103"/>
      <c r="T17" s="210" t="s">
        <v>257</v>
      </c>
      <c r="U17" s="136" t="s">
        <v>258</v>
      </c>
    </row>
    <row r="18" spans="1:21" s="38" customFormat="1" ht="23.25" customHeight="1">
      <c r="A18" s="92">
        <v>13</v>
      </c>
      <c r="B18" s="97">
        <v>45627</v>
      </c>
      <c r="C18" s="98"/>
      <c r="D18" s="93"/>
      <c r="E18" s="94">
        <v>111570002</v>
      </c>
      <c r="F18" s="95" t="s">
        <v>212</v>
      </c>
      <c r="G18" s="99" t="s">
        <v>232</v>
      </c>
      <c r="H18" s="100" t="s">
        <v>42</v>
      </c>
      <c r="I18" s="101" t="s">
        <v>74</v>
      </c>
      <c r="J18" s="101" t="s">
        <v>75</v>
      </c>
      <c r="K18" s="97">
        <v>45627</v>
      </c>
      <c r="L18" s="98" t="s">
        <v>111</v>
      </c>
      <c r="M18" s="96" t="s">
        <v>233</v>
      </c>
      <c r="N18" s="209" t="s">
        <v>234</v>
      </c>
      <c r="O18" s="102">
        <v>29</v>
      </c>
      <c r="P18" s="98"/>
      <c r="Q18" s="98" t="s">
        <v>74</v>
      </c>
      <c r="R18" s="103"/>
      <c r="S18" s="103"/>
      <c r="T18" s="210" t="s">
        <v>235</v>
      </c>
      <c r="U18" s="136" t="s">
        <v>256</v>
      </c>
    </row>
    <row r="19" spans="1:21" s="38" customFormat="1" ht="23.25" customHeight="1">
      <c r="A19" s="92">
        <v>14</v>
      </c>
      <c r="B19" s="97">
        <v>45629</v>
      </c>
      <c r="C19" s="98"/>
      <c r="D19" s="93"/>
      <c r="E19" s="94">
        <v>111570002</v>
      </c>
      <c r="F19" s="95" t="s">
        <v>212</v>
      </c>
      <c r="G19" s="99" t="s">
        <v>236</v>
      </c>
      <c r="H19" s="100" t="s">
        <v>42</v>
      </c>
      <c r="I19" s="101" t="s">
        <v>74</v>
      </c>
      <c r="J19" s="101" t="s">
        <v>75</v>
      </c>
      <c r="K19" s="97">
        <v>45629</v>
      </c>
      <c r="L19" s="98" t="s">
        <v>218</v>
      </c>
      <c r="M19" s="96" t="s">
        <v>219</v>
      </c>
      <c r="N19" s="209" t="s">
        <v>237</v>
      </c>
      <c r="O19" s="102">
        <v>29</v>
      </c>
      <c r="P19" s="98"/>
      <c r="Q19" s="98" t="s">
        <v>74</v>
      </c>
      <c r="R19" s="103"/>
      <c r="S19" s="103"/>
      <c r="T19" s="210" t="s">
        <v>221</v>
      </c>
      <c r="U19" s="136" t="s">
        <v>238</v>
      </c>
    </row>
    <row r="20" spans="1:21" s="38" customFormat="1" ht="23.25" customHeight="1">
      <c r="A20" s="92">
        <v>15</v>
      </c>
      <c r="B20" s="97">
        <v>45631</v>
      </c>
      <c r="C20" s="98"/>
      <c r="D20" s="93"/>
      <c r="E20" s="94">
        <v>111570003</v>
      </c>
      <c r="F20" s="95" t="s">
        <v>78</v>
      </c>
      <c r="G20" s="99" t="s">
        <v>239</v>
      </c>
      <c r="H20" s="100" t="s">
        <v>42</v>
      </c>
      <c r="I20" s="101" t="s">
        <v>74</v>
      </c>
      <c r="J20" s="101" t="s">
        <v>75</v>
      </c>
      <c r="K20" s="97">
        <v>45631</v>
      </c>
      <c r="L20" s="98" t="s">
        <v>111</v>
      </c>
      <c r="M20" s="96" t="s">
        <v>243</v>
      </c>
      <c r="N20" s="209" t="s">
        <v>200</v>
      </c>
      <c r="O20" s="102">
        <v>29</v>
      </c>
      <c r="P20" s="98"/>
      <c r="Q20" s="98" t="s">
        <v>74</v>
      </c>
      <c r="R20" s="103"/>
      <c r="S20" s="103"/>
      <c r="T20" s="210" t="s">
        <v>244</v>
      </c>
      <c r="U20" s="136" t="s">
        <v>256</v>
      </c>
    </row>
    <row r="21" spans="1:21" s="38" customFormat="1" ht="23.25" customHeight="1">
      <c r="A21" s="92">
        <v>16</v>
      </c>
      <c r="B21" s="97">
        <v>45631</v>
      </c>
      <c r="C21" s="98"/>
      <c r="D21" s="93"/>
      <c r="E21" s="94">
        <v>111570003</v>
      </c>
      <c r="F21" s="95" t="s">
        <v>78</v>
      </c>
      <c r="G21" s="99" t="s">
        <v>240</v>
      </c>
      <c r="H21" s="100" t="s">
        <v>42</v>
      </c>
      <c r="I21" s="101" t="s">
        <v>74</v>
      </c>
      <c r="J21" s="101" t="s">
        <v>75</v>
      </c>
      <c r="K21" s="97">
        <v>45631</v>
      </c>
      <c r="L21" s="98" t="s">
        <v>111</v>
      </c>
      <c r="M21" s="96" t="s">
        <v>243</v>
      </c>
      <c r="N21" s="209" t="s">
        <v>200</v>
      </c>
      <c r="O21" s="102">
        <v>29</v>
      </c>
      <c r="P21" s="98"/>
      <c r="Q21" s="98" t="s">
        <v>74</v>
      </c>
      <c r="R21" s="103"/>
      <c r="S21" s="103"/>
      <c r="T21" s="210" t="s">
        <v>244</v>
      </c>
      <c r="U21" s="136" t="s">
        <v>256</v>
      </c>
    </row>
    <row r="22" spans="1:21" s="38" customFormat="1" ht="23.25" customHeight="1">
      <c r="A22" s="92">
        <v>17</v>
      </c>
      <c r="B22" s="97">
        <v>45631</v>
      </c>
      <c r="C22" s="98"/>
      <c r="D22" s="93"/>
      <c r="E22" s="94">
        <v>111570002</v>
      </c>
      <c r="F22" s="95" t="s">
        <v>212</v>
      </c>
      <c r="G22" s="99" t="s">
        <v>241</v>
      </c>
      <c r="H22" s="100" t="s">
        <v>42</v>
      </c>
      <c r="I22" s="101" t="s">
        <v>74</v>
      </c>
      <c r="J22" s="101" t="s">
        <v>75</v>
      </c>
      <c r="K22" s="97">
        <v>45631</v>
      </c>
      <c r="L22" s="98" t="s">
        <v>111</v>
      </c>
      <c r="M22" s="96" t="s">
        <v>243</v>
      </c>
      <c r="N22" s="209" t="s">
        <v>200</v>
      </c>
      <c r="O22" s="102">
        <v>29</v>
      </c>
      <c r="P22" s="98"/>
      <c r="Q22" s="98" t="s">
        <v>74</v>
      </c>
      <c r="R22" s="103"/>
      <c r="S22" s="103"/>
      <c r="T22" s="210" t="s">
        <v>244</v>
      </c>
      <c r="U22" s="136" t="s">
        <v>256</v>
      </c>
    </row>
    <row r="23" spans="1:21" s="38" customFormat="1" ht="23.25" customHeight="1">
      <c r="A23" s="92">
        <v>18</v>
      </c>
      <c r="B23" s="97">
        <v>45631</v>
      </c>
      <c r="C23" s="98"/>
      <c r="D23" s="93"/>
      <c r="E23" s="94">
        <v>111570002</v>
      </c>
      <c r="F23" s="95" t="s">
        <v>212</v>
      </c>
      <c r="G23" s="99" t="s">
        <v>242</v>
      </c>
      <c r="H23" s="100" t="s">
        <v>42</v>
      </c>
      <c r="I23" s="101" t="s">
        <v>74</v>
      </c>
      <c r="J23" s="101" t="s">
        <v>75</v>
      </c>
      <c r="K23" s="97">
        <v>45631</v>
      </c>
      <c r="L23" s="98" t="s">
        <v>111</v>
      </c>
      <c r="M23" s="96" t="s">
        <v>243</v>
      </c>
      <c r="N23" s="209" t="s">
        <v>200</v>
      </c>
      <c r="O23" s="102">
        <v>29</v>
      </c>
      <c r="P23" s="98"/>
      <c r="Q23" s="98" t="s">
        <v>74</v>
      </c>
      <c r="R23" s="103"/>
      <c r="S23" s="103"/>
      <c r="T23" s="210" t="s">
        <v>244</v>
      </c>
      <c r="U23" s="136" t="s">
        <v>256</v>
      </c>
    </row>
    <row r="24" spans="1:21" ht="18">
      <c r="A24" s="92">
        <v>18</v>
      </c>
      <c r="B24" s="97">
        <v>45632</v>
      </c>
      <c r="C24" s="98"/>
      <c r="D24" s="103" t="s">
        <v>251</v>
      </c>
      <c r="E24" s="94">
        <v>111570002</v>
      </c>
      <c r="F24" s="95" t="s">
        <v>212</v>
      </c>
      <c r="G24" s="99" t="s">
        <v>245</v>
      </c>
      <c r="H24" s="100" t="s">
        <v>42</v>
      </c>
      <c r="I24" s="101" t="s">
        <v>74</v>
      </c>
      <c r="J24" s="101" t="s">
        <v>75</v>
      </c>
      <c r="K24" s="97">
        <v>45632</v>
      </c>
      <c r="L24" s="98" t="s">
        <v>246</v>
      </c>
      <c r="M24" s="96" t="s">
        <v>247</v>
      </c>
      <c r="N24" s="209" t="s">
        <v>248</v>
      </c>
      <c r="O24" s="102">
        <v>29</v>
      </c>
      <c r="P24" s="98"/>
      <c r="Q24" s="98" t="s">
        <v>74</v>
      </c>
      <c r="R24" s="103"/>
      <c r="S24" s="103" t="s">
        <v>251</v>
      </c>
      <c r="T24" s="210" t="s">
        <v>249</v>
      </c>
      <c r="U24" s="136" t="s">
        <v>250</v>
      </c>
    </row>
  </sheetData>
  <phoneticPr fontId="38" type="noConversion"/>
  <hyperlinks>
    <hyperlink ref="U6" r:id="rId1" xr:uid="{97C04628-8874-D746-82B2-E8D2D07369A9}"/>
    <hyperlink ref="U19" r:id="rId2" xr:uid="{12D92373-5E83-E840-A1AD-D3AA1AFECC05}"/>
    <hyperlink ref="U16" r:id="rId3" xr:uid="{C8CBDCC8-E473-3B4F-ACAF-EC6A610C4749}"/>
    <hyperlink ref="U15" r:id="rId4" xr:uid="{78E974D3-6CC8-CD4F-B001-39ED5778CC25}"/>
    <hyperlink ref="U11:U14" r:id="rId5" display="jhon.cruz@kywi.com.ec" xr:uid="{D0B828D4-72E0-EC49-902B-ED2B46BC1865}"/>
    <hyperlink ref="U20" r:id="rId6" xr:uid="{6D9EBD33-7BBD-FA42-B692-65F58F593031}"/>
    <hyperlink ref="U24" r:id="rId7" xr:uid="{6EB9E1E9-5D74-9C4E-99C9-6A2AFCB7FFDB}"/>
    <hyperlink ref="U21:U23" r:id="rId8" display="ismaelpalacios245@gmail.com" xr:uid="{2FC198EA-5CDE-7042-AB4F-49999B3A1382}"/>
    <hyperlink ref="U18" r:id="rId9" xr:uid="{FE4F3953-47A0-374C-B95B-4265A34F6819}"/>
    <hyperlink ref="U17" r:id="rId10" xr:uid="{27135BC4-A2F2-7C47-B5FC-9EBD27897B6B}"/>
  </hyperlink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1" sqref="F11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4" t="s">
        <v>51</v>
      </c>
      <c r="D4" s="105"/>
      <c r="E4" s="105"/>
      <c r="F4" s="5"/>
      <c r="G4" s="105"/>
      <c r="H4" s="105"/>
      <c r="I4" s="105"/>
      <c r="J4" s="105"/>
      <c r="K4" s="105"/>
      <c r="L4" s="105"/>
      <c r="M4" s="105"/>
      <c r="N4" s="105"/>
      <c r="O4" s="105"/>
      <c r="P4" s="5"/>
    </row>
    <row r="5" spans="1:22" ht="16" thickBot="1">
      <c r="A5" s="5"/>
      <c r="B5" s="105"/>
      <c r="C5" s="106" t="s">
        <v>1</v>
      </c>
      <c r="D5" s="106"/>
      <c r="E5" s="106"/>
      <c r="F5" s="5"/>
      <c r="J5" t="s">
        <v>62</v>
      </c>
      <c r="K5" s="5"/>
      <c r="L5" s="113" t="s">
        <v>89</v>
      </c>
      <c r="P5" s="5"/>
    </row>
    <row r="6" spans="1:22" s="23" customFormat="1" ht="58.5" customHeight="1">
      <c r="A6" s="107"/>
      <c r="B6" s="108" t="s">
        <v>52</v>
      </c>
      <c r="C6" s="109" t="s">
        <v>53</v>
      </c>
      <c r="D6" s="109" t="s">
        <v>4</v>
      </c>
      <c r="E6" s="110" t="s">
        <v>54</v>
      </c>
      <c r="F6" s="109" t="s">
        <v>55</v>
      </c>
      <c r="G6" s="109" t="s">
        <v>56</v>
      </c>
      <c r="H6" s="108" t="s">
        <v>8</v>
      </c>
      <c r="I6" s="109" t="s">
        <v>57</v>
      </c>
      <c r="J6" s="109" t="s">
        <v>58</v>
      </c>
      <c r="K6" s="109" t="s">
        <v>59</v>
      </c>
      <c r="L6" s="109" t="s">
        <v>12</v>
      </c>
      <c r="M6" s="111" t="s">
        <v>60</v>
      </c>
      <c r="N6" s="109" t="s">
        <v>14</v>
      </c>
      <c r="O6" s="112" t="s">
        <v>15</v>
      </c>
      <c r="P6" s="109" t="s">
        <v>61</v>
      </c>
      <c r="Q6" s="111"/>
      <c r="R6" s="111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76</v>
      </c>
      <c r="J7" s="29" t="s">
        <v>77</v>
      </c>
      <c r="K7" s="31"/>
      <c r="L7" s="32"/>
      <c r="M7" s="32"/>
      <c r="N7" s="168"/>
      <c r="O7" s="33"/>
      <c r="P7" s="26" t="s">
        <v>82</v>
      </c>
      <c r="Q7" s="26"/>
      <c r="R7" s="169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76</v>
      </c>
      <c r="J8" s="29" t="s">
        <v>77</v>
      </c>
      <c r="K8" s="31"/>
      <c r="L8" s="32"/>
      <c r="M8" s="32"/>
      <c r="N8" s="168"/>
      <c r="O8" s="33"/>
      <c r="P8" s="26" t="s">
        <v>82</v>
      </c>
      <c r="Q8" s="26"/>
      <c r="R8" s="169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4"/>
      <c r="B1" s="115" t="s">
        <v>63</v>
      </c>
      <c r="C1" s="116"/>
      <c r="D1" s="115"/>
      <c r="E1" s="117"/>
      <c r="F1" s="117"/>
      <c r="G1" s="118"/>
      <c r="H1" s="118"/>
      <c r="I1" s="118"/>
      <c r="J1" s="118"/>
      <c r="K1" s="118"/>
      <c r="L1" s="118"/>
      <c r="M1" s="119"/>
      <c r="N1" s="118"/>
      <c r="O1" s="118"/>
      <c r="P1" s="118"/>
    </row>
    <row r="2" spans="1:21">
      <c r="A2" s="114"/>
      <c r="B2" s="120" t="s">
        <v>83</v>
      </c>
      <c r="C2" s="121"/>
      <c r="D2" s="117"/>
      <c r="E2" s="117"/>
      <c r="F2" s="117"/>
      <c r="G2" s="118"/>
      <c r="H2" s="118"/>
      <c r="I2" s="118"/>
      <c r="J2" s="118"/>
      <c r="K2" s="118"/>
      <c r="L2" s="118"/>
      <c r="M2" s="119"/>
      <c r="N2" s="118"/>
      <c r="O2" s="118"/>
      <c r="P2" s="118"/>
    </row>
    <row r="3" spans="1:21">
      <c r="A3" s="114"/>
      <c r="B3" s="122"/>
      <c r="C3" s="123"/>
      <c r="D3" s="122"/>
      <c r="E3" s="122"/>
      <c r="F3" s="122"/>
      <c r="G3" s="122"/>
      <c r="H3" s="122"/>
      <c r="I3" s="124"/>
      <c r="J3" s="122"/>
      <c r="K3" s="117"/>
      <c r="L3" s="117"/>
      <c r="M3" s="125"/>
      <c r="N3" s="118"/>
      <c r="O3" s="118"/>
      <c r="P3" s="122"/>
    </row>
    <row r="4" spans="1:21">
      <c r="A4" s="114"/>
      <c r="B4" s="118"/>
      <c r="C4" s="123" t="s">
        <v>0</v>
      </c>
      <c r="D4" s="118"/>
      <c r="E4" s="126"/>
      <c r="F4" s="118"/>
      <c r="G4" s="127"/>
      <c r="H4" s="118"/>
      <c r="I4" s="118"/>
      <c r="J4" s="118"/>
      <c r="K4" s="117"/>
      <c r="L4" s="121"/>
      <c r="M4" s="119"/>
      <c r="N4" s="118"/>
      <c r="O4" s="118"/>
      <c r="P4" s="118"/>
    </row>
    <row r="5" spans="1:21">
      <c r="A5" s="114"/>
      <c r="B5" s="118"/>
      <c r="C5" s="128" t="s">
        <v>1</v>
      </c>
      <c r="D5" s="128" t="s">
        <v>1</v>
      </c>
      <c r="E5" s="118"/>
      <c r="G5" s="118"/>
      <c r="H5" s="118"/>
      <c r="I5" s="118"/>
      <c r="J5" s="118" t="s">
        <v>73</v>
      </c>
      <c r="K5" s="118"/>
      <c r="L5" s="118"/>
      <c r="M5" s="118" t="s">
        <v>90</v>
      </c>
    </row>
    <row r="6" spans="1:21" ht="37">
      <c r="A6" s="114"/>
      <c r="B6" s="129" t="s">
        <v>2</v>
      </c>
      <c r="C6" s="129" t="s">
        <v>3</v>
      </c>
      <c r="D6" s="129" t="s">
        <v>4</v>
      </c>
      <c r="E6" s="129" t="s">
        <v>5</v>
      </c>
      <c r="F6" s="130" t="s">
        <v>6</v>
      </c>
      <c r="G6" s="129" t="s">
        <v>7</v>
      </c>
      <c r="H6" s="129" t="s">
        <v>8</v>
      </c>
      <c r="I6" s="129" t="s">
        <v>9</v>
      </c>
      <c r="J6" s="129" t="s">
        <v>10</v>
      </c>
      <c r="K6" s="129" t="s">
        <v>11</v>
      </c>
      <c r="L6" s="129" t="s">
        <v>65</v>
      </c>
      <c r="M6" s="131" t="s">
        <v>66</v>
      </c>
      <c r="N6" s="129" t="s">
        <v>67</v>
      </c>
      <c r="O6" s="129" t="s">
        <v>64</v>
      </c>
      <c r="P6" s="129" t="s">
        <v>68</v>
      </c>
      <c r="Q6" s="129" t="s">
        <v>69</v>
      </c>
      <c r="R6" s="129" t="s">
        <v>70</v>
      </c>
      <c r="S6" s="129" t="s">
        <v>71</v>
      </c>
      <c r="T6" s="131" t="s">
        <v>72</v>
      </c>
      <c r="U6" s="129" t="s">
        <v>13</v>
      </c>
    </row>
    <row r="7" spans="1:21" s="39" customFormat="1" ht="24" customHeight="1">
      <c r="A7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7"/>
      <c r="O7" s="186"/>
      <c r="P7" s="186"/>
      <c r="Q7" s="186"/>
      <c r="R7" s="186"/>
      <c r="S7" s="186"/>
      <c r="T7" s="186"/>
      <c r="U7" s="186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topLeftCell="J1" zoomScale="183" zoomScaleNormal="183" workbookViewId="0">
      <selection activeCell="P21" sqref="P21"/>
    </sheetView>
  </sheetViews>
  <sheetFormatPr baseColWidth="10" defaultRowHeight="15"/>
  <cols>
    <col min="8" max="8" width="13.83203125" bestFit="1" customWidth="1"/>
  </cols>
  <sheetData>
    <row r="1" spans="1:21" ht="16">
      <c r="G1" s="164"/>
    </row>
    <row r="2" spans="1:21">
      <c r="B2" s="138"/>
      <c r="C2" s="139" t="s">
        <v>0</v>
      </c>
      <c r="F2" s="140"/>
      <c r="G2" s="141"/>
      <c r="H2" s="142"/>
      <c r="I2" s="143"/>
      <c r="J2" s="144"/>
      <c r="K2" s="145"/>
      <c r="L2" s="146"/>
      <c r="M2" s="146"/>
      <c r="N2" s="138"/>
      <c r="O2" s="147"/>
      <c r="T2" s="148"/>
    </row>
    <row r="3" spans="1:21">
      <c r="B3" s="138"/>
      <c r="C3" s="149" t="s">
        <v>1</v>
      </c>
      <c r="F3" s="150"/>
      <c r="G3" s="141"/>
      <c r="H3" s="142"/>
      <c r="I3" s="143"/>
      <c r="J3" s="144" t="s">
        <v>80</v>
      </c>
      <c r="K3" s="145"/>
      <c r="L3" s="146"/>
      <c r="M3" s="151"/>
      <c r="N3" s="152" t="s">
        <v>95</v>
      </c>
      <c r="O3" s="147"/>
      <c r="P3" s="153"/>
      <c r="T3" s="148"/>
    </row>
    <row r="4" spans="1:21" ht="20">
      <c r="B4" s="154" t="s">
        <v>11</v>
      </c>
      <c r="C4" s="154" t="s">
        <v>2</v>
      </c>
      <c r="D4" s="154" t="s">
        <v>3</v>
      </c>
      <c r="E4" s="154" t="s">
        <v>4</v>
      </c>
      <c r="F4" s="154" t="s">
        <v>5</v>
      </c>
      <c r="G4" s="154" t="s">
        <v>6</v>
      </c>
      <c r="H4" s="154" t="s">
        <v>7</v>
      </c>
      <c r="I4" s="154" t="s">
        <v>8</v>
      </c>
      <c r="J4" s="154" t="s">
        <v>9</v>
      </c>
      <c r="K4" s="154" t="s">
        <v>10</v>
      </c>
      <c r="L4" s="155" t="s">
        <v>12</v>
      </c>
      <c r="M4" s="155" t="s">
        <v>13</v>
      </c>
      <c r="N4" s="154" t="s">
        <v>14</v>
      </c>
      <c r="O4" s="156" t="s">
        <v>15</v>
      </c>
      <c r="P4" s="154" t="s">
        <v>16</v>
      </c>
      <c r="Q4" s="154" t="s">
        <v>17</v>
      </c>
      <c r="R4" s="157" t="s">
        <v>18</v>
      </c>
      <c r="S4" s="154" t="s">
        <v>19</v>
      </c>
      <c r="T4" s="154" t="s">
        <v>20</v>
      </c>
      <c r="U4" s="158" t="s">
        <v>21</v>
      </c>
    </row>
    <row r="5" spans="1:21">
      <c r="A5">
        <v>1</v>
      </c>
      <c r="B5" s="159"/>
      <c r="C5" s="159"/>
      <c r="D5" s="159"/>
      <c r="E5" s="159"/>
      <c r="F5" s="160"/>
      <c r="G5" s="159"/>
      <c r="H5" s="159"/>
      <c r="I5" s="160" t="s">
        <v>42</v>
      </c>
      <c r="J5" s="159" t="s">
        <v>76</v>
      </c>
      <c r="K5" s="159" t="s">
        <v>77</v>
      </c>
      <c r="L5" s="159"/>
      <c r="M5" s="159"/>
      <c r="N5" s="161"/>
      <c r="O5" s="162">
        <v>29</v>
      </c>
      <c r="P5" s="159" t="s">
        <v>81</v>
      </c>
      <c r="Q5" s="159" t="s">
        <v>76</v>
      </c>
      <c r="R5" s="159"/>
      <c r="S5" s="159"/>
      <c r="T5" s="163"/>
      <c r="U5" s="196"/>
    </row>
    <row r="6" spans="1:21">
      <c r="B6" s="159"/>
      <c r="C6" s="159"/>
      <c r="D6" s="159"/>
      <c r="E6" s="159"/>
      <c r="F6" s="160"/>
      <c r="G6" s="159"/>
      <c r="H6" s="159"/>
      <c r="I6" s="160"/>
      <c r="J6" s="159"/>
      <c r="K6" s="159"/>
      <c r="L6" s="159"/>
      <c r="M6" s="159"/>
      <c r="N6" s="161"/>
      <c r="O6" s="162"/>
      <c r="P6" s="159"/>
      <c r="Q6" s="159"/>
      <c r="R6" s="159"/>
      <c r="S6" s="159"/>
      <c r="T6" s="163"/>
      <c r="U6" s="196"/>
    </row>
    <row r="7" spans="1:21">
      <c r="B7" s="159"/>
      <c r="C7" s="159"/>
      <c r="D7" s="159"/>
      <c r="E7" s="159"/>
      <c r="F7" s="160"/>
      <c r="G7" s="159"/>
      <c r="H7" s="159"/>
      <c r="I7" s="160"/>
      <c r="J7" s="159"/>
      <c r="K7" s="159"/>
      <c r="L7" s="159"/>
      <c r="M7" s="159"/>
      <c r="N7" s="161"/>
      <c r="O7" s="162"/>
      <c r="P7" s="159"/>
      <c r="Q7" s="159"/>
      <c r="R7" s="159"/>
      <c r="S7" s="159"/>
      <c r="T7" s="163"/>
      <c r="U7" s="196"/>
    </row>
    <row r="8" spans="1:21">
      <c r="B8" s="159"/>
      <c r="C8" s="159"/>
      <c r="D8" s="159"/>
      <c r="E8" s="159"/>
      <c r="F8" s="160"/>
      <c r="G8" s="159"/>
      <c r="H8" s="159"/>
      <c r="I8" s="160"/>
      <c r="J8" s="159"/>
      <c r="K8" s="159"/>
      <c r="L8" s="159"/>
      <c r="M8" s="159"/>
      <c r="N8" s="161"/>
      <c r="O8" s="162"/>
      <c r="P8" s="159"/>
      <c r="Q8" s="159"/>
      <c r="R8" s="159"/>
      <c r="S8" s="159"/>
      <c r="T8" s="163"/>
      <c r="U8" s="196"/>
    </row>
    <row r="9" spans="1:21">
      <c r="B9" s="159"/>
      <c r="C9" s="159"/>
      <c r="D9" s="159"/>
      <c r="E9" s="159"/>
      <c r="F9" s="160"/>
      <c r="G9" s="159"/>
      <c r="H9" s="159"/>
      <c r="I9" s="160"/>
      <c r="J9" s="159"/>
      <c r="K9" s="159"/>
      <c r="L9" s="159"/>
      <c r="M9" s="159"/>
      <c r="N9" s="161"/>
      <c r="O9" s="162"/>
      <c r="P9" s="159"/>
      <c r="Q9" s="159"/>
      <c r="R9" s="159"/>
      <c r="S9" s="159"/>
      <c r="T9" s="163"/>
      <c r="U9" s="196"/>
    </row>
    <row r="10" spans="1:21">
      <c r="B10" s="159"/>
      <c r="C10" s="159"/>
      <c r="D10" s="159"/>
      <c r="E10" s="159"/>
      <c r="F10" s="160"/>
      <c r="G10" s="159"/>
      <c r="H10" s="159"/>
      <c r="I10" s="160"/>
      <c r="J10" s="159"/>
      <c r="K10" s="159"/>
      <c r="L10" s="159"/>
      <c r="M10" s="159"/>
      <c r="N10" s="161"/>
      <c r="O10" s="162"/>
      <c r="P10" s="159"/>
      <c r="Q10" s="159"/>
      <c r="R10" s="159"/>
      <c r="S10" s="159"/>
      <c r="T10" s="163"/>
      <c r="U10" s="196"/>
    </row>
    <row r="11" spans="1:21">
      <c r="B11" s="159"/>
      <c r="C11" s="159"/>
      <c r="D11" s="159"/>
      <c r="E11" s="159"/>
      <c r="F11" s="160"/>
      <c r="G11" s="159"/>
      <c r="H11" s="159"/>
      <c r="I11" s="160"/>
      <c r="J11" s="159"/>
      <c r="K11" s="159"/>
      <c r="L11" s="159"/>
      <c r="M11" s="159"/>
      <c r="N11" s="161"/>
      <c r="O11" s="162"/>
      <c r="P11" s="159"/>
      <c r="Q11" s="159"/>
      <c r="R11" s="159"/>
      <c r="S11" s="159"/>
      <c r="T11" s="163"/>
      <c r="U11" s="196"/>
    </row>
    <row r="12" spans="1:21">
      <c r="B12" s="159"/>
      <c r="C12" s="159"/>
      <c r="D12" s="159"/>
      <c r="E12" s="159"/>
      <c r="F12" s="160"/>
      <c r="G12" s="159"/>
      <c r="H12" s="159"/>
      <c r="I12" s="160"/>
      <c r="J12" s="159"/>
      <c r="K12" s="159"/>
      <c r="L12" s="159"/>
      <c r="M12" s="159"/>
      <c r="N12" s="161"/>
      <c r="O12" s="162"/>
      <c r="P12" s="159"/>
      <c r="Q12" s="159"/>
      <c r="R12" s="159"/>
      <c r="S12" s="159"/>
      <c r="T12" s="163"/>
      <c r="U12" s="196"/>
    </row>
    <row r="13" spans="1:21">
      <c r="B13" s="159"/>
      <c r="C13" s="159"/>
      <c r="D13" s="159"/>
      <c r="E13" s="159"/>
      <c r="F13" s="160"/>
      <c r="G13" s="159"/>
      <c r="H13" s="159"/>
      <c r="I13" s="160"/>
      <c r="J13" s="159"/>
      <c r="K13" s="159"/>
      <c r="L13" s="159"/>
      <c r="M13" s="159"/>
      <c r="N13" s="161"/>
      <c r="O13" s="162"/>
      <c r="P13" s="159"/>
      <c r="Q13" s="159"/>
      <c r="R13" s="159"/>
      <c r="S13" s="159"/>
      <c r="T13" s="163"/>
      <c r="U13" s="196"/>
    </row>
    <row r="14" spans="1:21">
      <c r="B14" s="159"/>
      <c r="C14" s="159"/>
      <c r="D14" s="159"/>
      <c r="E14" s="159"/>
      <c r="F14" s="160"/>
      <c r="G14" s="159"/>
      <c r="H14" s="159"/>
      <c r="I14" s="160"/>
      <c r="J14" s="159"/>
      <c r="K14" s="159"/>
      <c r="L14" s="159"/>
      <c r="M14" s="159"/>
      <c r="N14" s="161"/>
      <c r="O14" s="162"/>
      <c r="P14" s="159"/>
      <c r="Q14" s="159"/>
      <c r="R14" s="159"/>
      <c r="S14" s="159"/>
      <c r="T14" s="163"/>
      <c r="U14" s="196"/>
    </row>
    <row r="15" spans="1:21">
      <c r="B15" s="159"/>
      <c r="C15" s="159"/>
      <c r="D15" s="159"/>
      <c r="E15" s="159"/>
      <c r="F15" s="160"/>
      <c r="G15" s="159"/>
      <c r="H15" s="159"/>
      <c r="I15" s="160"/>
      <c r="J15" s="159"/>
      <c r="K15" s="159"/>
      <c r="L15" s="159"/>
      <c r="M15" s="159"/>
      <c r="N15" s="161"/>
      <c r="O15" s="162"/>
      <c r="P15" s="159"/>
      <c r="Q15" s="159"/>
      <c r="R15" s="159"/>
      <c r="S15" s="159"/>
      <c r="T15" s="163"/>
      <c r="U15" s="196"/>
    </row>
    <row r="16" spans="1:21">
      <c r="B16" s="159"/>
      <c r="C16" s="159"/>
      <c r="D16" s="159"/>
      <c r="E16" s="159"/>
      <c r="F16" s="160"/>
      <c r="G16" s="159"/>
      <c r="H16" s="159"/>
      <c r="I16" s="160"/>
      <c r="J16" s="159"/>
      <c r="K16" s="159"/>
      <c r="L16" s="159"/>
      <c r="M16" s="159"/>
      <c r="N16" s="161"/>
      <c r="O16" s="162"/>
      <c r="P16" s="159"/>
      <c r="Q16" s="159"/>
      <c r="R16" s="159"/>
      <c r="S16" s="159"/>
      <c r="T16" s="163"/>
      <c r="U16" s="196"/>
    </row>
    <row r="17" spans="2:21">
      <c r="B17" s="159"/>
      <c r="C17" s="159"/>
      <c r="D17" s="159"/>
      <c r="E17" s="159"/>
      <c r="F17" s="160"/>
      <c r="G17" s="159"/>
      <c r="H17" s="159"/>
      <c r="I17" s="160"/>
      <c r="J17" s="159"/>
      <c r="K17" s="159"/>
      <c r="L17" s="159"/>
      <c r="M17" s="159"/>
      <c r="N17" s="161"/>
      <c r="O17" s="162"/>
      <c r="P17" s="159"/>
      <c r="Q17" s="159"/>
      <c r="R17" s="159"/>
      <c r="S17" s="159"/>
      <c r="T17" s="163"/>
      <c r="U17" s="196"/>
    </row>
    <row r="18" spans="2:21">
      <c r="B18" s="159"/>
      <c r="C18" s="159"/>
      <c r="D18" s="159"/>
      <c r="E18" s="159"/>
      <c r="F18" s="160"/>
      <c r="G18" s="159"/>
      <c r="H18" s="159"/>
      <c r="I18" s="160"/>
      <c r="J18" s="159"/>
      <c r="K18" s="159"/>
      <c r="L18" s="159"/>
      <c r="M18" s="159"/>
      <c r="N18" s="161"/>
      <c r="O18" s="162"/>
      <c r="P18" s="159"/>
      <c r="Q18" s="159"/>
      <c r="R18" s="159"/>
      <c r="S18" s="159"/>
      <c r="T18" s="163"/>
      <c r="U18" s="196"/>
    </row>
    <row r="19" spans="2:21">
      <c r="B19" s="159"/>
      <c r="C19" s="159"/>
      <c r="D19" s="159"/>
      <c r="E19" s="159"/>
      <c r="F19" s="160"/>
      <c r="G19" s="159"/>
      <c r="H19" s="159"/>
      <c r="I19" s="160"/>
      <c r="J19" s="159"/>
      <c r="K19" s="159"/>
      <c r="L19" s="159"/>
      <c r="M19" s="159"/>
      <c r="N19" s="161"/>
      <c r="O19" s="162"/>
      <c r="P19" s="159"/>
      <c r="Q19" s="159"/>
      <c r="R19" s="159"/>
      <c r="S19" s="159"/>
      <c r="T19" s="163"/>
      <c r="U19" s="196"/>
    </row>
    <row r="20" spans="2:21">
      <c r="B20" s="159"/>
      <c r="C20" s="159"/>
      <c r="D20" s="159"/>
      <c r="E20" s="159"/>
      <c r="F20" s="160"/>
      <c r="G20" s="159"/>
      <c r="H20" s="159"/>
      <c r="I20" s="160"/>
      <c r="J20" s="159"/>
      <c r="K20" s="159"/>
      <c r="L20" s="159"/>
      <c r="M20" s="159"/>
      <c r="N20" s="161"/>
      <c r="O20" s="162"/>
      <c r="P20" s="159"/>
      <c r="Q20" s="159"/>
      <c r="R20" s="159"/>
      <c r="S20" s="159"/>
      <c r="T20" s="163"/>
      <c r="U20" s="196"/>
    </row>
    <row r="21" spans="2:21">
      <c r="O21" s="13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2024-12-11T23:11:21Z</dcterms:modified>
</cp:coreProperties>
</file>