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/>
  <mc:AlternateContent xmlns:mc="http://schemas.openxmlformats.org/markup-compatibility/2006">
    <mc:Choice Requires="x15">
      <x15ac:absPath xmlns:x15ac="http://schemas.microsoft.com/office/spreadsheetml/2010/11/ac" url="/Users/olivercapelo/Desktop/REPORTES 2025/"/>
    </mc:Choice>
  </mc:AlternateContent>
  <xr:revisionPtr revIDLastSave="0" documentId="13_ncr:1_{E9B1A89C-A080-9B43-BB06-37D0DEFBE37A}" xr6:coauthVersionLast="47" xr6:coauthVersionMax="47" xr10:uidLastSave="{00000000-0000-0000-0000-000000000000}"/>
  <bookViews>
    <workbookView xWindow="0" yWindow="500" windowWidth="44800" windowHeight="23000" xr2:uid="{00000000-000D-0000-FFFF-FFFF00000000}"/>
  </bookViews>
  <sheets>
    <sheet name="PROMOCION" sheetId="1" r:id="rId1"/>
    <sheet name="GARANTIA" sheetId="2" r:id="rId2"/>
    <sheet name="BBQ" sheetId="3" r:id="rId3"/>
    <sheet name="ALMACENES " sheetId="4" r:id="rId4"/>
    <sheet name="PROYECTO " sheetId="5" r:id="rId5"/>
    <sheet name="1 PRODUCT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6" l="1"/>
  <c r="O64" i="1"/>
  <c r="S63" i="1"/>
  <c r="S62" i="1"/>
  <c r="S61" i="1"/>
  <c r="S59" i="1"/>
  <c r="S58" i="1"/>
  <c r="S56" i="1"/>
  <c r="O8" i="4"/>
  <c r="O16" i="3"/>
  <c r="S54" i="1"/>
  <c r="S53" i="1"/>
  <c r="M34" i="2"/>
  <c r="M29" i="2"/>
  <c r="M30" i="2"/>
  <c r="M31" i="2"/>
  <c r="M32" i="2"/>
  <c r="M33" i="2"/>
  <c r="M28" i="2"/>
  <c r="N20" i="2"/>
  <c r="S51" i="1"/>
  <c r="S50" i="1"/>
  <c r="S49" i="1"/>
  <c r="S47" i="1"/>
  <c r="S46" i="1"/>
  <c r="S44" i="1"/>
  <c r="S43" i="1"/>
  <c r="S42" i="1"/>
  <c r="S41" i="1"/>
  <c r="S40" i="1"/>
  <c r="S39" i="1"/>
  <c r="S38" i="1"/>
  <c r="S37" i="1"/>
  <c r="S35" i="1"/>
  <c r="S33" i="1"/>
  <c r="S31" i="1"/>
  <c r="S29" i="1"/>
  <c r="S28" i="1"/>
  <c r="S24" i="1"/>
  <c r="S22" i="1"/>
  <c r="S21" i="1"/>
  <c r="S19" i="1"/>
  <c r="S17" i="1"/>
  <c r="S15" i="1"/>
  <c r="S14" i="1"/>
  <c r="S12" i="1"/>
  <c r="S60" i="1"/>
  <c r="S57" i="1"/>
  <c r="S55" i="1"/>
  <c r="S52" i="1"/>
  <c r="S48" i="1"/>
  <c r="S45" i="1"/>
  <c r="S36" i="1"/>
  <c r="S34" i="1"/>
  <c r="S32" i="1"/>
  <c r="S30" i="1"/>
  <c r="S27" i="1"/>
  <c r="S26" i="1"/>
  <c r="S25" i="1"/>
  <c r="S23" i="1"/>
  <c r="S20" i="1"/>
  <c r="S18" i="1"/>
  <c r="S16" i="1"/>
  <c r="S13" i="1"/>
  <c r="S11" i="1"/>
  <c r="S10" i="1"/>
  <c r="S9" i="1"/>
  <c r="S8" i="1"/>
  <c r="S7" i="1"/>
  <c r="S6" i="1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5" i="6"/>
  <c r="M70" i="1" l="1"/>
  <c r="M72" i="1" l="1"/>
  <c r="M71" i="1"/>
  <c r="M73" i="1" l="1"/>
</calcChain>
</file>

<file path=xl/sharedStrings.xml><?xml version="1.0" encoding="utf-8"?>
<sst xmlns="http://schemas.openxmlformats.org/spreadsheetml/2006/main" count="1434" uniqueCount="577">
  <si>
    <t xml:space="preserve">TEKA ECUADOR S.A. </t>
  </si>
  <si>
    <t>Registro Único de Contribuyente: 1791883144001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</si>
  <si>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</si>
  <si>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</si>
  <si>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</si>
  <si>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</si>
  <si>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</si>
  <si>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</si>
  <si>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</si>
  <si>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</si>
  <si>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</si>
  <si>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</si>
  <si>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</si>
  <si>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</si>
  <si>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</si>
  <si>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</si>
  <si>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</si>
  <si>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</si>
  <si>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</si>
  <si>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</si>
  <si>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</si>
  <si>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</si>
  <si>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>Cliente final</t>
  </si>
  <si>
    <t xml:space="preserve">PROMOCION 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</si>
  <si>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</si>
  <si>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</si>
  <si>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</si>
  <si>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</si>
  <si>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</si>
  <si>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</si>
  <si>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</si>
  <si>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</si>
  <si>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</si>
  <si>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</si>
  <si>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</si>
  <si>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</si>
  <si>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</si>
  <si>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</si>
  <si>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</si>
  <si>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</si>
  <si>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</si>
  <si>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</si>
  <si>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>SAP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</si>
  <si>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</si>
  <si>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</si>
  <si>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</si>
  <si>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</si>
  <si>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</si>
  <si>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</si>
  <si>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</si>
  <si>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</si>
  <si>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TEKA ECUADOR S.A.</t>
  </si>
  <si>
    <t>FECHA DE COMPRA</t>
  </si>
  <si>
    <t>LUGAR DE COMRPA</t>
  </si>
  <si>
    <t>CODIGO DEL PRODUCTO</t>
  </si>
  <si>
    <t>DESCRIPCION DE PRODUCTO</t>
  </si>
  <si>
    <t>SERIE DEL EQUIPO</t>
  </si>
  <si>
    <t>TECNICO</t>
  </si>
  <si>
    <t>CIUDAD</t>
  </si>
  <si>
    <t>FECHA INSTALACION</t>
  </si>
  <si>
    <t>DIRECCION INSTALACION</t>
  </si>
  <si>
    <t>COMO LLEGO INFORMACION</t>
  </si>
  <si>
    <t xml:space="preserve">ALMACENES </t>
  </si>
  <si>
    <t>DETALLE DE PRODUCTOS INSTALADOS EN PROYECTO</t>
  </si>
  <si>
    <t xml:space="preserve">COMO NOS LLEGO LA INFORMACION </t>
  </si>
  <si>
    <t>Nombre de cliente</t>
  </si>
  <si>
    <t xml:space="preserve">Celular cliente </t>
  </si>
  <si>
    <t>VALOR</t>
  </si>
  <si>
    <t>RUC O CEDULA DUEÑO DE CASA</t>
  </si>
  <si>
    <t xml:space="preserve">CORREO DEL DUEÑO DE CASA </t>
  </si>
  <si>
    <t>DPTO.</t>
  </si>
  <si>
    <t>RECIBIDO POR</t>
  </si>
  <si>
    <t>CÉDULA</t>
  </si>
  <si>
    <t xml:space="preserve">PROYECTO </t>
  </si>
  <si>
    <t>Capelo</t>
  </si>
  <si>
    <t>Cuenca</t>
  </si>
  <si>
    <t>CAPELO</t>
  </si>
  <si>
    <t>CUENCA</t>
  </si>
  <si>
    <t>Barbacoa a Gas T-BBQ 4100 SS</t>
  </si>
  <si>
    <t>De Cristian Capelo</t>
  </si>
  <si>
    <t>UN SOLO PRODUCTO</t>
  </si>
  <si>
    <t>CLIENTE FINAL</t>
  </si>
  <si>
    <t>CORREO ELECTRONICO</t>
  </si>
  <si>
    <t xml:space="preserve"> </t>
  </si>
  <si>
    <t>Trituradores</t>
  </si>
  <si>
    <t>Cocinas</t>
  </si>
  <si>
    <t>CAPELO NOVIEMBRE2024</t>
  </si>
  <si>
    <t>CAPELO MAYO 2025</t>
  </si>
  <si>
    <t>AL 20 MAYO 2025</t>
  </si>
  <si>
    <t>MAYO 2025</t>
  </si>
  <si>
    <t>Capelo Mayo 2025</t>
  </si>
  <si>
    <t>CAPELO-MAYO 2025</t>
  </si>
  <si>
    <t xml:space="preserve">SAP TEKA	</t>
  </si>
  <si>
    <t>STOCK</t>
  </si>
  <si>
    <t>KYWI</t>
  </si>
  <si>
    <t>40467320</t>
  </si>
  <si>
    <t>CAMPANA C7310</t>
  </si>
  <si>
    <t>TP24AR09409</t>
  </si>
  <si>
    <t>SILVANA CALLE</t>
  </si>
  <si>
    <t>CONDOMINIO EL ORO</t>
  </si>
  <si>
    <t>scalle68@hotmail.com</t>
  </si>
  <si>
    <t>043-905-000068934</t>
  </si>
  <si>
    <t>40197255</t>
  </si>
  <si>
    <t>TRITURADOR TR 710.1</t>
  </si>
  <si>
    <t>240115AF1250</t>
  </si>
  <si>
    <t>VICTOR VINTIMILLA</t>
  </si>
  <si>
    <t>EDIFICIO ASTURIAS</t>
  </si>
  <si>
    <t>vicving1964@gmail.com</t>
  </si>
  <si>
    <t>043-903-000067081</t>
  </si>
  <si>
    <t>40467305</t>
  </si>
  <si>
    <t>CAMPANA C710</t>
  </si>
  <si>
    <t>TP246LO7959</t>
  </si>
  <si>
    <t>FERNANDO MOSCOSO</t>
  </si>
  <si>
    <t>EL CEBOLLAR</t>
  </si>
  <si>
    <t>fer.mosesp@28@gmail.com</t>
  </si>
  <si>
    <t>001-500-000072461</t>
  </si>
  <si>
    <t>043-906-000049003</t>
  </si>
  <si>
    <t>TP248N05859</t>
  </si>
  <si>
    <t>MICHELLE BARROS</t>
  </si>
  <si>
    <t>CONDOMINIO BEMANI</t>
  </si>
  <si>
    <t>ckymi@live.com</t>
  </si>
  <si>
    <t>COMERCIAL LUNA PAZMINO</t>
  </si>
  <si>
    <t>002-201-000000815</t>
  </si>
  <si>
    <t>COCINA GBC 95030 KBB</t>
  </si>
  <si>
    <t>HORNO HLB 8400 FBK</t>
  </si>
  <si>
    <t>MICROONDAS MWG 14X</t>
  </si>
  <si>
    <t>ZP24CL00249</t>
  </si>
  <si>
    <t>TZ246A06452</t>
  </si>
  <si>
    <t>MW243TO198</t>
  </si>
  <si>
    <t>HUGO CORDOVA</t>
  </si>
  <si>
    <t>TULIPAN 1</t>
  </si>
  <si>
    <t>jakelinnecordova@hotmail.com</t>
  </si>
  <si>
    <t>043-902-000045473</t>
  </si>
  <si>
    <t>COCINA GBC 64000 KBB</t>
  </si>
  <si>
    <t>CAMPANA C 610</t>
  </si>
  <si>
    <t>ZP246000136</t>
  </si>
  <si>
    <t>TP246B02205</t>
  </si>
  <si>
    <t>ALDEAS SOS</t>
  </si>
  <si>
    <t>AV. GRAL. ESCANDON</t>
  </si>
  <si>
    <t>nixandra.alvarez@aldeasinfantiles.org.ec</t>
  </si>
  <si>
    <t>COMERCIAL KYWI</t>
  </si>
  <si>
    <t>043-901-000020928</t>
  </si>
  <si>
    <t>016-902-000506534</t>
  </si>
  <si>
    <t>CAMPANA C9310</t>
  </si>
  <si>
    <t>TP24AR07785</t>
  </si>
  <si>
    <t>ZP251U00110</t>
  </si>
  <si>
    <t>MARIA SARMIENTO</t>
  </si>
  <si>
    <t>RICAURTE</t>
  </si>
  <si>
    <t>merysarmiento274@gmail.com</t>
  </si>
  <si>
    <t>COMERCIAL SOLIS</t>
  </si>
  <si>
    <t>001-500-000071095</t>
  </si>
  <si>
    <t>COCINA JZC 96324 ABB</t>
  </si>
  <si>
    <t xml:space="preserve">MICROONDAS ML 8220 BIS </t>
  </si>
  <si>
    <t>HORNO HLB 8416 BK</t>
  </si>
  <si>
    <t>ZP24C300358</t>
  </si>
  <si>
    <t>TP245E04512</t>
  </si>
  <si>
    <t>TZ247202354</t>
  </si>
  <si>
    <t>GABRIELA TORRES</t>
  </si>
  <si>
    <t>MISICATA</t>
  </si>
  <si>
    <t>gabytorres29@hotmail.com</t>
  </si>
  <si>
    <t>001-500-000071025</t>
  </si>
  <si>
    <t>SUKASA</t>
  </si>
  <si>
    <t>040-103-000011651</t>
  </si>
  <si>
    <t>ZP24C300417</t>
  </si>
  <si>
    <t>240428AF0739</t>
  </si>
  <si>
    <t>CARMEN TORAL</t>
  </si>
  <si>
    <t>VISTA LINDA</t>
  </si>
  <si>
    <t>786 4681041</t>
  </si>
  <si>
    <t>cat80@outlook.com</t>
  </si>
  <si>
    <t>Barbacoa a Gas T-BBQ 3100 GBK  SS</t>
  </si>
  <si>
    <t xml:space="preserve">LUGAR DE COMPRA </t>
  </si>
  <si>
    <t>CO249E00565</t>
  </si>
  <si>
    <t>MARISCAL LAMAR</t>
  </si>
  <si>
    <t>MICROCAMPANA MLH 845 SS</t>
  </si>
  <si>
    <t>0724114427</t>
  </si>
  <si>
    <t>043-907-000023213</t>
  </si>
  <si>
    <t>MICROONDA ML 8220 BIS L</t>
  </si>
  <si>
    <t>TZ24CA07289</t>
  </si>
  <si>
    <t>TP25KU02532</t>
  </si>
  <si>
    <t>OSCAR CHAMBA</t>
  </si>
  <si>
    <t>SININCAY</t>
  </si>
  <si>
    <t>oscarchamba@hotmail.com</t>
  </si>
  <si>
    <t>040-103-000012056</t>
  </si>
  <si>
    <t>CAMPANA GHF 73</t>
  </si>
  <si>
    <t>LAVAVAJILLAS DW8 57 FIM</t>
  </si>
  <si>
    <t>COCINA GZC 96310 XBB</t>
  </si>
  <si>
    <t>TP243F07050</t>
  </si>
  <si>
    <t>MD249L06034</t>
  </si>
  <si>
    <t>ZP24AQ00054</t>
  </si>
  <si>
    <t>PRISCILA MENDEZ</t>
  </si>
  <si>
    <t>VICTOR ALBORNOZ</t>
  </si>
  <si>
    <t>prismendez2@gmail.com</t>
  </si>
  <si>
    <t>043-905-000067084</t>
  </si>
  <si>
    <t>VERONICA CONTRERAS</t>
  </si>
  <si>
    <t>BAGUANCHI</t>
  </si>
  <si>
    <t>carmen344@msn.com</t>
  </si>
  <si>
    <t>HORNO HLB 760 G</t>
  </si>
  <si>
    <t>TZ24C05074</t>
  </si>
  <si>
    <t>MD24BL0000376</t>
  </si>
  <si>
    <t>002-201-000000811</t>
  </si>
  <si>
    <t>2104/25</t>
  </si>
  <si>
    <t>COM LUNA PAZMINO</t>
  </si>
  <si>
    <t>002-201-000007579</t>
  </si>
  <si>
    <t>40467304</t>
  </si>
  <si>
    <t>TP232NO4071</t>
  </si>
  <si>
    <t>CHALLUABAMBA</t>
  </si>
  <si>
    <t>augusta.vintimillac@gmail.com</t>
  </si>
  <si>
    <t>001-500-000067912</t>
  </si>
  <si>
    <t>112580027</t>
  </si>
  <si>
    <t>COCINA GBC 75030 KBB</t>
  </si>
  <si>
    <t>ZP249T00102</t>
  </si>
  <si>
    <t>MARIA VINTIMILLA</t>
  </si>
  <si>
    <t>KARLA ELIZALDE</t>
  </si>
  <si>
    <t>eavinti@gmail.com</t>
  </si>
  <si>
    <t>043-902-000046015</t>
  </si>
  <si>
    <t>112580058</t>
  </si>
  <si>
    <t>ZP24CL00236</t>
  </si>
  <si>
    <t>JUAN MERCHAN</t>
  </si>
  <si>
    <t>EL BATAN</t>
  </si>
  <si>
    <t>maggibaneracam@gmail.com</t>
  </si>
  <si>
    <t>BOYACA</t>
  </si>
  <si>
    <t>017-003-000054229</t>
  </si>
  <si>
    <t>112520025</t>
  </si>
  <si>
    <t>COCINA IZC 64010 MSS BK</t>
  </si>
  <si>
    <t>ZP24AG00619</t>
  </si>
  <si>
    <t>RENE RAMIREZ</t>
  </si>
  <si>
    <t>LOS ALMENDROS</t>
  </si>
  <si>
    <t>marc75@live.com</t>
  </si>
  <si>
    <t>001-500-000009213</t>
  </si>
  <si>
    <t>112570124</t>
  </si>
  <si>
    <t>COCINA JZC 64322 ABB</t>
  </si>
  <si>
    <t>ZP242101167</t>
  </si>
  <si>
    <t>AMANDA TENONIO</t>
  </si>
  <si>
    <t>amandatenorioromero@hotmail.com</t>
  </si>
  <si>
    <t>043-905-000068842</t>
  </si>
  <si>
    <t>40466241</t>
  </si>
  <si>
    <t>TP24AR07802</t>
  </si>
  <si>
    <t>JAKELINE JERVES</t>
  </si>
  <si>
    <t>LOS FRESNOS</t>
  </si>
  <si>
    <t>faustogutierrezc@gmail.com</t>
  </si>
  <si>
    <t>043-906-000041809</t>
  </si>
  <si>
    <t>ZP251U00105</t>
  </si>
  <si>
    <t>YADIRA PIEDRA</t>
  </si>
  <si>
    <t>RIO SOL</t>
  </si>
  <si>
    <t>yadira.piedra@ucuenca.edu.ec</t>
  </si>
  <si>
    <t>28/12/20245</t>
  </si>
  <si>
    <t>COCINA GZC 75330 XBB</t>
  </si>
  <si>
    <t>DVN 74030 TCL BK</t>
  </si>
  <si>
    <t>CP247G00725</t>
  </si>
  <si>
    <t>EK245900043</t>
  </si>
  <si>
    <t>MIRIAM ZAVALA</t>
  </si>
  <si>
    <t>EL VERGEL</t>
  </si>
  <si>
    <t>mzcpublicidad@hotmail.com</t>
  </si>
  <si>
    <t>MERCARD</t>
  </si>
  <si>
    <t>ZP24CH00821</t>
  </si>
  <si>
    <t>CAMPANA DHT 97670 ROS WH</t>
  </si>
  <si>
    <t>EV247H00001</t>
  </si>
  <si>
    <t>TZ249PI6635</t>
  </si>
  <si>
    <t>HENRY POLO</t>
  </si>
  <si>
    <t>NARANCAY</t>
  </si>
  <si>
    <t>henrypolotapia@hotmail.com</t>
  </si>
  <si>
    <t>001-001-000000787</t>
  </si>
  <si>
    <t>001-001-000000719</t>
  </si>
  <si>
    <t>COCINA GBC 75-G1 GBA BM</t>
  </si>
  <si>
    <t>ZP23B800546</t>
  </si>
  <si>
    <t>MONICA ALVARADO</t>
  </si>
  <si>
    <t xml:space="preserve">SE REVISA Y SE ASEGURA LA CONEXION DEL TERMOPAR </t>
  </si>
  <si>
    <t>malvarado22@hotmail.com</t>
  </si>
  <si>
    <t>006-002-000155409</t>
  </si>
  <si>
    <t>PLACA DE POTENCIA P100 DERECHA</t>
  </si>
  <si>
    <t>COCINA IZF 64440 MSP</t>
  </si>
  <si>
    <t>ZP22B600020</t>
  </si>
  <si>
    <t>LORENA ANDRADE</t>
  </si>
  <si>
    <t>LA COCINA NO ENCIENDE YA QUE LA PLACA DE POTENCIA DERECHA ESTA QUEMADA</t>
  </si>
  <si>
    <t>0102311636001</t>
  </si>
  <si>
    <t>lorena.andrade.b@icloud.com</t>
  </si>
  <si>
    <t>006-000152780</t>
  </si>
  <si>
    <t>CABLEADO + PCB FUENTE HLB 8550 SC</t>
  </si>
  <si>
    <t>HORNO HLB 8550 SC BK</t>
  </si>
  <si>
    <t>TZ23BE12434</t>
  </si>
  <si>
    <t>FABIOLA CUEVA</t>
  </si>
  <si>
    <t>SE CHEQUEA Y SE VERIFICA QUE EL PCB FUENTE NO FUNCIONA</t>
  </si>
  <si>
    <t>0101553956</t>
  </si>
  <si>
    <t>fabaus5@hotmail.com</t>
  </si>
  <si>
    <t>043-909-000000153</t>
  </si>
  <si>
    <t>016-902-000506147</t>
  </si>
  <si>
    <t>CAMPANA C 9310</t>
  </si>
  <si>
    <t>TP249B03564</t>
  </si>
  <si>
    <t>ANGEL ZAMBRANO</t>
  </si>
  <si>
    <t>fbravo323@gmail.com</t>
  </si>
  <si>
    <t>016-907-000247915</t>
  </si>
  <si>
    <t>TP246R01783</t>
  </si>
  <si>
    <t>JORGE VICTOR</t>
  </si>
  <si>
    <t>CDLA MEDICOS</t>
  </si>
  <si>
    <t>gorgeleon2016@gmail.com</t>
  </si>
  <si>
    <t>VTORIA HOGAR</t>
  </si>
  <si>
    <t>001-001-000001286</t>
  </si>
  <si>
    <t>CAMPANA C 7310</t>
  </si>
  <si>
    <t>TP24A801290</t>
  </si>
  <si>
    <t>MARIA CORDERO</t>
  </si>
  <si>
    <t>AV. PASEO 3 NOVIEMBRE</t>
  </si>
  <si>
    <t>ventas@iglaceec.com</t>
  </si>
  <si>
    <t>KIWI</t>
  </si>
  <si>
    <t>043-905-000070672</t>
  </si>
  <si>
    <t>TP246M11602</t>
  </si>
  <si>
    <t>MARCO CHACON</t>
  </si>
  <si>
    <t>URB. LOS CAPULIES</t>
  </si>
  <si>
    <t>marcoch.18@hotmail.com</t>
  </si>
  <si>
    <t>001-500-000066218</t>
  </si>
  <si>
    <t>ZP245H00608</t>
  </si>
  <si>
    <t>DANIEL ESPINOZA</t>
  </si>
  <si>
    <t>AV. DEL TEJAR</t>
  </si>
  <si>
    <t>karinasaavedra2095@gmail.com</t>
  </si>
  <si>
    <t>COMO HOGAR</t>
  </si>
  <si>
    <t>040-103-000012968</t>
  </si>
  <si>
    <t>111000051</t>
  </si>
  <si>
    <t>TZ24CA07353</t>
  </si>
  <si>
    <t>SAMARIA LOPEZ</t>
  </si>
  <si>
    <t>PASEO RIO YANUNCAY</t>
  </si>
  <si>
    <t>gabrielariossomas@gmail.com</t>
  </si>
  <si>
    <t>COCINA GBC 75 GI GBA BM</t>
  </si>
  <si>
    <t>ZP246K00193</t>
  </si>
  <si>
    <t>GABRIEL ENDERICA</t>
  </si>
  <si>
    <t>SE ENCUENTRA DESCONECTADO UN CABLE DE CONEXION INTERNA, SE SOLUCIONA.</t>
  </si>
  <si>
    <t>0103061032</t>
  </si>
  <si>
    <t>jvasesorialegal@gmail.com</t>
  </si>
  <si>
    <t>001-500-000068957</t>
  </si>
  <si>
    <t>001-500-000069655</t>
  </si>
  <si>
    <t>016-907-00001439</t>
  </si>
  <si>
    <t>ZP24C600135</t>
  </si>
  <si>
    <t>EUGENIA GUILLERMO</t>
  </si>
  <si>
    <t>eugeniabeatriz1780@gmail.com</t>
  </si>
  <si>
    <t>TZ24C405056</t>
  </si>
  <si>
    <t>HORNO HLF 824 G</t>
  </si>
  <si>
    <t>TZ248036041</t>
  </si>
  <si>
    <t>040-104-000008237</t>
  </si>
  <si>
    <t>TP249CO4268</t>
  </si>
  <si>
    <t>MASOLUC S.A</t>
  </si>
  <si>
    <t>FEDERICO MALO 190</t>
  </si>
  <si>
    <t>hherreras80@hotmail.com</t>
  </si>
  <si>
    <t>ALMACEN ESPAÑA</t>
  </si>
  <si>
    <t>008-501-000007001</t>
  </si>
  <si>
    <t>HORNO HLB 830 SS</t>
  </si>
  <si>
    <t>MICROONDA MW G 14X</t>
  </si>
  <si>
    <t>TZ23IL15294</t>
  </si>
  <si>
    <t>MM231000377</t>
  </si>
  <si>
    <t>PAUL COBOS</t>
  </si>
  <si>
    <t>AZOGUES</t>
  </si>
  <si>
    <t>paulcobos@gmail.com</t>
  </si>
  <si>
    <t>040-103-000001740</t>
  </si>
  <si>
    <t>COCINA IBC 64000 TTC BK</t>
  </si>
  <si>
    <t>ZP234700068</t>
  </si>
  <si>
    <t>JAIME NARVAEZ</t>
  </si>
  <si>
    <t>HUMBERTO CORDERO Y 10 AGOSTO</t>
  </si>
  <si>
    <t>isamrezl@gmail.com</t>
  </si>
  <si>
    <t>HORNO HSB 610 BK</t>
  </si>
  <si>
    <t>MICROONDAS ML 820 BIS</t>
  </si>
  <si>
    <t>REFRIGERADOR RFD 77820 GBK</t>
  </si>
  <si>
    <t>TP234D04157</t>
  </si>
  <si>
    <t>ZP249T00045</t>
  </si>
  <si>
    <t>MC234000149</t>
  </si>
  <si>
    <t>TZ243K19031</t>
  </si>
  <si>
    <t>REFRIGERADOR RMF 77960 GBK</t>
  </si>
  <si>
    <t>VINERA RVU 20046 GBK</t>
  </si>
  <si>
    <t>CAMPANA DPL ISLA 1180</t>
  </si>
  <si>
    <t>4M1992001</t>
  </si>
  <si>
    <t>NS244P00013</t>
  </si>
  <si>
    <t>PX249R00075</t>
  </si>
  <si>
    <t>ZP243X00404</t>
  </si>
  <si>
    <t>CO249E00620</t>
  </si>
  <si>
    <t>CO249E00779</t>
  </si>
  <si>
    <t>CO249E00205</t>
  </si>
  <si>
    <t>CO249E00315</t>
  </si>
  <si>
    <t>contabilidad@comercialsolis.com.ec</t>
  </si>
  <si>
    <t>MEGA KYWI</t>
  </si>
  <si>
    <t>AV. 24 DE MAYO</t>
  </si>
  <si>
    <t>CO249E00797</t>
  </si>
  <si>
    <t>CO249E00366</t>
  </si>
  <si>
    <t>freddyn@kywi.com.ec</t>
  </si>
  <si>
    <t>001-500-000072452</t>
  </si>
  <si>
    <t>ZP243U00568</t>
  </si>
  <si>
    <t>PAOLA LOPEZ</t>
  </si>
  <si>
    <t>BELLO HORIZONTE</t>
  </si>
  <si>
    <t>ivanmauricioz@hotmail.com</t>
  </si>
  <si>
    <t>001-500-000072449</t>
  </si>
  <si>
    <t>ZP251000186</t>
  </si>
  <si>
    <t>ENRIQUE SALAMEA</t>
  </si>
  <si>
    <t>JUNTA MARIA DE BALZAY</t>
  </si>
  <si>
    <t>piosalamea642gmail.com</t>
  </si>
  <si>
    <t>016-907-000251351</t>
  </si>
  <si>
    <t>40469320</t>
  </si>
  <si>
    <t>TP243M06286</t>
  </si>
  <si>
    <t>LINA NARANJO</t>
  </si>
  <si>
    <t>URB. SAN ANDRES</t>
  </si>
  <si>
    <t>rocinaranjo197116@gmail.com</t>
  </si>
  <si>
    <t>016-907-000249571</t>
  </si>
  <si>
    <t>TP24AR07792</t>
  </si>
  <si>
    <t>ANA SARMIENTO</t>
  </si>
  <si>
    <t>PRIMERO DE ENERO</t>
  </si>
  <si>
    <t>carasarmi4567@gmail.com</t>
  </si>
  <si>
    <t>043-903-000070453</t>
  </si>
  <si>
    <t>TP24AB01226</t>
  </si>
  <si>
    <t>OLGA CAMPOVERDE</t>
  </si>
  <si>
    <t>BAÑOS SAN GABRIEL</t>
  </si>
  <si>
    <t>mataellebelen@gmail.com</t>
  </si>
  <si>
    <t>043-902-000049414</t>
  </si>
  <si>
    <t>CO249E00757</t>
  </si>
  <si>
    <t>cjchp181086@hotmail.com</t>
  </si>
  <si>
    <t>043-902-000048777</t>
  </si>
  <si>
    <t>112930041</t>
  </si>
  <si>
    <t>CAMPANA DLV 98660 TPL</t>
  </si>
  <si>
    <t>TP24A700010</t>
  </si>
  <si>
    <t>JORGE HARO</t>
  </si>
  <si>
    <t>CANTON TAISHA</t>
  </si>
  <si>
    <t>crisharoq@hotmail.com</t>
  </si>
  <si>
    <t>COM. LUNA PAZMIÑO</t>
  </si>
  <si>
    <t>002-201-00004480</t>
  </si>
  <si>
    <t>112570126</t>
  </si>
  <si>
    <t>ZP23A600894</t>
  </si>
  <si>
    <t>CRISTIAN ÑAUTA</t>
  </si>
  <si>
    <t>CAPULISPAMBA</t>
  </si>
  <si>
    <t>cnauta@etapa.net.ec</t>
  </si>
  <si>
    <t>001-500-000078171</t>
  </si>
  <si>
    <t>CAMPANA C 710</t>
  </si>
  <si>
    <t>TP246L0B063</t>
  </si>
  <si>
    <t>FRANKLIN SIBRI</t>
  </si>
  <si>
    <t>BUENAVENTURA</t>
  </si>
  <si>
    <t>frankixd1991@gmail.com</t>
  </si>
  <si>
    <t>001-500-000065232</t>
  </si>
  <si>
    <t>112950019</t>
  </si>
  <si>
    <t xml:space="preserve">CAMPANA DVN 64030 TCL </t>
  </si>
  <si>
    <t>EK241B00049</t>
  </si>
  <si>
    <t>SEBASTIAN MURILLO</t>
  </si>
  <si>
    <t>UCUBAMBA</t>
  </si>
  <si>
    <t>jaime28@gmail.com</t>
  </si>
  <si>
    <t>001-500-000073257</t>
  </si>
  <si>
    <t>CO249E00892</t>
  </si>
  <si>
    <t>BATZABET JUELA</t>
  </si>
  <si>
    <t>TENA Y PUYO</t>
  </si>
  <si>
    <t>lourdesespinoza6@hotmail.com</t>
  </si>
  <si>
    <t>CRISTIAN CHACHA</t>
  </si>
  <si>
    <t>016-901-000220257</t>
  </si>
  <si>
    <t>ZP243000584</t>
  </si>
  <si>
    <t>OSWALDO PAUZHI</t>
  </si>
  <si>
    <t>PAUTE</t>
  </si>
  <si>
    <t>osuf_09@hotmail.com</t>
  </si>
  <si>
    <t>001-001-000002085</t>
  </si>
  <si>
    <t>ZP22AE00037</t>
  </si>
  <si>
    <t>ANDRES MARQUEZ</t>
  </si>
  <si>
    <t>andresmarquez73@gmail.com</t>
  </si>
  <si>
    <t>016-902-000508580</t>
  </si>
  <si>
    <t>112950021</t>
  </si>
  <si>
    <t>CAMPANA DVN 94030 TCL BK</t>
  </si>
  <si>
    <t>EK249200006</t>
  </si>
  <si>
    <t>CLAUDIA COSTA</t>
  </si>
  <si>
    <t>ROSAS DE MISICATA</t>
  </si>
  <si>
    <t>gelorgj@gmail.com</t>
  </si>
  <si>
    <t>0101301323</t>
  </si>
  <si>
    <t>TZ242G19696</t>
  </si>
  <si>
    <t>INES ARIAS</t>
  </si>
  <si>
    <t>SE REVISA EL HORNO Y SE REUBICA EL TERMOPAR</t>
  </si>
  <si>
    <t>0102416666</t>
  </si>
  <si>
    <t>iariasvelez@hotmail.com</t>
  </si>
  <si>
    <t>040-101-000000254</t>
  </si>
  <si>
    <t>040-105-000001080</t>
  </si>
  <si>
    <t>040-103-000001867</t>
  </si>
  <si>
    <t>001-500-000072253</t>
  </si>
  <si>
    <t>MD24BL000280</t>
  </si>
  <si>
    <t>FREDDY ANALUISA</t>
  </si>
  <si>
    <t>NORMA PULLIDO</t>
  </si>
  <si>
    <t>freddyanaluc11@gmail.com</t>
  </si>
  <si>
    <t>TRITURADOR TR 510.1</t>
  </si>
  <si>
    <t>VINERA RVU 100008 GBK</t>
  </si>
  <si>
    <t>YH241LO0301</t>
  </si>
  <si>
    <t>TZ247202372</t>
  </si>
  <si>
    <t>001-501-000068309</t>
  </si>
  <si>
    <t>001-500-000054696</t>
  </si>
  <si>
    <t>ZP232N00209</t>
  </si>
  <si>
    <t>MIRIAM QUITO</t>
  </si>
  <si>
    <t>gabrielaq@1988@gmail.com</t>
  </si>
  <si>
    <t>CAMPANA C910</t>
  </si>
  <si>
    <t>TP234104503</t>
  </si>
  <si>
    <t>CAMPANA DPL 980 T</t>
  </si>
  <si>
    <t>TP246JO4528</t>
  </si>
  <si>
    <t>COCINA JZC 96342 BBB</t>
  </si>
  <si>
    <t>ZP25IM00130</t>
  </si>
  <si>
    <t xml:space="preserve">99119764, 99119774 </t>
  </si>
  <si>
    <t>PROTECTOR SOBRECARGA TR. 710 INTERRUPTOR  NEUMATICO TR 510.1</t>
  </si>
  <si>
    <t>23115AF0710</t>
  </si>
  <si>
    <t>LORENA INIGUEZ</t>
  </si>
  <si>
    <t>010575757629</t>
  </si>
  <si>
    <t>lorena@sensorvital.com</t>
  </si>
  <si>
    <t>010-103-00003154</t>
  </si>
  <si>
    <t>CORONA QUEMADOR SEMIRAF EFX</t>
  </si>
  <si>
    <t>COCINA GSC 75330 SBA IX</t>
  </si>
  <si>
    <t>ZP241X00195</t>
  </si>
  <si>
    <t>SE DTECTA QUE EL INTERRUPTOR NEUMATICO DE TRABADO Y NO SE PUEDE REINICIAR EL PROTECTOR</t>
  </si>
  <si>
    <t>VICTOR POMA</t>
  </si>
  <si>
    <t>SE DEBE CAMBIAR EL QUEMADOR</t>
  </si>
  <si>
    <t>0101227387</t>
  </si>
  <si>
    <t>victorpoma203@gmail.com</t>
  </si>
  <si>
    <t>043-904-000021540</t>
  </si>
  <si>
    <t>CONMUTADOR GFH 55 VR02, LAMPARA LED 15W GFH SS00031</t>
  </si>
  <si>
    <t>40446712 89220265</t>
  </si>
  <si>
    <t>CAMPANA GFH 73</t>
  </si>
  <si>
    <t>TP233W08575</t>
  </si>
  <si>
    <t>HACE CONTACTO CABLES CON CARCAZA METALICA Y PROVOCAN CORTOCIRCUITO, SE CAMBIA CONMUTADOR Y FOCO LED</t>
  </si>
  <si>
    <t>0190339149</t>
  </si>
  <si>
    <t>bradleylaye@gmail.com</t>
  </si>
  <si>
    <t>043-903-000004391</t>
  </si>
  <si>
    <t>BRADLEY LAYE</t>
  </si>
  <si>
    <t>RELOJ TC HLB 840(MMX)</t>
  </si>
  <si>
    <t>TZ243134584</t>
  </si>
  <si>
    <t>PAOLA CORDOVA</t>
  </si>
  <si>
    <t>SE CHEQUEA Y SE VERIFICA QUE NO FINCIONA EL DISPLAY</t>
  </si>
  <si>
    <t>0987595719</t>
  </si>
  <si>
    <t>paoeliza@hotmail.com</t>
  </si>
  <si>
    <t>1101086401</t>
  </si>
  <si>
    <t>001-501-000055097</t>
  </si>
  <si>
    <t>FREGADERO TEKAWAY UNIVERSE</t>
  </si>
  <si>
    <t>MAGALY MARURY</t>
  </si>
  <si>
    <t>SE EN IA A GUAYAQUIL PARA AJUSTES</t>
  </si>
  <si>
    <t>0103743027</t>
  </si>
  <si>
    <t>emagamaru@outlook.com</t>
  </si>
  <si>
    <t>0995974236</t>
  </si>
  <si>
    <t>001500-2159059</t>
  </si>
  <si>
    <t>NO ENCIENDE QUEMADOR , SE REVISA Y SE AJUSTAN LAS CONEXIONES DE TERMOPAR.</t>
  </si>
  <si>
    <t>Horno elec.</t>
  </si>
  <si>
    <t>Horno gas</t>
  </si>
  <si>
    <t>campana</t>
  </si>
  <si>
    <t>fregadero</t>
  </si>
  <si>
    <t>ALMACEN BOYACA</t>
  </si>
  <si>
    <t>007-006-000129478</t>
  </si>
  <si>
    <t>TZ243N23332</t>
  </si>
  <si>
    <t>GUSTAVO QUITO</t>
  </si>
  <si>
    <t>gustavoqr2810@gmail.com</t>
  </si>
  <si>
    <t>016-902-000472415</t>
  </si>
  <si>
    <t>ZP244900311</t>
  </si>
  <si>
    <t>001-500-000065258</t>
  </si>
  <si>
    <t>TP243605662</t>
  </si>
  <si>
    <t>CO249E00573</t>
  </si>
  <si>
    <t>CECILIA CUESTA</t>
  </si>
  <si>
    <t xml:space="preserve">PUERTO DE PALOS </t>
  </si>
  <si>
    <t>cecicuesta10-1985@hotmail.com</t>
  </si>
  <si>
    <t>001-500-000072612</t>
  </si>
  <si>
    <t>TP24A902103</t>
  </si>
  <si>
    <t>ZP242N00532</t>
  </si>
  <si>
    <t>DIEGO ESPANA</t>
  </si>
  <si>
    <t>DEL GULLAN</t>
  </si>
  <si>
    <t>diego.espa@outlook.es</t>
  </si>
  <si>
    <t>001-502-000000127</t>
  </si>
  <si>
    <t>HORNO 8400 FBK</t>
  </si>
  <si>
    <t>MICROONDAS ML 8220 BIS L</t>
  </si>
  <si>
    <t>ZP24CH00754</t>
  </si>
  <si>
    <t>TZ24BF12874</t>
  </si>
  <si>
    <t>TP245E04619</t>
  </si>
  <si>
    <t>FERNANDO MARIN</t>
  </si>
  <si>
    <t>PRADO ALTO 2</t>
  </si>
  <si>
    <t>fernandomarin33@outlook.com</t>
  </si>
  <si>
    <t>001-502-000000258</t>
  </si>
  <si>
    <t>TP2449H02929</t>
  </si>
  <si>
    <t>ZP251T00192</t>
  </si>
  <si>
    <t>MARIA PALACIOS</t>
  </si>
  <si>
    <t>BALZAY</t>
  </si>
  <si>
    <t>genaroorellana@hotmail.com</t>
  </si>
  <si>
    <t>002-201-00005695</t>
  </si>
  <si>
    <t>002-201-00004058</t>
  </si>
  <si>
    <t>premio sorteo</t>
  </si>
  <si>
    <t xml:space="preserve">COMO HOGAR </t>
  </si>
  <si>
    <t>040-104-000011315</t>
  </si>
  <si>
    <t>REFRIGERADOR 74920 SS</t>
  </si>
  <si>
    <t>MC234J00026</t>
  </si>
  <si>
    <t>TATINA ANDRADE</t>
  </si>
  <si>
    <t>CONDOMINIO 4 RIOS</t>
  </si>
  <si>
    <t>tantandrade@gmail.com</t>
  </si>
  <si>
    <t>TP247H06420</t>
  </si>
  <si>
    <t>001-500-000073666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</si>
</sst>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\-mm\-yy;@"/>
    <numFmt numFmtId="165" formatCode="&quot;$&quot;#,##0.00"/>
    <numFmt numFmtId="166" formatCode="dd/mm/yy;@"/>
    <numFmt numFmtId="167" formatCode="_-* #,##0.00\ _€_-;\-* #,##0.00\ _€_-;_-* &quot;-&quot;??\ _€_-;_-@_-"/>
    <numFmt numFmtId="168" formatCode="dd/mm/yyyy;@"/>
  </numFmts>
  <fonts count="65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name val="Calibri"/>
      <family val="2"/>
    </font>
    <font>
      <sz val="9"/>
      <name val="Franklin Gothic Book"/>
      <family val="2"/>
    </font>
    <font>
      <sz val="11"/>
      <name val="Calibri"/>
      <family val="2"/>
    </font>
    <font>
      <sz val="7"/>
      <color indexed="8"/>
      <name val="Calibri"/>
      <family val="2"/>
    </font>
    <font>
      <sz val="8"/>
      <color indexed="8"/>
      <name val="Calibri"/>
      <family val="2"/>
    </font>
    <font>
      <b/>
      <sz val="9"/>
      <name val="Franklin Gothic Book"/>
      <family val="2"/>
    </font>
    <font>
      <sz val="11"/>
      <color indexed="8"/>
      <name val="Calibri"/>
      <family val="2"/>
      <charset val="1"/>
    </font>
    <font>
      <sz val="11"/>
      <name val="Calibri"/>
      <family val="2"/>
      <charset val="1"/>
    </font>
    <font>
      <sz val="12"/>
      <color indexed="8"/>
      <name val="Calibri"/>
      <family val="2"/>
      <charset val="1"/>
    </font>
    <font>
      <sz val="10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3"/>
      <color indexed="8"/>
      <name val="Calibri"/>
      <family val="2"/>
    </font>
    <font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11"/>
      <color theme="1"/>
      <name val="Aptos Narrow"/>
      <scheme val="minor"/>
    </font>
    <font>
      <sz val="7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Aptos Narrow"/>
      <family val="2"/>
      <scheme val="minor"/>
    </font>
    <font>
      <sz val="9"/>
      <name val="Calibri"/>
      <family val="2"/>
    </font>
    <font>
      <b/>
      <sz val="18"/>
      <name val="Aptos Narrow"/>
      <family val="2"/>
      <scheme val="minor"/>
    </font>
    <font>
      <b/>
      <sz val="18"/>
      <color indexed="8"/>
      <name val="Aptos Narrow"/>
      <family val="2"/>
      <scheme val="minor"/>
    </font>
    <font>
      <sz val="15"/>
      <name val="Aptos Narrow"/>
      <family val="2"/>
      <scheme val="minor"/>
    </font>
    <font>
      <b/>
      <sz val="7"/>
      <name val="Aptos Narrow"/>
      <family val="2"/>
      <scheme val="minor"/>
    </font>
    <font>
      <b/>
      <sz val="15"/>
      <name val="Arial"/>
      <family val="2"/>
    </font>
    <font>
      <sz val="10"/>
      <name val="Aptos Narrow"/>
      <family val="2"/>
      <scheme val="minor"/>
    </font>
    <font>
      <u/>
      <sz val="10"/>
      <color theme="10"/>
      <name val="Arial"/>
      <family val="2"/>
    </font>
    <font>
      <u/>
      <sz val="13"/>
      <color theme="4"/>
      <name val="Calibri"/>
      <family val="2"/>
    </font>
    <font>
      <sz val="13"/>
      <color theme="1"/>
      <name val="Calibri"/>
      <family val="2"/>
    </font>
    <font>
      <sz val="13"/>
      <name val="Calibri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b/>
      <sz val="10"/>
      <color theme="0"/>
      <name val="Aptos Narrow"/>
      <family val="2"/>
      <scheme val="minor"/>
    </font>
    <font>
      <sz val="10"/>
      <name val="Arial"/>
      <family val="2"/>
      <charset val="1"/>
    </font>
    <font>
      <sz val="8"/>
      <color theme="0"/>
      <name val="Aptos Narrow"/>
      <family val="2"/>
      <scheme val="minor"/>
    </font>
    <font>
      <sz val="12"/>
      <color indexed="8"/>
      <name val="Calibri"/>
      <family val="2"/>
    </font>
    <font>
      <b/>
      <sz val="12"/>
      <color theme="0"/>
      <name val="Aptos Narrow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9"/>
      <color theme="1"/>
      <name val="Libre Franklin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b/>
      <sz val="9"/>
      <color theme="1"/>
      <name val="Libre Franklin"/>
    </font>
    <font>
      <b/>
      <sz val="11"/>
      <color theme="1"/>
      <name val="Calibri"/>
      <family val="2"/>
    </font>
    <font>
      <b/>
      <sz val="6"/>
      <color rgb="FFFFFFFF"/>
      <name val="Calibri"/>
      <family val="2"/>
    </font>
    <font>
      <sz val="8"/>
      <color theme="1"/>
      <name val="Arial"/>
      <family val="2"/>
    </font>
    <font>
      <sz val="12"/>
      <color indexed="8"/>
      <name val="Aptos Narrow"/>
      <family val="2"/>
      <scheme val="minor"/>
    </font>
    <font>
      <sz val="1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2">
    <xf numFmtId="0" fontId="0" fillId="0" borderId="0"/>
    <xf numFmtId="0" fontId="13" fillId="0" borderId="0"/>
    <xf numFmtId="0" fontId="13" fillId="2" borderId="0">
      <alignment horizontal="left"/>
    </xf>
    <xf numFmtId="0" fontId="5" fillId="0" borderId="0"/>
    <xf numFmtId="0" fontId="6" fillId="0" borderId="0" applyNumberFormat="0" applyFill="0" applyBorder="0" applyAlignment="0" applyProtection="0"/>
    <xf numFmtId="0" fontId="22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167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5" fillId="0" borderId="0"/>
    <xf numFmtId="43" fontId="26" fillId="0" borderId="0" applyFont="0" applyFill="0" applyBorder="0" applyAlignment="0" applyProtection="0"/>
    <xf numFmtId="0" fontId="48" fillId="0" borderId="0"/>
    <xf numFmtId="0" fontId="26" fillId="0" borderId="0"/>
    <xf numFmtId="0" fontId="5" fillId="0" borderId="0"/>
    <xf numFmtId="0" fontId="6" fillId="0" borderId="0" applyNumberFormat="0" applyFill="0" applyBorder="0" applyAlignment="0" applyProtection="0"/>
    <xf numFmtId="0" fontId="26" fillId="0" borderId="0"/>
    <xf numFmtId="0" fontId="13" fillId="0" borderId="0"/>
  </cellStyleXfs>
  <cellXfs count="201">
    <xf numFmtId="0" fontId="0" fillId="0" borderId="0" xfId="0"/>
    <xf numFmtId="0" fontId="7" fillId="0" borderId="0" xfId="0" applyFont="1" applyAlignment="1">
      <alignment horizontal="right"/>
    </xf>
    <xf numFmtId="4" fontId="8" fillId="0" borderId="0" xfId="0" applyNumberFormat="1" applyFont="1"/>
    <xf numFmtId="0" fontId="9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/>
    <xf numFmtId="49" fontId="10" fillId="0" borderId="0" xfId="0" applyNumberFormat="1" applyFont="1" applyAlignment="1">
      <alignment horizontal="left"/>
    </xf>
    <xf numFmtId="1" fontId="0" fillId="0" borderId="0" xfId="0" applyNumberFormat="1"/>
    <xf numFmtId="2" fontId="11" fillId="0" borderId="0" xfId="0" applyNumberFormat="1" applyFont="1" applyAlignment="1">
      <alignment horizontal="right" indent="1"/>
    </xf>
    <xf numFmtId="4" fontId="12" fillId="0" borderId="0" xfId="0" applyNumberFormat="1" applyFont="1" applyAlignment="1">
      <alignment horizontal="left" vertical="center"/>
    </xf>
    <xf numFmtId="0" fontId="14" fillId="0" borderId="0" xfId="1" applyFont="1"/>
    <xf numFmtId="0" fontId="15" fillId="2" borderId="0" xfId="2" applyFont="1" applyAlignment="1">
      <alignment horizontal="center" vertical="center"/>
    </xf>
    <xf numFmtId="1" fontId="15" fillId="2" borderId="0" xfId="2" applyNumberFormat="1" applyFont="1" applyAlignment="1">
      <alignment horizontal="right" vertical="center"/>
    </xf>
    <xf numFmtId="1" fontId="15" fillId="2" borderId="0" xfId="2" applyNumberFormat="1" applyFont="1" applyAlignment="1">
      <alignment horizontal="center" vertical="center"/>
    </xf>
    <xf numFmtId="2" fontId="15" fillId="2" borderId="0" xfId="2" applyNumberFormat="1" applyFont="1" applyAlignment="1">
      <alignment vertical="center"/>
    </xf>
    <xf numFmtId="49" fontId="0" fillId="0" borderId="0" xfId="0" quotePrefix="1" applyNumberFormat="1"/>
    <xf numFmtId="17" fontId="11" fillId="0" borderId="0" xfId="0" quotePrefix="1" applyNumberFormat="1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1" fontId="17" fillId="3" borderId="1" xfId="0" applyNumberFormat="1" applyFont="1" applyFill="1" applyBorder="1" applyAlignment="1">
      <alignment horizontal="center" vertical="center" wrapText="1"/>
    </xf>
    <xf numFmtId="2" fontId="17" fillId="3" borderId="1" xfId="0" applyNumberFormat="1" applyFont="1" applyFill="1" applyBorder="1" applyAlignment="1">
      <alignment horizontal="center" vertical="center" wrapText="1"/>
    </xf>
    <xf numFmtId="0" fontId="16" fillId="0" borderId="0" xfId="0" applyFont="1"/>
    <xf numFmtId="0" fontId="18" fillId="0" borderId="0" xfId="3" applyFont="1" applyAlignment="1">
      <alignment horizontal="right"/>
    </xf>
    <xf numFmtId="164" fontId="18" fillId="5" borderId="2" xfId="3" applyNumberFormat="1" applyFont="1" applyFill="1" applyBorder="1" applyAlignment="1">
      <alignment horizontal="left"/>
    </xf>
    <xf numFmtId="0" fontId="18" fillId="5" borderId="2" xfId="3" applyFont="1" applyFill="1" applyBorder="1"/>
    <xf numFmtId="0" fontId="18" fillId="0" borderId="2" xfId="3" applyFont="1" applyBorder="1" applyAlignment="1">
      <alignment horizontal="center" vertical="center"/>
    </xf>
    <xf numFmtId="0" fontId="18" fillId="0" borderId="2" xfId="3" applyFont="1" applyBorder="1"/>
    <xf numFmtId="0" fontId="18" fillId="5" borderId="2" xfId="3" applyFont="1" applyFill="1" applyBorder="1" applyAlignment="1">
      <alignment horizontal="left"/>
    </xf>
    <xf numFmtId="0" fontId="18" fillId="5" borderId="2" xfId="3" applyFont="1" applyFill="1" applyBorder="1" applyAlignment="1">
      <alignment horizontal="left" vertical="center"/>
    </xf>
    <xf numFmtId="14" fontId="18" fillId="5" borderId="2" xfId="3" applyNumberFormat="1" applyFont="1" applyFill="1" applyBorder="1" applyAlignment="1">
      <alignment horizontal="left"/>
    </xf>
    <xf numFmtId="1" fontId="18" fillId="5" borderId="2" xfId="3" applyNumberFormat="1" applyFont="1" applyFill="1" applyBorder="1"/>
    <xf numFmtId="2" fontId="18" fillId="5" borderId="2" xfId="3" applyNumberFormat="1" applyFont="1" applyFill="1" applyBorder="1" applyAlignment="1">
      <alignment horizontal="center"/>
    </xf>
    <xf numFmtId="0" fontId="19" fillId="0" borderId="3" xfId="3" applyFont="1" applyBorder="1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left" vertical="top"/>
    </xf>
    <xf numFmtId="0" fontId="21" fillId="6" borderId="0" xfId="0" applyFont="1" applyFill="1" applyAlignment="1">
      <alignment horizontal="left"/>
    </xf>
    <xf numFmtId="0" fontId="23" fillId="0" borderId="0" xfId="5" applyFont="1"/>
    <xf numFmtId="0" fontId="22" fillId="0" borderId="0" xfId="5" applyAlignment="1">
      <alignment horizontal="right"/>
    </xf>
    <xf numFmtId="4" fontId="12" fillId="0" borderId="0" xfId="6" applyNumberFormat="1" applyFont="1" applyAlignment="1">
      <alignment horizontal="left"/>
    </xf>
    <xf numFmtId="0" fontId="24" fillId="0" borderId="0" xfId="6" applyFont="1" applyAlignment="1">
      <alignment horizontal="center"/>
    </xf>
    <xf numFmtId="0" fontId="25" fillId="0" borderId="0" xfId="6" applyFont="1" applyAlignment="1">
      <alignment vertical="center"/>
    </xf>
    <xf numFmtId="0" fontId="24" fillId="0" borderId="0" xfId="6" applyFont="1"/>
    <xf numFmtId="2" fontId="26" fillId="0" borderId="0" xfId="6" applyNumberFormat="1" applyFont="1" applyAlignment="1">
      <alignment horizontal="left"/>
    </xf>
    <xf numFmtId="0" fontId="22" fillId="0" borderId="0" xfId="5"/>
    <xf numFmtId="0" fontId="27" fillId="0" borderId="0" xfId="5" applyFont="1"/>
    <xf numFmtId="4" fontId="12" fillId="0" borderId="0" xfId="6" applyNumberFormat="1" applyFont="1" applyAlignment="1">
      <alignment horizontal="left" vertical="center"/>
    </xf>
    <xf numFmtId="0" fontId="26" fillId="0" borderId="0" xfId="6" applyFont="1" applyAlignment="1">
      <alignment horizontal="center"/>
    </xf>
    <xf numFmtId="0" fontId="26" fillId="0" borderId="0" xfId="6" applyFont="1"/>
    <xf numFmtId="166" fontId="28" fillId="0" borderId="4" xfId="7" applyNumberFormat="1" applyFont="1" applyBorder="1" applyAlignment="1">
      <alignment horizontal="left"/>
    </xf>
    <xf numFmtId="0" fontId="28" fillId="0" borderId="5" xfId="7" applyFont="1" applyBorder="1" applyAlignment="1">
      <alignment horizontal="left"/>
    </xf>
    <xf numFmtId="0" fontId="27" fillId="0" borderId="5" xfId="7" applyFont="1" applyBorder="1" applyAlignment="1">
      <alignment horizontal="left"/>
    </xf>
    <xf numFmtId="0" fontId="29" fillId="0" borderId="5" xfId="7" applyFont="1" applyBorder="1" applyAlignment="1">
      <alignment horizontal="left"/>
    </xf>
    <xf numFmtId="0" fontId="30" fillId="0" borderId="5" xfId="7" applyFont="1" applyBorder="1" applyAlignment="1">
      <alignment horizontal="left" wrapText="1" readingOrder="1"/>
    </xf>
    <xf numFmtId="0" fontId="29" fillId="0" borderId="5" xfId="7" applyFont="1" applyBorder="1" applyAlignment="1">
      <alignment horizontal="left" wrapText="1"/>
    </xf>
    <xf numFmtId="0" fontId="31" fillId="0" borderId="5" xfId="7" applyFont="1" applyBorder="1" applyAlignment="1">
      <alignment horizontal="left" wrapText="1"/>
    </xf>
    <xf numFmtId="17" fontId="32" fillId="0" borderId="5" xfId="7" quotePrefix="1" applyNumberFormat="1" applyFont="1" applyBorder="1" applyAlignment="1">
      <alignment horizontal="left"/>
    </xf>
    <xf numFmtId="0" fontId="26" fillId="0" borderId="5" xfId="7" applyFont="1" applyBorder="1" applyAlignment="1">
      <alignment horizontal="left"/>
    </xf>
    <xf numFmtId="49" fontId="33" fillId="0" borderId="6" xfId="7" quotePrefix="1" applyNumberFormat="1" applyFont="1" applyBorder="1" applyAlignment="1">
      <alignment horizontal="left"/>
    </xf>
    <xf numFmtId="0" fontId="23" fillId="0" borderId="0" xfId="0" applyFont="1"/>
    <xf numFmtId="166" fontId="28" fillId="0" borderId="7" xfId="7" applyNumberFormat="1" applyFont="1" applyBorder="1" applyAlignment="1">
      <alignment horizontal="left"/>
    </xf>
    <xf numFmtId="0" fontId="28" fillId="0" borderId="0" xfId="7" applyFont="1" applyAlignment="1">
      <alignment horizontal="left"/>
    </xf>
    <xf numFmtId="0" fontId="27" fillId="0" borderId="0" xfId="7" applyFont="1" applyAlignment="1">
      <alignment horizontal="left"/>
    </xf>
    <xf numFmtId="0" fontId="27" fillId="0" borderId="8" xfId="7" applyFont="1" applyBorder="1" applyAlignment="1">
      <alignment horizontal="left"/>
    </xf>
    <xf numFmtId="166" fontId="34" fillId="0" borderId="9" xfId="7" applyNumberFormat="1" applyFont="1" applyBorder="1" applyAlignment="1">
      <alignment horizontal="left"/>
    </xf>
    <xf numFmtId="0" fontId="27" fillId="0" borderId="10" xfId="7" applyFont="1" applyBorder="1" applyAlignment="1">
      <alignment horizontal="left"/>
    </xf>
    <xf numFmtId="0" fontId="27" fillId="0" borderId="11" xfId="7" applyFont="1" applyBorder="1" applyAlignment="1">
      <alignment horizontal="left"/>
    </xf>
    <xf numFmtId="0" fontId="37" fillId="0" borderId="0" xfId="0" applyFont="1"/>
    <xf numFmtId="0" fontId="18" fillId="0" borderId="0" xfId="0" applyFont="1" applyAlignment="1">
      <alignment horizontal="right"/>
    </xf>
    <xf numFmtId="0" fontId="39" fillId="0" borderId="0" xfId="9" applyFont="1"/>
    <xf numFmtId="0" fontId="5" fillId="0" borderId="0" xfId="14"/>
    <xf numFmtId="4" fontId="8" fillId="0" borderId="0" xfId="14" applyNumberFormat="1" applyFont="1"/>
    <xf numFmtId="0" fontId="9" fillId="0" borderId="0" xfId="14" applyFont="1" applyAlignment="1">
      <alignment vertical="center"/>
    </xf>
    <xf numFmtId="2" fontId="5" fillId="0" borderId="0" xfId="14" applyNumberFormat="1" applyAlignment="1">
      <alignment horizontal="left"/>
    </xf>
    <xf numFmtId="0" fontId="5" fillId="0" borderId="0" xfId="14" applyAlignment="1">
      <alignment horizontal="left"/>
    </xf>
    <xf numFmtId="43" fontId="5" fillId="0" borderId="0" xfId="15" applyFont="1" applyFill="1"/>
    <xf numFmtId="0" fontId="40" fillId="0" borderId="0" xfId="14" applyFont="1"/>
    <xf numFmtId="4" fontId="12" fillId="0" borderId="0" xfId="14" applyNumberFormat="1" applyFont="1" applyAlignment="1">
      <alignment horizontal="left" vertical="center"/>
    </xf>
    <xf numFmtId="0" fontId="26" fillId="0" borderId="0" xfId="9"/>
    <xf numFmtId="17" fontId="5" fillId="0" borderId="0" xfId="14" quotePrefix="1" applyNumberFormat="1"/>
    <xf numFmtId="17" fontId="40" fillId="0" borderId="0" xfId="14" quotePrefix="1" applyNumberFormat="1" applyFont="1"/>
    <xf numFmtId="0" fontId="41" fillId="7" borderId="14" xfId="14" applyFont="1" applyFill="1" applyBorder="1" applyAlignment="1">
      <alignment horizontal="center" wrapText="1"/>
    </xf>
    <xf numFmtId="0" fontId="42" fillId="7" borderId="14" xfId="9" applyFont="1" applyFill="1" applyBorder="1" applyAlignment="1">
      <alignment horizontal="left" wrapText="1"/>
    </xf>
    <xf numFmtId="43" fontId="42" fillId="7" borderId="14" xfId="15" applyFont="1" applyFill="1" applyBorder="1" applyAlignment="1">
      <alignment horizontal="left" wrapText="1"/>
    </xf>
    <xf numFmtId="0" fontId="42" fillId="7" borderId="14" xfId="9" applyFont="1" applyFill="1" applyBorder="1" applyAlignment="1">
      <alignment horizontal="center" wrapText="1"/>
    </xf>
    <xf numFmtId="0" fontId="42" fillId="7" borderId="0" xfId="9" applyFont="1" applyFill="1" applyAlignment="1">
      <alignment horizontal="left" wrapText="1"/>
    </xf>
    <xf numFmtId="0" fontId="41" fillId="7" borderId="14" xfId="9" applyFont="1" applyFill="1" applyBorder="1" applyAlignment="1">
      <alignment horizontal="left" wrapText="1"/>
    </xf>
    <xf numFmtId="0" fontId="19" fillId="0" borderId="0" xfId="14" applyFont="1" applyAlignment="1">
      <alignment horizontal="right"/>
    </xf>
    <xf numFmtId="0" fontId="19" fillId="0" borderId="10" xfId="14" applyFont="1" applyBorder="1" applyAlignment="1">
      <alignment horizontal="left"/>
    </xf>
    <xf numFmtId="0" fontId="19" fillId="0" borderId="16" xfId="14" applyFont="1" applyBorder="1" applyAlignment="1">
      <alignment horizontal="left"/>
    </xf>
    <xf numFmtId="0" fontId="19" fillId="0" borderId="16" xfId="14" applyFont="1" applyBorder="1"/>
    <xf numFmtId="0" fontId="19" fillId="0" borderId="10" xfId="14" applyFont="1" applyBorder="1" applyAlignment="1">
      <alignment horizontal="left" vertical="center"/>
    </xf>
    <xf numFmtId="14" fontId="19" fillId="0" borderId="15" xfId="14" applyNumberFormat="1" applyFont="1" applyBorder="1" applyAlignment="1">
      <alignment horizontal="left"/>
    </xf>
    <xf numFmtId="0" fontId="19" fillId="0" borderId="15" xfId="14" applyFont="1" applyBorder="1" applyAlignment="1">
      <alignment horizontal="left" vertical="center"/>
    </xf>
    <xf numFmtId="0" fontId="19" fillId="0" borderId="15" xfId="14" applyFont="1" applyBorder="1" applyAlignment="1">
      <alignment horizontal="left"/>
    </xf>
    <xf numFmtId="0" fontId="19" fillId="0" borderId="15" xfId="14" quotePrefix="1" applyFont="1" applyBorder="1" applyAlignment="1">
      <alignment horizontal="left"/>
    </xf>
    <xf numFmtId="14" fontId="19" fillId="0" borderId="15" xfId="14" applyNumberFormat="1" applyFont="1" applyBorder="1" applyAlignment="1">
      <alignment horizontal="left" vertical="center"/>
    </xf>
    <xf numFmtId="43" fontId="19" fillId="0" borderId="15" xfId="15" applyFont="1" applyBorder="1"/>
    <xf numFmtId="43" fontId="19" fillId="0" borderId="15" xfId="15" applyFont="1" applyBorder="1" applyAlignment="1">
      <alignment horizontal="left" vertical="center"/>
    </xf>
    <xf numFmtId="0" fontId="19" fillId="0" borderId="15" xfId="14" quotePrefix="1" applyFont="1" applyBorder="1" applyAlignment="1">
      <alignment horizontal="left" vertical="center"/>
    </xf>
    <xf numFmtId="0" fontId="43" fillId="0" borderId="0" xfId="0" applyFont="1" applyAlignment="1">
      <alignment vertical="center"/>
    </xf>
    <xf numFmtId="0" fontId="44" fillId="0" borderId="0" xfId="0" applyFont="1"/>
    <xf numFmtId="0" fontId="45" fillId="0" borderId="17" xfId="0" applyFont="1" applyBorder="1" applyAlignment="1">
      <alignment vertical="center"/>
    </xf>
    <xf numFmtId="0" fontId="16" fillId="0" borderId="0" xfId="0" quotePrefix="1" applyFont="1"/>
    <xf numFmtId="0" fontId="47" fillId="7" borderId="14" xfId="0" applyFont="1" applyFill="1" applyBorder="1" applyAlignment="1">
      <alignment horizontal="center" wrapText="1"/>
    </xf>
    <xf numFmtId="0" fontId="47" fillId="7" borderId="14" xfId="0" applyFont="1" applyFill="1" applyBorder="1" applyAlignment="1">
      <alignment wrapText="1"/>
    </xf>
    <xf numFmtId="0" fontId="47" fillId="7" borderId="14" xfId="0" applyFont="1" applyFill="1" applyBorder="1" applyAlignment="1">
      <alignment horizontal="center" vertical="center" wrapText="1"/>
    </xf>
    <xf numFmtId="0" fontId="47" fillId="7" borderId="18" xfId="0" applyFont="1" applyFill="1" applyBorder="1" applyAlignment="1">
      <alignment wrapText="1"/>
    </xf>
    <xf numFmtId="0" fontId="47" fillId="7" borderId="18" xfId="0" applyFont="1" applyFill="1" applyBorder="1" applyAlignment="1">
      <alignment horizontal="center" wrapText="1"/>
    </xf>
    <xf numFmtId="17" fontId="46" fillId="0" borderId="0" xfId="0" quotePrefix="1" applyNumberFormat="1" applyFont="1" applyAlignment="1">
      <alignment horizontal="left"/>
    </xf>
    <xf numFmtId="0" fontId="39" fillId="0" borderId="0" xfId="0" applyFont="1"/>
    <xf numFmtId="0" fontId="32" fillId="0" borderId="0" xfId="17" applyFont="1"/>
    <xf numFmtId="4" fontId="32" fillId="0" borderId="0" xfId="17" applyNumberFormat="1" applyFont="1"/>
    <xf numFmtId="0" fontId="27" fillId="0" borderId="0" xfId="17" applyFont="1"/>
    <xf numFmtId="0" fontId="26" fillId="0" borderId="0" xfId="17"/>
    <xf numFmtId="49" fontId="26" fillId="0" borderId="0" xfId="17" applyNumberFormat="1"/>
    <xf numFmtId="17" fontId="32" fillId="0" borderId="0" xfId="17" quotePrefix="1" applyNumberFormat="1" applyFont="1"/>
    <xf numFmtId="4" fontId="27" fillId="0" borderId="0" xfId="17" applyNumberFormat="1" applyFont="1"/>
    <xf numFmtId="0" fontId="39" fillId="0" borderId="0" xfId="17" applyFont="1"/>
    <xf numFmtId="4" fontId="8" fillId="0" borderId="0" xfId="17" applyNumberFormat="1" applyFont="1"/>
    <xf numFmtId="0" fontId="40" fillId="0" borderId="0" xfId="8" applyFont="1"/>
    <xf numFmtId="49" fontId="40" fillId="0" borderId="0" xfId="8" applyNumberFormat="1" applyFont="1"/>
    <xf numFmtId="0" fontId="9" fillId="0" borderId="0" xfId="17" applyFont="1" applyAlignment="1">
      <alignment vertical="center"/>
    </xf>
    <xf numFmtId="2" fontId="26" fillId="0" borderId="0" xfId="17" applyNumberFormat="1" applyAlignment="1">
      <alignment horizontal="left"/>
    </xf>
    <xf numFmtId="4" fontId="12" fillId="0" borderId="0" xfId="17" applyNumberFormat="1" applyFont="1" applyAlignment="1">
      <alignment horizontal="left" vertical="center"/>
    </xf>
    <xf numFmtId="0" fontId="41" fillId="7" borderId="14" xfId="18" applyFont="1" applyFill="1" applyBorder="1" applyAlignment="1">
      <alignment wrapText="1"/>
    </xf>
    <xf numFmtId="0" fontId="49" fillId="7" borderId="14" xfId="18" applyFont="1" applyFill="1" applyBorder="1" applyAlignment="1">
      <alignment wrapText="1"/>
    </xf>
    <xf numFmtId="49" fontId="41" fillId="7" borderId="14" xfId="18" applyNumberFormat="1" applyFont="1" applyFill="1" applyBorder="1" applyAlignment="1">
      <alignment wrapText="1"/>
    </xf>
    <xf numFmtId="2" fontId="0" fillId="0" borderId="0" xfId="0" applyNumberFormat="1"/>
    <xf numFmtId="0" fontId="51" fillId="7" borderId="1" xfId="8" applyFont="1" applyFill="1" applyBorder="1" applyAlignment="1">
      <alignment horizontal="center" wrapText="1"/>
    </xf>
    <xf numFmtId="0" fontId="52" fillId="7" borderId="1" xfId="0" applyFont="1" applyFill="1" applyBorder="1" applyAlignment="1">
      <alignment horizontal="center" vertical="center" wrapText="1"/>
    </xf>
    <xf numFmtId="0" fontId="52" fillId="7" borderId="1" xfId="0" applyFont="1" applyFill="1" applyBorder="1" applyAlignment="1">
      <alignment vertical="center" wrapText="1"/>
    </xf>
    <xf numFmtId="0" fontId="6" fillId="0" borderId="15" xfId="19" applyBorder="1" applyAlignment="1">
      <alignment horizontal="left" vertical="center"/>
    </xf>
    <xf numFmtId="0" fontId="0" fillId="0" borderId="0" xfId="14" applyFont="1"/>
    <xf numFmtId="0" fontId="53" fillId="0" borderId="0" xfId="0" applyFont="1" applyAlignment="1">
      <alignment horizontal="left"/>
    </xf>
    <xf numFmtId="4" fontId="54" fillId="0" borderId="0" xfId="0" applyNumberFormat="1" applyFont="1"/>
    <xf numFmtId="0" fontId="55" fillId="0" borderId="0" xfId="0" applyFont="1" applyAlignment="1">
      <alignment horizontal="left" vertical="center"/>
    </xf>
    <xf numFmtId="0" fontId="56" fillId="0" borderId="0" xfId="0" applyFont="1"/>
    <xf numFmtId="2" fontId="53" fillId="0" borderId="0" xfId="0" applyNumberFormat="1" applyFont="1" applyAlignment="1">
      <alignment horizontal="left"/>
    </xf>
    <xf numFmtId="0" fontId="53" fillId="0" borderId="0" xfId="0" applyFont="1" applyAlignment="1">
      <alignment horizontal="right"/>
    </xf>
    <xf numFmtId="0" fontId="57" fillId="0" borderId="0" xfId="0" applyFont="1"/>
    <xf numFmtId="49" fontId="57" fillId="0" borderId="0" xfId="0" applyNumberFormat="1" applyFont="1" applyAlignment="1">
      <alignment horizontal="left"/>
    </xf>
    <xf numFmtId="1" fontId="53" fillId="0" borderId="0" xfId="0" applyNumberFormat="1" applyFont="1"/>
    <xf numFmtId="2" fontId="58" fillId="0" borderId="0" xfId="0" applyNumberFormat="1" applyFont="1" applyAlignment="1">
      <alignment horizontal="right"/>
    </xf>
    <xf numFmtId="0" fontId="53" fillId="0" borderId="0" xfId="0" applyFont="1" applyAlignment="1">
      <alignment horizontal="center"/>
    </xf>
    <xf numFmtId="4" fontId="59" fillId="0" borderId="0" xfId="0" applyNumberFormat="1" applyFont="1" applyAlignment="1">
      <alignment horizontal="left" vertical="center"/>
    </xf>
    <xf numFmtId="0" fontId="55" fillId="0" borderId="0" xfId="0" applyFont="1" applyAlignment="1">
      <alignment horizontal="left"/>
    </xf>
    <xf numFmtId="49" fontId="53" fillId="0" borderId="0" xfId="0" applyNumberFormat="1" applyFont="1"/>
    <xf numFmtId="0" fontId="60" fillId="0" borderId="0" xfId="0" applyFont="1" applyAlignment="1">
      <alignment horizontal="left"/>
    </xf>
    <xf numFmtId="17" fontId="58" fillId="0" borderId="0" xfId="0" applyNumberFormat="1" applyFont="1" applyAlignment="1">
      <alignment horizontal="left"/>
    </xf>
    <xf numFmtId="0" fontId="61" fillId="3" borderId="19" xfId="0" applyFont="1" applyFill="1" applyBorder="1" applyAlignment="1">
      <alignment horizontal="left" vertical="center" wrapText="1"/>
    </xf>
    <xf numFmtId="1" fontId="61" fillId="3" borderId="19" xfId="0" applyNumberFormat="1" applyFont="1" applyFill="1" applyBorder="1" applyAlignment="1">
      <alignment horizontal="left" vertical="center" wrapText="1"/>
    </xf>
    <xf numFmtId="2" fontId="61" fillId="3" borderId="19" xfId="0" applyNumberFormat="1" applyFont="1" applyFill="1" applyBorder="1" applyAlignment="1">
      <alignment horizontal="left" vertical="center" wrapText="1"/>
    </xf>
    <xf numFmtId="0" fontId="61" fillId="3" borderId="20" xfId="0" applyFont="1" applyFill="1" applyBorder="1" applyAlignment="1">
      <alignment horizontal="left" vertical="center" wrapText="1"/>
    </xf>
    <xf numFmtId="0" fontId="61" fillId="3" borderId="21" xfId="0" applyFont="1" applyFill="1" applyBorder="1" applyAlignment="1">
      <alignment horizontal="left" vertical="center" wrapText="1"/>
    </xf>
    <xf numFmtId="14" fontId="62" fillId="9" borderId="22" xfId="0" applyNumberFormat="1" applyFont="1" applyFill="1" applyBorder="1" applyAlignment="1">
      <alignment horizontal="left" vertical="center"/>
    </xf>
    <xf numFmtId="49" fontId="62" fillId="9" borderId="22" xfId="0" applyNumberFormat="1" applyFont="1" applyFill="1" applyBorder="1" applyAlignment="1">
      <alignment horizontal="left" vertical="center"/>
    </xf>
    <xf numFmtId="0" fontId="62" fillId="9" borderId="22" xfId="0" applyFont="1" applyFill="1" applyBorder="1" applyAlignment="1">
      <alignment horizontal="left" vertical="center"/>
    </xf>
    <xf numFmtId="2" fontId="62" fillId="9" borderId="22" xfId="0" applyNumberFormat="1" applyFont="1" applyFill="1" applyBorder="1" applyAlignment="1">
      <alignment horizontal="left" vertical="center"/>
    </xf>
    <xf numFmtId="0" fontId="62" fillId="10" borderId="22" xfId="0" applyFont="1" applyFill="1" applyBorder="1" applyAlignment="1">
      <alignment horizontal="left" vertical="center"/>
    </xf>
    <xf numFmtId="0" fontId="50" fillId="5" borderId="15" xfId="0" applyFont="1" applyFill="1" applyBorder="1" applyAlignment="1">
      <alignment horizontal="center" vertical="center"/>
    </xf>
    <xf numFmtId="0" fontId="37" fillId="8" borderId="1" xfId="0" applyFont="1" applyFill="1" applyBorder="1" applyAlignment="1">
      <alignment vertical="center"/>
    </xf>
    <xf numFmtId="0" fontId="63" fillId="8" borderId="15" xfId="21" applyFont="1" applyFill="1" applyBorder="1" applyAlignment="1">
      <alignment horizontal="left"/>
    </xf>
    <xf numFmtId="0" fontId="38" fillId="8" borderId="0" xfId="9" applyFont="1" applyFill="1" applyAlignment="1">
      <alignment vertical="center"/>
    </xf>
    <xf numFmtId="14" fontId="38" fillId="8" borderId="2" xfId="10" applyNumberFormat="1" applyFont="1" applyFill="1" applyBorder="1" applyAlignment="1">
      <alignment vertical="center" wrapText="1"/>
    </xf>
    <xf numFmtId="14" fontId="38" fillId="8" borderId="2" xfId="10" applyNumberFormat="1" applyFont="1" applyFill="1" applyBorder="1" applyAlignment="1">
      <alignment horizontal="left" vertical="center" wrapText="1"/>
    </xf>
    <xf numFmtId="0" fontId="38" fillId="8" borderId="2" xfId="10" applyFont="1" applyFill="1" applyBorder="1" applyAlignment="1">
      <alignment horizontal="center" vertical="center" wrapText="1"/>
    </xf>
    <xf numFmtId="0" fontId="37" fillId="8" borderId="2" xfId="0" applyFont="1" applyFill="1" applyBorder="1" applyAlignment="1">
      <alignment horizontal="left" vertical="center" wrapText="1"/>
    </xf>
    <xf numFmtId="0" fontId="38" fillId="8" borderId="2" xfId="10" applyFont="1" applyFill="1" applyBorder="1" applyAlignment="1">
      <alignment horizontal="left" vertical="center" wrapText="1"/>
    </xf>
    <xf numFmtId="0" fontId="38" fillId="8" borderId="12" xfId="10" applyFont="1" applyFill="1" applyBorder="1" applyAlignment="1">
      <alignment vertical="center" wrapText="1"/>
    </xf>
    <xf numFmtId="0" fontId="38" fillId="8" borderId="2" xfId="10" quotePrefix="1" applyFont="1" applyFill="1" applyBorder="1" applyAlignment="1">
      <alignment horizontal="left" vertical="center" wrapText="1"/>
    </xf>
    <xf numFmtId="1" fontId="38" fillId="8" borderId="2" xfId="11" quotePrefix="1" applyNumberFormat="1" applyFont="1" applyFill="1" applyBorder="1" applyAlignment="1">
      <alignment horizontal="left" vertical="center"/>
    </xf>
    <xf numFmtId="43" fontId="38" fillId="8" borderId="2" xfId="12" applyFont="1" applyFill="1" applyBorder="1" applyAlignment="1">
      <alignment vertical="center"/>
    </xf>
    <xf numFmtId="43" fontId="6" fillId="8" borderId="13" xfId="19" applyNumberFormat="1" applyFill="1" applyBorder="1" applyAlignment="1">
      <alignment horizontal="left" vertical="center"/>
    </xf>
    <xf numFmtId="0" fontId="6" fillId="8" borderId="0" xfId="19" applyFill="1" applyAlignment="1">
      <alignment vertical="center"/>
    </xf>
    <xf numFmtId="0" fontId="37" fillId="8" borderId="0" xfId="0" applyFont="1" applyFill="1" applyAlignment="1">
      <alignment vertical="center"/>
    </xf>
    <xf numFmtId="43" fontId="0" fillId="0" borderId="0" xfId="0" applyNumberFormat="1"/>
    <xf numFmtId="0" fontId="18" fillId="8" borderId="2" xfId="3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0" fontId="18" fillId="8" borderId="2" xfId="3" applyFont="1" applyFill="1" applyBorder="1" applyAlignment="1">
      <alignment horizontal="left" vertical="center"/>
    </xf>
    <xf numFmtId="168" fontId="37" fillId="9" borderId="22" xfId="0" applyNumberFormat="1" applyFont="1" applyFill="1" applyBorder="1" applyAlignment="1">
      <alignment horizontal="left" vertical="center"/>
    </xf>
    <xf numFmtId="14" fontId="18" fillId="8" borderId="2" xfId="3" applyNumberFormat="1" applyFont="1" applyFill="1" applyBorder="1" applyAlignment="1">
      <alignment horizontal="center" vertical="center"/>
    </xf>
    <xf numFmtId="1" fontId="18" fillId="8" borderId="2" xfId="3" applyNumberFormat="1" applyFont="1" applyFill="1" applyBorder="1" applyAlignment="1">
      <alignment horizontal="left" vertical="center"/>
    </xf>
    <xf numFmtId="2" fontId="18" fillId="8" borderId="2" xfId="3" applyNumberFormat="1" applyFont="1" applyFill="1" applyBorder="1" applyAlignment="1">
      <alignment horizontal="center" vertical="center"/>
    </xf>
    <xf numFmtId="165" fontId="18" fillId="8" borderId="2" xfId="3" applyNumberFormat="1" applyFont="1" applyFill="1" applyBorder="1" applyAlignment="1">
      <alignment horizontal="center" vertical="center"/>
    </xf>
    <xf numFmtId="0" fontId="36" fillId="8" borderId="2" xfId="4" applyNumberFormat="1" applyFont="1" applyFill="1" applyBorder="1" applyAlignment="1">
      <alignment horizontal="center" vertical="center"/>
    </xf>
    <xf numFmtId="0" fontId="6" fillId="8" borderId="2" xfId="19" applyNumberFormat="1" applyFill="1" applyBorder="1" applyAlignment="1">
      <alignment horizontal="left" vertical="center"/>
    </xf>
    <xf numFmtId="0" fontId="6" fillId="10" borderId="22" xfId="19" applyFill="1" applyBorder="1" applyAlignment="1">
      <alignment horizontal="left" vertical="center"/>
    </xf>
    <xf numFmtId="0" fontId="4" fillId="0" borderId="0" xfId="0" applyFont="1"/>
    <xf numFmtId="0" fontId="64" fillId="8" borderId="0" xfId="10" applyFont="1" applyFill="1" applyAlignment="1">
      <alignment horizontal="left" vertical="center" wrapText="1"/>
    </xf>
    <xf numFmtId="0" fontId="4" fillId="0" borderId="0" xfId="0" applyFont="1" applyAlignment="1">
      <alignment horizontal="left"/>
    </xf>
    <xf numFmtId="1" fontId="18" fillId="5" borderId="2" xfId="3" applyNumberFormat="1" applyFont="1" applyFill="1" applyBorder="1" applyAlignment="1">
      <alignment horizontal="left"/>
    </xf>
    <xf numFmtId="49" fontId="3" fillId="8" borderId="1" xfId="0" applyNumberFormat="1" applyFont="1" applyFill="1" applyBorder="1" applyAlignment="1">
      <alignment horizontal="center"/>
    </xf>
    <xf numFmtId="49" fontId="38" fillId="8" borderId="2" xfId="12" quotePrefix="1" applyNumberFormat="1" applyFont="1" applyFill="1" applyBorder="1" applyAlignment="1">
      <alignment horizontal="left" vertical="center"/>
    </xf>
    <xf numFmtId="0" fontId="2" fillId="0" borderId="15" xfId="14" quotePrefix="1" applyFont="1" applyBorder="1" applyAlignment="1">
      <alignment horizontal="left" vertical="center"/>
    </xf>
    <xf numFmtId="0" fontId="19" fillId="0" borderId="1" xfId="14" applyFont="1" applyBorder="1" applyAlignment="1">
      <alignment horizontal="left" vertical="center"/>
    </xf>
    <xf numFmtId="14" fontId="19" fillId="0" borderId="1" xfId="14" applyNumberFormat="1" applyFont="1" applyBorder="1" applyAlignment="1">
      <alignment horizontal="left"/>
    </xf>
    <xf numFmtId="0" fontId="1" fillId="0" borderId="0" xfId="0" applyFont="1"/>
  </cellXfs>
  <cellStyles count="22">
    <cellStyle name="Hipervínculo" xfId="19" builtinId="8"/>
    <cellStyle name="Hipervínculo 2 5" xfId="13" xr:uid="{00000000-0005-0000-0000-000001000000}"/>
    <cellStyle name="Hipervínculo 6" xfId="4" xr:uid="{00000000-0005-0000-0000-000002000000}"/>
    <cellStyle name="Millares 10 15 9" xfId="12" xr:uid="{00000000-0005-0000-0000-000003000000}"/>
    <cellStyle name="Millares 10 19 37" xfId="15" xr:uid="{00000000-0005-0000-0000-000004000000}"/>
    <cellStyle name="Millares 39 2" xfId="11" xr:uid="{00000000-0005-0000-0000-000005000000}"/>
    <cellStyle name="Normal" xfId="0" builtinId="0"/>
    <cellStyle name="Normal 10 2" xfId="9" xr:uid="{00000000-0005-0000-0000-000007000000}"/>
    <cellStyle name="Normal 104" xfId="7" xr:uid="{00000000-0005-0000-0000-000008000000}"/>
    <cellStyle name="Normal 104 5" xfId="21" xr:uid="{00000000-0005-0000-0000-000009000000}"/>
    <cellStyle name="Normal 18" xfId="5" xr:uid="{00000000-0005-0000-0000-00000A000000}"/>
    <cellStyle name="Normal 2" xfId="17" xr:uid="{00000000-0005-0000-0000-00000B000000}"/>
    <cellStyle name="Normal 2 2 2" xfId="20" xr:uid="{00000000-0005-0000-0000-00000C000000}"/>
    <cellStyle name="Normal 2 2 2 2" xfId="16" xr:uid="{00000000-0005-0000-0000-00000D000000}"/>
    <cellStyle name="Normal 27" xfId="3" xr:uid="{00000000-0005-0000-0000-00000E000000}"/>
    <cellStyle name="Normal 30" xfId="18" xr:uid="{00000000-0005-0000-0000-00000F000000}"/>
    <cellStyle name="Normal 34 5 8" xfId="8" xr:uid="{00000000-0005-0000-0000-000010000000}"/>
    <cellStyle name="Normal 34 5 8 2 2" xfId="10" xr:uid="{00000000-0005-0000-0000-000011000000}"/>
    <cellStyle name="Normal 34 5 8 4 2" xfId="14" xr:uid="{00000000-0005-0000-0000-000012000000}"/>
    <cellStyle name="Normal 34 5 8 5" xfId="1" xr:uid="{00000000-0005-0000-0000-000013000000}"/>
    <cellStyle name="Normal 38 4 7" xfId="6" xr:uid="{00000000-0005-0000-0000-000014000000}"/>
    <cellStyle name="Normal 4 2" xfId="2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133350</xdr:rowOff>
    </xdr:from>
    <xdr:to>
      <xdr:col>1</xdr:col>
      <xdr:colOff>628650</xdr:colOff>
      <xdr:row>3</xdr:row>
      <xdr:rowOff>168384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F0B9567C-F8BB-4DD5-A55A-73D7494B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38471475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230443</xdr:colOff>
      <xdr:row>1</xdr:row>
      <xdr:rowOff>69134</xdr:rowOff>
    </xdr:from>
    <xdr:to>
      <xdr:col>1</xdr:col>
      <xdr:colOff>780861</xdr:colOff>
      <xdr:row>3</xdr:row>
      <xdr:rowOff>71754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540AE8-65E7-404E-9748-E3C6E8F8153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3843" y="3041201609"/>
          <a:ext cx="550418" cy="3836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57150</xdr:rowOff>
    </xdr:from>
    <xdr:to>
      <xdr:col>1</xdr:col>
      <xdr:colOff>666750</xdr:colOff>
      <xdr:row>3</xdr:row>
      <xdr:rowOff>92184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3CB4DED9-BD78-4DFB-B071-EA16D19A6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715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76200</xdr:rowOff>
    </xdr:from>
    <xdr:to>
      <xdr:col>1</xdr:col>
      <xdr:colOff>676275</xdr:colOff>
      <xdr:row>4</xdr:row>
      <xdr:rowOff>111234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DFEDF2DF-B860-4873-B623-C928EA1C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48640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121242</xdr:colOff>
      <xdr:row>2</xdr:row>
      <xdr:rowOff>114301</xdr:rowOff>
    </xdr:from>
    <xdr:to>
      <xdr:col>1</xdr:col>
      <xdr:colOff>654642</xdr:colOff>
      <xdr:row>4</xdr:row>
      <xdr:rowOff>156277</xdr:rowOff>
    </xdr:to>
    <xdr:pic>
      <xdr:nvPicPr>
        <xdr:cNvPr id="3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4B793AFA-A79F-48DA-8F38-BEC74D92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242" y="495301"/>
          <a:ext cx="533400" cy="42297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oscarchamba@hotmail.com" TargetMode="External"/><Relationship Id="rId18" Type="http://schemas.openxmlformats.org/officeDocument/2006/relationships/hyperlink" Target="mailto:carmen344@msn.com" TargetMode="External"/><Relationship Id="rId26" Type="http://schemas.openxmlformats.org/officeDocument/2006/relationships/hyperlink" Target="mailto:eugeniabeatriz1780@gmail.com" TargetMode="External"/><Relationship Id="rId39" Type="http://schemas.openxmlformats.org/officeDocument/2006/relationships/hyperlink" Target="mailto:hherreras80@hotmail.com" TargetMode="External"/><Relationship Id="rId21" Type="http://schemas.openxmlformats.org/officeDocument/2006/relationships/hyperlink" Target="mailto:mzcpublicidad@hotmail.com" TargetMode="External"/><Relationship Id="rId34" Type="http://schemas.openxmlformats.org/officeDocument/2006/relationships/hyperlink" Target="mailto:isamrezl@gmail.com" TargetMode="External"/><Relationship Id="rId42" Type="http://schemas.openxmlformats.org/officeDocument/2006/relationships/hyperlink" Target="mailto:freddyanaluc11@gmail.com" TargetMode="External"/><Relationship Id="rId47" Type="http://schemas.openxmlformats.org/officeDocument/2006/relationships/hyperlink" Target="mailto:gustavoqr2810@gmail.com" TargetMode="External"/><Relationship Id="rId50" Type="http://schemas.openxmlformats.org/officeDocument/2006/relationships/hyperlink" Target="mailto:diego.espa@outlook.es" TargetMode="External"/><Relationship Id="rId55" Type="http://schemas.openxmlformats.org/officeDocument/2006/relationships/hyperlink" Target="mailto:genaroorellana@hotmail.com" TargetMode="External"/><Relationship Id="rId7" Type="http://schemas.openxmlformats.org/officeDocument/2006/relationships/hyperlink" Target="mailto:merysarmiento274@gmail.com" TargetMode="External"/><Relationship Id="rId2" Type="http://schemas.openxmlformats.org/officeDocument/2006/relationships/hyperlink" Target="mailto:jakelinnecordova@hotmail.com" TargetMode="External"/><Relationship Id="rId16" Type="http://schemas.openxmlformats.org/officeDocument/2006/relationships/hyperlink" Target="mailto:prismendez2@gmail.com" TargetMode="External"/><Relationship Id="rId29" Type="http://schemas.openxmlformats.org/officeDocument/2006/relationships/hyperlink" Target="mailto:paulcobos@gmail.com" TargetMode="External"/><Relationship Id="rId11" Type="http://schemas.openxmlformats.org/officeDocument/2006/relationships/hyperlink" Target="mailto:cat80@outlook.com" TargetMode="External"/><Relationship Id="rId24" Type="http://schemas.openxmlformats.org/officeDocument/2006/relationships/hyperlink" Target="mailto:henrypolotapia@hotmail.com" TargetMode="External"/><Relationship Id="rId32" Type="http://schemas.openxmlformats.org/officeDocument/2006/relationships/hyperlink" Target="mailto:isamrezl@gmail.com" TargetMode="External"/><Relationship Id="rId37" Type="http://schemas.openxmlformats.org/officeDocument/2006/relationships/hyperlink" Target="mailto:hherreras80@hotmail.com" TargetMode="External"/><Relationship Id="rId40" Type="http://schemas.openxmlformats.org/officeDocument/2006/relationships/hyperlink" Target="mailto:freddyanaluc11@gmail.com" TargetMode="External"/><Relationship Id="rId45" Type="http://schemas.openxmlformats.org/officeDocument/2006/relationships/hyperlink" Target="mailto:freddyanaluc11@gmail.com" TargetMode="External"/><Relationship Id="rId53" Type="http://schemas.openxmlformats.org/officeDocument/2006/relationships/hyperlink" Target="mailto:fernandomarin33@outlook.com" TargetMode="External"/><Relationship Id="rId58" Type="http://schemas.openxmlformats.org/officeDocument/2006/relationships/hyperlink" Target="mailto:tantandrade@gmail.com" TargetMode="External"/><Relationship Id="rId5" Type="http://schemas.openxmlformats.org/officeDocument/2006/relationships/hyperlink" Target="mailto:nixandra.alvarez@aldeasinfantiles.org.ec" TargetMode="External"/><Relationship Id="rId19" Type="http://schemas.openxmlformats.org/officeDocument/2006/relationships/hyperlink" Target="mailto:carmen344@msn.com" TargetMode="External"/><Relationship Id="rId4" Type="http://schemas.openxmlformats.org/officeDocument/2006/relationships/hyperlink" Target="mailto:nixandra.alvarez@aldeasinfantiles.org.ec" TargetMode="External"/><Relationship Id="rId9" Type="http://schemas.openxmlformats.org/officeDocument/2006/relationships/hyperlink" Target="mailto:gabytorres29@hotmail.com" TargetMode="External"/><Relationship Id="rId14" Type="http://schemas.openxmlformats.org/officeDocument/2006/relationships/hyperlink" Target="mailto:oscarchamba@hotmail.com" TargetMode="External"/><Relationship Id="rId22" Type="http://schemas.openxmlformats.org/officeDocument/2006/relationships/hyperlink" Target="mailto:henrypolotapia@hotmail.com" TargetMode="External"/><Relationship Id="rId27" Type="http://schemas.openxmlformats.org/officeDocument/2006/relationships/hyperlink" Target="mailto:hherreras80@hotmail.com" TargetMode="External"/><Relationship Id="rId30" Type="http://schemas.openxmlformats.org/officeDocument/2006/relationships/hyperlink" Target="mailto:paulcobos@gmail.com" TargetMode="External"/><Relationship Id="rId35" Type="http://schemas.openxmlformats.org/officeDocument/2006/relationships/hyperlink" Target="mailto:isamrezl@gmail.com" TargetMode="External"/><Relationship Id="rId43" Type="http://schemas.openxmlformats.org/officeDocument/2006/relationships/hyperlink" Target="mailto:gabrielaq@1988@gmail.com" TargetMode="External"/><Relationship Id="rId48" Type="http://schemas.openxmlformats.org/officeDocument/2006/relationships/hyperlink" Target="mailto:gustavoqr2810@gmail.com" TargetMode="External"/><Relationship Id="rId56" Type="http://schemas.openxmlformats.org/officeDocument/2006/relationships/hyperlink" Target="mailto:genaroorellana@hotmail.com" TargetMode="External"/><Relationship Id="rId8" Type="http://schemas.openxmlformats.org/officeDocument/2006/relationships/hyperlink" Target="mailto:gabytorres29@hotmail.com" TargetMode="External"/><Relationship Id="rId51" Type="http://schemas.openxmlformats.org/officeDocument/2006/relationships/hyperlink" Target="mailto:diego.espa@outlook.es" TargetMode="External"/><Relationship Id="rId3" Type="http://schemas.openxmlformats.org/officeDocument/2006/relationships/hyperlink" Target="mailto:jakelinnecordova@hotmail.com" TargetMode="External"/><Relationship Id="rId12" Type="http://schemas.openxmlformats.org/officeDocument/2006/relationships/hyperlink" Target="mailto:cat80@outlook.com" TargetMode="External"/><Relationship Id="rId17" Type="http://schemas.openxmlformats.org/officeDocument/2006/relationships/hyperlink" Target="mailto:prismendez2@gmail.com" TargetMode="External"/><Relationship Id="rId25" Type="http://schemas.openxmlformats.org/officeDocument/2006/relationships/hyperlink" Target="mailto:eugeniabeatriz1780@gmail.com" TargetMode="External"/><Relationship Id="rId33" Type="http://schemas.openxmlformats.org/officeDocument/2006/relationships/hyperlink" Target="mailto:isamrezl@gmail.com" TargetMode="External"/><Relationship Id="rId38" Type="http://schemas.openxmlformats.org/officeDocument/2006/relationships/hyperlink" Target="mailto:hherreras80@hotmail.com" TargetMode="External"/><Relationship Id="rId46" Type="http://schemas.openxmlformats.org/officeDocument/2006/relationships/hyperlink" Target="mailto:freddyanaluc11@gmail.com" TargetMode="External"/><Relationship Id="rId59" Type="http://schemas.openxmlformats.org/officeDocument/2006/relationships/printerSettings" Target="../printerSettings/printerSettings1.bin"/><Relationship Id="rId20" Type="http://schemas.openxmlformats.org/officeDocument/2006/relationships/hyperlink" Target="mailto:mzcpublicidad@hotmail.com" TargetMode="External"/><Relationship Id="rId41" Type="http://schemas.openxmlformats.org/officeDocument/2006/relationships/hyperlink" Target="mailto:freddyanaluc11@gmail.com" TargetMode="External"/><Relationship Id="rId54" Type="http://schemas.openxmlformats.org/officeDocument/2006/relationships/hyperlink" Target="mailto:fernandomarin33@outlook.com" TargetMode="External"/><Relationship Id="rId1" Type="http://schemas.openxmlformats.org/officeDocument/2006/relationships/hyperlink" Target="mailto:jakelinnecordova@hotmail.com" TargetMode="External"/><Relationship Id="rId6" Type="http://schemas.openxmlformats.org/officeDocument/2006/relationships/hyperlink" Target="mailto:merysarmiento274@gmail.com" TargetMode="External"/><Relationship Id="rId15" Type="http://schemas.openxmlformats.org/officeDocument/2006/relationships/hyperlink" Target="mailto:prismendez2@gmail.com" TargetMode="External"/><Relationship Id="rId23" Type="http://schemas.openxmlformats.org/officeDocument/2006/relationships/hyperlink" Target="mailto:henrypolotapia@hotmail.com" TargetMode="External"/><Relationship Id="rId28" Type="http://schemas.openxmlformats.org/officeDocument/2006/relationships/hyperlink" Target="mailto:hherreras80@hotmail.com" TargetMode="External"/><Relationship Id="rId36" Type="http://schemas.openxmlformats.org/officeDocument/2006/relationships/hyperlink" Target="mailto:hherreras80@hotmail.com" TargetMode="External"/><Relationship Id="rId49" Type="http://schemas.openxmlformats.org/officeDocument/2006/relationships/hyperlink" Target="mailto:gustavoqr2810@gmail.com" TargetMode="External"/><Relationship Id="rId57" Type="http://schemas.openxmlformats.org/officeDocument/2006/relationships/hyperlink" Target="mailto:tantandrade@gmail.com" TargetMode="External"/><Relationship Id="rId10" Type="http://schemas.openxmlformats.org/officeDocument/2006/relationships/hyperlink" Target="mailto:gabytorres29@hotmail.com" TargetMode="External"/><Relationship Id="rId31" Type="http://schemas.openxmlformats.org/officeDocument/2006/relationships/hyperlink" Target="mailto:isamrezl@gmail.com" TargetMode="External"/><Relationship Id="rId44" Type="http://schemas.openxmlformats.org/officeDocument/2006/relationships/hyperlink" Target="mailto:gabrielaq@1988@gmail.com" TargetMode="External"/><Relationship Id="rId52" Type="http://schemas.openxmlformats.org/officeDocument/2006/relationships/hyperlink" Target="mailto:fernandomarin33@outlook.com" TargetMode="External"/><Relationship Id="rId60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victorpoma203@gmail.com" TargetMode="External"/><Relationship Id="rId13" Type="http://schemas.openxmlformats.org/officeDocument/2006/relationships/drawing" Target="../drawings/drawing2.xml"/><Relationship Id="rId3" Type="http://schemas.openxmlformats.org/officeDocument/2006/relationships/hyperlink" Target="mailto:fabaus5@hotmail.com" TargetMode="External"/><Relationship Id="rId7" Type="http://schemas.openxmlformats.org/officeDocument/2006/relationships/hyperlink" Target="mailto:lorena@sensorvital.com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mailto:lorena.andrade.b@icloud.com" TargetMode="External"/><Relationship Id="rId1" Type="http://schemas.openxmlformats.org/officeDocument/2006/relationships/hyperlink" Target="mailto:malvarado22@hotmail.com" TargetMode="External"/><Relationship Id="rId6" Type="http://schemas.openxmlformats.org/officeDocument/2006/relationships/hyperlink" Target="mailto:iariasvelez@hotmail.com" TargetMode="External"/><Relationship Id="rId11" Type="http://schemas.openxmlformats.org/officeDocument/2006/relationships/hyperlink" Target="mailto:emagamaru@outlook.com" TargetMode="External"/><Relationship Id="rId5" Type="http://schemas.openxmlformats.org/officeDocument/2006/relationships/hyperlink" Target="mailto:andresmarquez73@gmail.com" TargetMode="External"/><Relationship Id="rId10" Type="http://schemas.openxmlformats.org/officeDocument/2006/relationships/hyperlink" Target="mailto:paoeliza@hotmail.com" TargetMode="External"/><Relationship Id="rId4" Type="http://schemas.openxmlformats.org/officeDocument/2006/relationships/hyperlink" Target="mailto:jvasesorialegal@gmail.com" TargetMode="External"/><Relationship Id="rId9" Type="http://schemas.openxmlformats.org/officeDocument/2006/relationships/hyperlink" Target="mailto:bradleylaye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hyperlink" Target="mailto:freddyn@kywi.com.ec" TargetMode="External"/><Relationship Id="rId7" Type="http://schemas.openxmlformats.org/officeDocument/2006/relationships/hyperlink" Target="mailto:cecicuesta10-1985@hotmail.com" TargetMode="External"/><Relationship Id="rId2" Type="http://schemas.openxmlformats.org/officeDocument/2006/relationships/hyperlink" Target="mailto:contabilidad@comercialsolis.com.ec" TargetMode="External"/><Relationship Id="rId1" Type="http://schemas.openxmlformats.org/officeDocument/2006/relationships/hyperlink" Target="mailto:contabilidad@comercialsolis.com.ec" TargetMode="External"/><Relationship Id="rId6" Type="http://schemas.openxmlformats.org/officeDocument/2006/relationships/hyperlink" Target="mailto:lourdesespinoza6@hotmail.com" TargetMode="External"/><Relationship Id="rId5" Type="http://schemas.openxmlformats.org/officeDocument/2006/relationships/hyperlink" Target="mailto:cjchp181086@hotmail.com" TargetMode="External"/><Relationship Id="rId4" Type="http://schemas.openxmlformats.org/officeDocument/2006/relationships/hyperlink" Target="mailto:freddyn@kywi.com.e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marc75@live.com" TargetMode="External"/><Relationship Id="rId13" Type="http://schemas.openxmlformats.org/officeDocument/2006/relationships/hyperlink" Target="mailto:gorgeleon2016@gmail.com" TargetMode="External"/><Relationship Id="rId18" Type="http://schemas.openxmlformats.org/officeDocument/2006/relationships/hyperlink" Target="mailto:ivanmauricioz@hotmail.com" TargetMode="External"/><Relationship Id="rId26" Type="http://schemas.openxmlformats.org/officeDocument/2006/relationships/hyperlink" Target="mailto:osuf_09@hotmail.com" TargetMode="External"/><Relationship Id="rId3" Type="http://schemas.openxmlformats.org/officeDocument/2006/relationships/hyperlink" Target="mailto:fer.mosesp@28@gmail.com" TargetMode="External"/><Relationship Id="rId21" Type="http://schemas.openxmlformats.org/officeDocument/2006/relationships/hyperlink" Target="mailto:mataellebelen@gmail.com" TargetMode="External"/><Relationship Id="rId7" Type="http://schemas.openxmlformats.org/officeDocument/2006/relationships/hyperlink" Target="mailto:maggibaneracam@gmail.com" TargetMode="External"/><Relationship Id="rId12" Type="http://schemas.openxmlformats.org/officeDocument/2006/relationships/hyperlink" Target="mailto:fbravo323@gmail.com" TargetMode="External"/><Relationship Id="rId17" Type="http://schemas.openxmlformats.org/officeDocument/2006/relationships/hyperlink" Target="mailto:gabrielariossomas@gmail.com" TargetMode="External"/><Relationship Id="rId25" Type="http://schemas.openxmlformats.org/officeDocument/2006/relationships/hyperlink" Target="mailto:jaime28@gmail.com" TargetMode="External"/><Relationship Id="rId2" Type="http://schemas.openxmlformats.org/officeDocument/2006/relationships/hyperlink" Target="mailto:vicving1964@gmail.com" TargetMode="External"/><Relationship Id="rId16" Type="http://schemas.openxmlformats.org/officeDocument/2006/relationships/hyperlink" Target="mailto:karinasaavedra2095@gmail.com" TargetMode="External"/><Relationship Id="rId20" Type="http://schemas.openxmlformats.org/officeDocument/2006/relationships/hyperlink" Target="mailto:carasarmi4567@gmail.com" TargetMode="External"/><Relationship Id="rId1" Type="http://schemas.openxmlformats.org/officeDocument/2006/relationships/hyperlink" Target="mailto:scalle68@hotmail.com" TargetMode="External"/><Relationship Id="rId6" Type="http://schemas.openxmlformats.org/officeDocument/2006/relationships/hyperlink" Target="mailto:eavinti@gmail.com" TargetMode="External"/><Relationship Id="rId11" Type="http://schemas.openxmlformats.org/officeDocument/2006/relationships/hyperlink" Target="mailto:yadira.piedra@ucuenca.edu.ec" TargetMode="External"/><Relationship Id="rId24" Type="http://schemas.openxmlformats.org/officeDocument/2006/relationships/hyperlink" Target="mailto:frankixd1991@gmail.com" TargetMode="External"/><Relationship Id="rId5" Type="http://schemas.openxmlformats.org/officeDocument/2006/relationships/hyperlink" Target="mailto:augusta.vintimillac@gmail.com" TargetMode="External"/><Relationship Id="rId15" Type="http://schemas.openxmlformats.org/officeDocument/2006/relationships/hyperlink" Target="mailto:marcoch.18@hotmail.com" TargetMode="External"/><Relationship Id="rId23" Type="http://schemas.openxmlformats.org/officeDocument/2006/relationships/hyperlink" Target="mailto:cnauta@etapa.net.ec" TargetMode="External"/><Relationship Id="rId28" Type="http://schemas.openxmlformats.org/officeDocument/2006/relationships/printerSettings" Target="../printerSettings/printerSettings3.bin"/><Relationship Id="rId10" Type="http://schemas.openxmlformats.org/officeDocument/2006/relationships/hyperlink" Target="mailto:faustogutierrezc@gmail.com" TargetMode="External"/><Relationship Id="rId19" Type="http://schemas.openxmlformats.org/officeDocument/2006/relationships/hyperlink" Target="mailto:rocinaranjo197116@gmail.com" TargetMode="External"/><Relationship Id="rId4" Type="http://schemas.openxmlformats.org/officeDocument/2006/relationships/hyperlink" Target="mailto:ckymi@live.com" TargetMode="External"/><Relationship Id="rId9" Type="http://schemas.openxmlformats.org/officeDocument/2006/relationships/hyperlink" Target="mailto:amandatenorioromero@hotmail.com" TargetMode="External"/><Relationship Id="rId14" Type="http://schemas.openxmlformats.org/officeDocument/2006/relationships/hyperlink" Target="mailto:ventas@iglaceec.com" TargetMode="External"/><Relationship Id="rId22" Type="http://schemas.openxmlformats.org/officeDocument/2006/relationships/hyperlink" Target="mailto:crisharoq@hotmail.com" TargetMode="External"/><Relationship Id="rId27" Type="http://schemas.openxmlformats.org/officeDocument/2006/relationships/hyperlink" Target="mailto:gelorg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73"/>
  <sheetViews>
    <sheetView tabSelected="1" topLeftCell="A3" zoomScale="110" zoomScaleNormal="110" workbookViewId="0">
      <selection activeCell="O64" sqref="O64"/>
    </sheetView>
  </sheetViews>
  <sheetFormatPr baseColWidth="10" defaultRowHeight="15"/>
  <cols>
    <col min="1" max="1" width="3.5" customWidth="1"/>
    <col min="2" max="2" width="12.6640625" customWidth="1"/>
    <col min="3" max="3" width="19" customWidth="1"/>
    <col min="4" max="4" width="18.5" customWidth="1"/>
    <col min="5" max="5" width="13.33203125" customWidth="1"/>
    <col min="6" max="6" width="29.1640625" customWidth="1"/>
    <col min="7" max="7" width="15.83203125" customWidth="1"/>
    <col min="8" max="8" width="9.1640625" customWidth="1"/>
    <col min="11" max="11" width="14.5" customWidth="1"/>
    <col min="12" max="12" width="21" customWidth="1"/>
    <col min="13" max="13" width="32.5" customWidth="1"/>
    <col min="14" max="14" width="14.1640625" bestFit="1" customWidth="1"/>
    <col min="15" max="15" width="11.6640625" bestFit="1" customWidth="1"/>
    <col min="16" max="16" width="23.1640625" customWidth="1"/>
    <col min="18" max="18" width="7" customWidth="1"/>
    <col min="19" max="19" width="18.83203125" customWidth="1"/>
    <col min="20" max="20" width="12.6640625" customWidth="1"/>
    <col min="21" max="21" width="31.6640625" customWidth="1"/>
  </cols>
  <sheetData>
    <row r="3" spans="1:21">
      <c r="A3" s="1"/>
      <c r="C3" s="2" t="s">
        <v>0</v>
      </c>
      <c r="E3" s="3"/>
      <c r="G3" s="4"/>
      <c r="H3" s="5"/>
      <c r="I3" s="6"/>
      <c r="J3" s="7"/>
      <c r="K3" s="5"/>
      <c r="L3" s="8"/>
      <c r="M3" s="8"/>
      <c r="N3" s="5"/>
      <c r="O3" s="9"/>
    </row>
    <row r="4" spans="1:21" ht="16">
      <c r="A4" s="1"/>
      <c r="C4" s="10" t="s">
        <v>1</v>
      </c>
      <c r="E4" s="5"/>
      <c r="G4" s="11"/>
      <c r="H4" s="12"/>
      <c r="I4" s="13"/>
      <c r="J4" s="14" t="s">
        <v>23</v>
      </c>
      <c r="K4" s="12"/>
      <c r="L4" s="15"/>
      <c r="M4" s="16"/>
      <c r="N4" s="5" t="s">
        <v>87</v>
      </c>
      <c r="O4" s="9"/>
      <c r="P4" s="17"/>
    </row>
    <row r="5" spans="1:21" s="23" customFormat="1" ht="45">
      <c r="A5" s="18"/>
      <c r="B5" s="19" t="s">
        <v>2</v>
      </c>
      <c r="C5" s="19" t="s">
        <v>3</v>
      </c>
      <c r="D5" s="19" t="s">
        <v>4</v>
      </c>
      <c r="E5" s="19" t="s">
        <v>5</v>
      </c>
      <c r="F5" s="20" t="s">
        <v>6</v>
      </c>
      <c r="G5" s="19" t="s">
        <v>7</v>
      </c>
      <c r="H5" s="19" t="s">
        <v>8</v>
      </c>
      <c r="I5" s="19" t="s">
        <v>9</v>
      </c>
      <c r="J5" s="19" t="s">
        <v>10</v>
      </c>
      <c r="K5" s="19" t="s">
        <v>11</v>
      </c>
      <c r="L5" s="21" t="s">
        <v>12</v>
      </c>
      <c r="M5" s="21" t="s">
        <v>13</v>
      </c>
      <c r="N5" s="19" t="s">
        <v>14</v>
      </c>
      <c r="O5" s="22" t="s">
        <v>15</v>
      </c>
      <c r="P5" s="19" t="s">
        <v>16</v>
      </c>
      <c r="Q5" s="19" t="s">
        <v>17</v>
      </c>
      <c r="R5" s="19" t="s">
        <v>18</v>
      </c>
      <c r="S5" s="19" t="s">
        <v>19</v>
      </c>
      <c r="T5" s="19" t="s">
        <v>20</v>
      </c>
      <c r="U5" s="19" t="s">
        <v>21</v>
      </c>
    </row>
    <row r="6" spans="1:21" ht="32.25" customHeight="1">
      <c r="A6">
        <v>1</v>
      </c>
      <c r="B6" s="183">
        <v>45757</v>
      </c>
      <c r="C6" s="182" t="s">
        <v>121</v>
      </c>
      <c r="D6" s="182" t="s">
        <v>122</v>
      </c>
      <c r="E6" s="179">
        <v>112580058</v>
      </c>
      <c r="F6" s="182" t="s">
        <v>123</v>
      </c>
      <c r="G6" s="182" t="s">
        <v>126</v>
      </c>
      <c r="H6" s="179" t="s">
        <v>42</v>
      </c>
      <c r="I6" s="179" t="s">
        <v>74</v>
      </c>
      <c r="J6" s="179" t="s">
        <v>75</v>
      </c>
      <c r="K6" s="184">
        <v>45768</v>
      </c>
      <c r="L6" s="185" t="s">
        <v>129</v>
      </c>
      <c r="M6" s="185" t="s">
        <v>130</v>
      </c>
      <c r="N6" s="182">
        <v>34731343223</v>
      </c>
      <c r="O6" s="186">
        <v>15</v>
      </c>
      <c r="P6" s="179" t="s">
        <v>22</v>
      </c>
      <c r="Q6" s="179" t="s">
        <v>74</v>
      </c>
      <c r="R6" s="187"/>
      <c r="S6" s="182" t="str">
        <f>D6</f>
        <v>002-201-000000815</v>
      </c>
      <c r="T6" s="188">
        <v>104974589</v>
      </c>
      <c r="U6" s="189" t="s">
        <v>131</v>
      </c>
    </row>
    <row r="7" spans="1:21" ht="32.25" customHeight="1">
      <c r="A7">
        <v>2</v>
      </c>
      <c r="B7" s="183">
        <v>45757</v>
      </c>
      <c r="C7" s="182" t="s">
        <v>121</v>
      </c>
      <c r="D7" s="182" t="s">
        <v>122</v>
      </c>
      <c r="E7" s="179">
        <v>111000078</v>
      </c>
      <c r="F7" s="182" t="s">
        <v>124</v>
      </c>
      <c r="G7" s="182" t="s">
        <v>127</v>
      </c>
      <c r="H7" s="179" t="s">
        <v>42</v>
      </c>
      <c r="I7" s="179" t="s">
        <v>74</v>
      </c>
      <c r="J7" s="179" t="s">
        <v>75</v>
      </c>
      <c r="K7" s="184">
        <v>45768</v>
      </c>
      <c r="L7" s="185" t="s">
        <v>129</v>
      </c>
      <c r="M7" s="185" t="s">
        <v>130</v>
      </c>
      <c r="N7" s="182">
        <v>34731343223</v>
      </c>
      <c r="O7" s="186">
        <v>15</v>
      </c>
      <c r="P7" s="179" t="s">
        <v>22</v>
      </c>
      <c r="Q7" s="179" t="s">
        <v>74</v>
      </c>
      <c r="R7" s="187"/>
      <c r="S7" s="182" t="str">
        <f t="shared" ref="S7:S60" si="0">D7</f>
        <v>002-201-000000815</v>
      </c>
      <c r="T7" s="188">
        <v>104974589</v>
      </c>
      <c r="U7" s="189" t="s">
        <v>131</v>
      </c>
    </row>
    <row r="8" spans="1:21" ht="32.25" customHeight="1">
      <c r="A8">
        <v>3</v>
      </c>
      <c r="B8" s="183">
        <v>45757</v>
      </c>
      <c r="C8" s="182" t="s">
        <v>121</v>
      </c>
      <c r="D8" s="182" t="s">
        <v>199</v>
      </c>
      <c r="E8" s="179">
        <v>40590835</v>
      </c>
      <c r="F8" s="182" t="s">
        <v>125</v>
      </c>
      <c r="G8" s="182" t="s">
        <v>128</v>
      </c>
      <c r="H8" s="179" t="s">
        <v>42</v>
      </c>
      <c r="I8" s="179" t="s">
        <v>74</v>
      </c>
      <c r="J8" s="179" t="s">
        <v>75</v>
      </c>
      <c r="K8" s="184">
        <v>45768</v>
      </c>
      <c r="L8" s="185" t="s">
        <v>129</v>
      </c>
      <c r="M8" s="185" t="s">
        <v>130</v>
      </c>
      <c r="N8" s="182">
        <v>34731343223</v>
      </c>
      <c r="O8" s="186">
        <v>15</v>
      </c>
      <c r="P8" s="179" t="s">
        <v>22</v>
      </c>
      <c r="Q8" s="179" t="s">
        <v>74</v>
      </c>
      <c r="R8" s="187"/>
      <c r="S8" s="182" t="str">
        <f t="shared" si="0"/>
        <v>002-201-000000811</v>
      </c>
      <c r="T8" s="188">
        <v>104974589</v>
      </c>
      <c r="U8" s="189" t="s">
        <v>131</v>
      </c>
    </row>
    <row r="9" spans="1:21" ht="32.25" customHeight="1">
      <c r="A9">
        <v>4</v>
      </c>
      <c r="B9" s="183">
        <v>45755</v>
      </c>
      <c r="C9" s="182" t="s">
        <v>140</v>
      </c>
      <c r="D9" s="182" t="s">
        <v>132</v>
      </c>
      <c r="E9" s="179">
        <v>112580017</v>
      </c>
      <c r="F9" s="182" t="s">
        <v>133</v>
      </c>
      <c r="G9" s="182" t="s">
        <v>135</v>
      </c>
      <c r="H9" s="179" t="s">
        <v>42</v>
      </c>
      <c r="I9" s="179" t="s">
        <v>74</v>
      </c>
      <c r="J9" s="179" t="s">
        <v>75</v>
      </c>
      <c r="K9" s="184">
        <v>45768</v>
      </c>
      <c r="L9" s="185" t="s">
        <v>137</v>
      </c>
      <c r="M9" s="185" t="s">
        <v>138</v>
      </c>
      <c r="N9" s="182">
        <v>988540660</v>
      </c>
      <c r="O9" s="186">
        <v>20</v>
      </c>
      <c r="P9" s="179" t="s">
        <v>22</v>
      </c>
      <c r="Q9" s="179" t="s">
        <v>74</v>
      </c>
      <c r="R9" s="187"/>
      <c r="S9" s="182" t="str">
        <f t="shared" si="0"/>
        <v>043-902-000045473</v>
      </c>
      <c r="T9" s="188">
        <v>1790174417</v>
      </c>
      <c r="U9" s="189" t="s">
        <v>139</v>
      </c>
    </row>
    <row r="10" spans="1:21" ht="32.25" customHeight="1">
      <c r="A10">
        <v>5</v>
      </c>
      <c r="B10" s="183">
        <v>45755</v>
      </c>
      <c r="C10" s="182" t="s">
        <v>140</v>
      </c>
      <c r="D10" s="182" t="s">
        <v>141</v>
      </c>
      <c r="E10" s="179">
        <v>40461507</v>
      </c>
      <c r="F10" s="182" t="s">
        <v>134</v>
      </c>
      <c r="G10" s="182" t="s">
        <v>136</v>
      </c>
      <c r="H10" s="179" t="s">
        <v>42</v>
      </c>
      <c r="I10" s="179" t="s">
        <v>74</v>
      </c>
      <c r="J10" s="179" t="s">
        <v>75</v>
      </c>
      <c r="K10" s="184">
        <v>45768</v>
      </c>
      <c r="L10" s="185" t="s">
        <v>137</v>
      </c>
      <c r="M10" s="185" t="s">
        <v>138</v>
      </c>
      <c r="N10" s="182">
        <v>988540660</v>
      </c>
      <c r="O10" s="186">
        <v>20</v>
      </c>
      <c r="P10" s="179" t="s">
        <v>22</v>
      </c>
      <c r="Q10" s="179" t="s">
        <v>74</v>
      </c>
      <c r="R10" s="187"/>
      <c r="S10" s="182" t="str">
        <f t="shared" si="0"/>
        <v>043-901-000020928</v>
      </c>
      <c r="T10" s="188">
        <v>1790174417</v>
      </c>
      <c r="U10" s="189" t="s">
        <v>139</v>
      </c>
    </row>
    <row r="11" spans="1:21" ht="32.25" customHeight="1">
      <c r="A11">
        <v>6</v>
      </c>
      <c r="B11" s="183">
        <v>45920</v>
      </c>
      <c r="C11" s="182" t="s">
        <v>140</v>
      </c>
      <c r="D11" s="182" t="s">
        <v>142</v>
      </c>
      <c r="E11" s="179">
        <v>40466241</v>
      </c>
      <c r="F11" s="182" t="s">
        <v>143</v>
      </c>
      <c r="G11" s="182" t="s">
        <v>144</v>
      </c>
      <c r="H11" s="179" t="s">
        <v>42</v>
      </c>
      <c r="I11" s="179" t="s">
        <v>74</v>
      </c>
      <c r="J11" s="179" t="s">
        <v>75</v>
      </c>
      <c r="K11" s="184">
        <v>45769</v>
      </c>
      <c r="L11" s="185" t="s">
        <v>146</v>
      </c>
      <c r="M11" s="185" t="s">
        <v>147</v>
      </c>
      <c r="N11" s="182">
        <v>958645999</v>
      </c>
      <c r="O11" s="186">
        <v>20</v>
      </c>
      <c r="P11" s="179" t="s">
        <v>22</v>
      </c>
      <c r="Q11" s="179" t="s">
        <v>74</v>
      </c>
      <c r="R11" s="187"/>
      <c r="S11" s="182" t="str">
        <f t="shared" si="0"/>
        <v>016-902-000506534</v>
      </c>
      <c r="T11" s="188">
        <v>102099097</v>
      </c>
      <c r="U11" s="189" t="s">
        <v>148</v>
      </c>
    </row>
    <row r="12" spans="1:21" ht="32.25" customHeight="1">
      <c r="A12">
        <v>7</v>
      </c>
      <c r="B12" s="183">
        <v>45920</v>
      </c>
      <c r="C12" s="182" t="s">
        <v>140</v>
      </c>
      <c r="D12" s="182" t="s">
        <v>142</v>
      </c>
      <c r="E12" s="179">
        <v>112580058</v>
      </c>
      <c r="F12" s="182" t="s">
        <v>123</v>
      </c>
      <c r="G12" s="182" t="s">
        <v>145</v>
      </c>
      <c r="H12" s="179" t="s">
        <v>42</v>
      </c>
      <c r="I12" s="179" t="s">
        <v>74</v>
      </c>
      <c r="J12" s="179" t="s">
        <v>75</v>
      </c>
      <c r="K12" s="184">
        <v>45769</v>
      </c>
      <c r="L12" s="185" t="s">
        <v>146</v>
      </c>
      <c r="M12" s="185" t="s">
        <v>147</v>
      </c>
      <c r="N12" s="182">
        <v>958645999</v>
      </c>
      <c r="O12" s="186">
        <v>20</v>
      </c>
      <c r="P12" s="179" t="s">
        <v>22</v>
      </c>
      <c r="Q12" s="179" t="s">
        <v>74</v>
      </c>
      <c r="R12" s="187"/>
      <c r="S12" s="182" t="str">
        <f t="shared" ref="S12" si="1">D12</f>
        <v>016-902-000506534</v>
      </c>
      <c r="T12" s="188">
        <v>102099097</v>
      </c>
      <c r="U12" s="189" t="s">
        <v>148</v>
      </c>
    </row>
    <row r="13" spans="1:21" ht="32.25" customHeight="1">
      <c r="A13">
        <v>8</v>
      </c>
      <c r="B13" s="183">
        <v>45708</v>
      </c>
      <c r="C13" s="182" t="s">
        <v>149</v>
      </c>
      <c r="D13" s="182" t="s">
        <v>150</v>
      </c>
      <c r="E13" s="179">
        <v>112570126</v>
      </c>
      <c r="F13" s="182" t="s">
        <v>151</v>
      </c>
      <c r="G13" s="182" t="s">
        <v>154</v>
      </c>
      <c r="H13" s="179" t="s">
        <v>42</v>
      </c>
      <c r="I13" s="179" t="s">
        <v>74</v>
      </c>
      <c r="J13" s="179" t="s">
        <v>75</v>
      </c>
      <c r="K13" s="184">
        <v>45769</v>
      </c>
      <c r="L13" s="185" t="s">
        <v>157</v>
      </c>
      <c r="M13" s="185" t="s">
        <v>158</v>
      </c>
      <c r="N13" s="182">
        <v>991022774</v>
      </c>
      <c r="O13" s="186">
        <v>15</v>
      </c>
      <c r="P13" s="179" t="s">
        <v>22</v>
      </c>
      <c r="Q13" s="179" t="s">
        <v>74</v>
      </c>
      <c r="R13" s="187"/>
      <c r="S13" s="182" t="str">
        <f t="shared" si="0"/>
        <v>001-500-000071095</v>
      </c>
      <c r="T13" s="188">
        <v>105622674</v>
      </c>
      <c r="U13" s="189" t="s">
        <v>159</v>
      </c>
    </row>
    <row r="14" spans="1:21" ht="32.25" customHeight="1">
      <c r="A14">
        <v>9</v>
      </c>
      <c r="B14" s="183">
        <v>45708</v>
      </c>
      <c r="C14" s="182" t="s">
        <v>149</v>
      </c>
      <c r="D14" s="182" t="s">
        <v>160</v>
      </c>
      <c r="E14" s="179">
        <v>112030019</v>
      </c>
      <c r="F14" s="182" t="s">
        <v>152</v>
      </c>
      <c r="G14" s="182" t="s">
        <v>155</v>
      </c>
      <c r="H14" s="179" t="s">
        <v>42</v>
      </c>
      <c r="I14" s="179" t="s">
        <v>74</v>
      </c>
      <c r="J14" s="179" t="s">
        <v>75</v>
      </c>
      <c r="K14" s="184">
        <v>45769</v>
      </c>
      <c r="L14" s="185" t="s">
        <v>157</v>
      </c>
      <c r="M14" s="185" t="s">
        <v>158</v>
      </c>
      <c r="N14" s="182">
        <v>991022774</v>
      </c>
      <c r="O14" s="186">
        <v>15</v>
      </c>
      <c r="P14" s="179" t="s">
        <v>22</v>
      </c>
      <c r="Q14" s="179" t="s">
        <v>74</v>
      </c>
      <c r="R14" s="187"/>
      <c r="S14" s="182" t="str">
        <f t="shared" ref="S14:S15" si="2">D14</f>
        <v>001-500-000071025</v>
      </c>
      <c r="T14" s="188">
        <v>105622674</v>
      </c>
      <c r="U14" s="189" t="s">
        <v>159</v>
      </c>
    </row>
    <row r="15" spans="1:21" ht="32.25" customHeight="1">
      <c r="A15">
        <v>10</v>
      </c>
      <c r="B15" s="183">
        <v>45708</v>
      </c>
      <c r="C15" s="182" t="s">
        <v>149</v>
      </c>
      <c r="D15" s="182" t="s">
        <v>160</v>
      </c>
      <c r="E15" s="179">
        <v>111000051</v>
      </c>
      <c r="F15" s="182" t="s">
        <v>153</v>
      </c>
      <c r="G15" s="182" t="s">
        <v>156</v>
      </c>
      <c r="H15" s="179" t="s">
        <v>42</v>
      </c>
      <c r="I15" s="179" t="s">
        <v>74</v>
      </c>
      <c r="J15" s="179" t="s">
        <v>75</v>
      </c>
      <c r="K15" s="184">
        <v>45769</v>
      </c>
      <c r="L15" s="185" t="s">
        <v>157</v>
      </c>
      <c r="M15" s="185" t="s">
        <v>158</v>
      </c>
      <c r="N15" s="182">
        <v>991022774</v>
      </c>
      <c r="O15" s="186">
        <v>15</v>
      </c>
      <c r="P15" s="179" t="s">
        <v>22</v>
      </c>
      <c r="Q15" s="179" t="s">
        <v>74</v>
      </c>
      <c r="R15" s="187"/>
      <c r="S15" s="182" t="str">
        <f t="shared" si="2"/>
        <v>001-500-000071025</v>
      </c>
      <c r="T15" s="188">
        <v>105622674</v>
      </c>
      <c r="U15" s="189" t="s">
        <v>159</v>
      </c>
    </row>
    <row r="16" spans="1:21" ht="32.25" customHeight="1">
      <c r="A16">
        <v>11</v>
      </c>
      <c r="B16" s="183">
        <v>45686</v>
      </c>
      <c r="C16" s="182" t="s">
        <v>161</v>
      </c>
      <c r="D16" s="182" t="s">
        <v>162</v>
      </c>
      <c r="E16" s="179">
        <v>112570126</v>
      </c>
      <c r="F16" s="182" t="s">
        <v>151</v>
      </c>
      <c r="G16" s="182" t="s">
        <v>163</v>
      </c>
      <c r="H16" s="179" t="s">
        <v>42</v>
      </c>
      <c r="I16" s="179" t="s">
        <v>74</v>
      </c>
      <c r="J16" s="179" t="s">
        <v>75</v>
      </c>
      <c r="K16" s="184">
        <v>45770</v>
      </c>
      <c r="L16" s="185" t="s">
        <v>165</v>
      </c>
      <c r="M16" s="185" t="s">
        <v>166</v>
      </c>
      <c r="N16" s="182" t="s">
        <v>167</v>
      </c>
      <c r="O16" s="186">
        <v>20</v>
      </c>
      <c r="P16" s="179" t="s">
        <v>22</v>
      </c>
      <c r="Q16" s="179" t="s">
        <v>74</v>
      </c>
      <c r="R16" s="187"/>
      <c r="S16" s="182" t="str">
        <f t="shared" si="0"/>
        <v>040-103-000011651</v>
      </c>
      <c r="T16" s="188">
        <v>102995057</v>
      </c>
      <c r="U16" s="189" t="s">
        <v>168</v>
      </c>
    </row>
    <row r="17" spans="1:21" ht="32.25" customHeight="1">
      <c r="A17">
        <v>12</v>
      </c>
      <c r="B17" s="183">
        <v>45686</v>
      </c>
      <c r="C17" s="182" t="s">
        <v>161</v>
      </c>
      <c r="D17" s="182" t="s">
        <v>162</v>
      </c>
      <c r="E17" s="179">
        <v>40197255</v>
      </c>
      <c r="F17" s="182" t="s">
        <v>103</v>
      </c>
      <c r="G17" s="182" t="s">
        <v>164</v>
      </c>
      <c r="H17" s="179" t="s">
        <v>42</v>
      </c>
      <c r="I17" s="179" t="s">
        <v>74</v>
      </c>
      <c r="J17" s="179" t="s">
        <v>75</v>
      </c>
      <c r="K17" s="184">
        <v>45770</v>
      </c>
      <c r="L17" s="185" t="s">
        <v>165</v>
      </c>
      <c r="M17" s="185" t="s">
        <v>166</v>
      </c>
      <c r="N17" s="182" t="s">
        <v>167</v>
      </c>
      <c r="O17" s="186">
        <v>20</v>
      </c>
      <c r="P17" s="179" t="s">
        <v>22</v>
      </c>
      <c r="Q17" s="179" t="s">
        <v>74</v>
      </c>
      <c r="R17" s="187"/>
      <c r="S17" s="182" t="str">
        <f t="shared" ref="S17" si="3">D17</f>
        <v>040-103-000011651</v>
      </c>
      <c r="T17" s="188">
        <v>102995057</v>
      </c>
      <c r="U17" s="189" t="s">
        <v>168</v>
      </c>
    </row>
    <row r="18" spans="1:21" ht="32.25" customHeight="1">
      <c r="A18">
        <v>13</v>
      </c>
      <c r="B18" s="183">
        <v>45766</v>
      </c>
      <c r="C18" s="182" t="s">
        <v>140</v>
      </c>
      <c r="D18" s="182" t="s">
        <v>175</v>
      </c>
      <c r="E18" s="179">
        <v>111000051</v>
      </c>
      <c r="F18" s="182" t="s">
        <v>153</v>
      </c>
      <c r="G18" s="182" t="s">
        <v>177</v>
      </c>
      <c r="H18" s="179" t="s">
        <v>42</v>
      </c>
      <c r="I18" s="179" t="s">
        <v>74</v>
      </c>
      <c r="J18" s="179" t="s">
        <v>75</v>
      </c>
      <c r="K18" s="184">
        <v>45772</v>
      </c>
      <c r="L18" s="185" t="s">
        <v>179</v>
      </c>
      <c r="M18" s="185" t="s">
        <v>180</v>
      </c>
      <c r="N18" s="182">
        <v>998915951</v>
      </c>
      <c r="O18" s="186">
        <v>20</v>
      </c>
      <c r="P18" s="179" t="s">
        <v>22</v>
      </c>
      <c r="Q18" s="179" t="s">
        <v>74</v>
      </c>
      <c r="R18" s="187"/>
      <c r="S18" s="182" t="str">
        <f t="shared" si="0"/>
        <v>043-907-000023213</v>
      </c>
      <c r="T18" s="188">
        <v>103754495</v>
      </c>
      <c r="U18" s="189" t="s">
        <v>181</v>
      </c>
    </row>
    <row r="19" spans="1:21" ht="32.25" customHeight="1">
      <c r="A19">
        <v>14</v>
      </c>
      <c r="B19" s="183">
        <v>45766</v>
      </c>
      <c r="C19" s="182" t="s">
        <v>140</v>
      </c>
      <c r="D19" s="182" t="s">
        <v>175</v>
      </c>
      <c r="E19" s="179">
        <v>112030019</v>
      </c>
      <c r="F19" s="182" t="s">
        <v>176</v>
      </c>
      <c r="G19" s="182" t="s">
        <v>178</v>
      </c>
      <c r="H19" s="179" t="s">
        <v>42</v>
      </c>
      <c r="I19" s="179" t="s">
        <v>74</v>
      </c>
      <c r="J19" s="179" t="s">
        <v>75</v>
      </c>
      <c r="K19" s="184">
        <v>45772</v>
      </c>
      <c r="L19" s="185" t="s">
        <v>179</v>
      </c>
      <c r="M19" s="185" t="s">
        <v>180</v>
      </c>
      <c r="N19" s="182">
        <v>998915951</v>
      </c>
      <c r="O19" s="186">
        <v>20</v>
      </c>
      <c r="P19" s="179" t="s">
        <v>22</v>
      </c>
      <c r="Q19" s="179" t="s">
        <v>74</v>
      </c>
      <c r="R19" s="187"/>
      <c r="S19" s="182" t="str">
        <f t="shared" ref="S19" si="4">D19</f>
        <v>043-907-000023213</v>
      </c>
      <c r="T19" s="188">
        <v>103754495</v>
      </c>
      <c r="U19" s="189" t="s">
        <v>181</v>
      </c>
    </row>
    <row r="20" spans="1:21" ht="32.25" customHeight="1">
      <c r="A20">
        <v>15</v>
      </c>
      <c r="B20" s="183">
        <v>45707</v>
      </c>
      <c r="C20" s="182" t="s">
        <v>161</v>
      </c>
      <c r="D20" s="182" t="s">
        <v>182</v>
      </c>
      <c r="E20" s="179">
        <v>40446712</v>
      </c>
      <c r="F20" s="182" t="s">
        <v>183</v>
      </c>
      <c r="G20" s="182" t="s">
        <v>186</v>
      </c>
      <c r="H20" s="179" t="s">
        <v>42</v>
      </c>
      <c r="I20" s="179" t="s">
        <v>74</v>
      </c>
      <c r="J20" s="179" t="s">
        <v>75</v>
      </c>
      <c r="K20" s="184">
        <v>45772</v>
      </c>
      <c r="L20" s="185" t="s">
        <v>189</v>
      </c>
      <c r="M20" s="185" t="s">
        <v>190</v>
      </c>
      <c r="N20" s="182">
        <v>999878218</v>
      </c>
      <c r="O20" s="186">
        <v>30</v>
      </c>
      <c r="P20" s="179" t="s">
        <v>22</v>
      </c>
      <c r="Q20" s="179" t="s">
        <v>74</v>
      </c>
      <c r="R20" s="187"/>
      <c r="S20" s="182" t="str">
        <f t="shared" si="0"/>
        <v>040-103-000012056</v>
      </c>
      <c r="T20" s="188">
        <v>103086021</v>
      </c>
      <c r="U20" s="189" t="s">
        <v>191</v>
      </c>
    </row>
    <row r="21" spans="1:21" ht="32.25" customHeight="1">
      <c r="A21">
        <v>16</v>
      </c>
      <c r="B21" s="183">
        <v>45707</v>
      </c>
      <c r="C21" s="182" t="s">
        <v>161</v>
      </c>
      <c r="D21" s="182" t="s">
        <v>182</v>
      </c>
      <c r="E21" s="179">
        <v>40782127</v>
      </c>
      <c r="F21" s="182" t="s">
        <v>184</v>
      </c>
      <c r="G21" s="182" t="s">
        <v>187</v>
      </c>
      <c r="H21" s="179" t="s">
        <v>42</v>
      </c>
      <c r="I21" s="179" t="s">
        <v>74</v>
      </c>
      <c r="J21" s="179" t="s">
        <v>75</v>
      </c>
      <c r="K21" s="184">
        <v>45772</v>
      </c>
      <c r="L21" s="185" t="s">
        <v>189</v>
      </c>
      <c r="M21" s="185" t="s">
        <v>190</v>
      </c>
      <c r="N21" s="182">
        <v>999878218</v>
      </c>
      <c r="O21" s="186">
        <v>15</v>
      </c>
      <c r="P21" s="179" t="s">
        <v>22</v>
      </c>
      <c r="Q21" s="179" t="s">
        <v>74</v>
      </c>
      <c r="R21" s="187"/>
      <c r="S21" s="182" t="str">
        <f t="shared" ref="S21:S22" si="5">D21</f>
        <v>040-103-000012056</v>
      </c>
      <c r="T21" s="188">
        <v>103086021</v>
      </c>
      <c r="U21" s="189" t="s">
        <v>191</v>
      </c>
    </row>
    <row r="22" spans="1:21" ht="32.25" customHeight="1">
      <c r="A22">
        <v>17</v>
      </c>
      <c r="B22" s="183">
        <v>45707</v>
      </c>
      <c r="C22" s="182" t="s">
        <v>161</v>
      </c>
      <c r="D22" s="182" t="s">
        <v>182</v>
      </c>
      <c r="E22" s="179">
        <v>112570073</v>
      </c>
      <c r="F22" s="182" t="s">
        <v>185</v>
      </c>
      <c r="G22" s="182" t="s">
        <v>188</v>
      </c>
      <c r="H22" s="179" t="s">
        <v>42</v>
      </c>
      <c r="I22" s="179" t="s">
        <v>74</v>
      </c>
      <c r="J22" s="179" t="s">
        <v>75</v>
      </c>
      <c r="K22" s="184">
        <v>45772</v>
      </c>
      <c r="L22" s="185" t="s">
        <v>189</v>
      </c>
      <c r="M22" s="185" t="s">
        <v>190</v>
      </c>
      <c r="N22" s="182">
        <v>999878218</v>
      </c>
      <c r="O22" s="186">
        <v>15</v>
      </c>
      <c r="P22" s="179" t="s">
        <v>22</v>
      </c>
      <c r="Q22" s="179" t="s">
        <v>74</v>
      </c>
      <c r="R22" s="187"/>
      <c r="S22" s="182" t="str">
        <f t="shared" si="5"/>
        <v>040-103-000012056</v>
      </c>
      <c r="T22" s="188">
        <v>103086021</v>
      </c>
      <c r="U22" s="189" t="s">
        <v>191</v>
      </c>
    </row>
    <row r="23" spans="1:21" ht="32.25" customHeight="1">
      <c r="A23">
        <v>18</v>
      </c>
      <c r="B23" s="183">
        <v>45752</v>
      </c>
      <c r="C23" s="182" t="s">
        <v>140</v>
      </c>
      <c r="D23" s="182" t="s">
        <v>192</v>
      </c>
      <c r="E23" s="179">
        <v>111030002</v>
      </c>
      <c r="F23" s="182" t="s">
        <v>196</v>
      </c>
      <c r="G23" s="182" t="s">
        <v>197</v>
      </c>
      <c r="H23" s="179" t="s">
        <v>42</v>
      </c>
      <c r="I23" s="179" t="s">
        <v>74</v>
      </c>
      <c r="J23" s="179" t="s">
        <v>75</v>
      </c>
      <c r="K23" s="184">
        <v>45773</v>
      </c>
      <c r="L23" s="185" t="s">
        <v>193</v>
      </c>
      <c r="M23" s="185" t="s">
        <v>194</v>
      </c>
      <c r="N23" s="182">
        <v>998585707</v>
      </c>
      <c r="O23" s="186">
        <v>20</v>
      </c>
      <c r="P23" s="179" t="s">
        <v>22</v>
      </c>
      <c r="Q23" s="179" t="s">
        <v>74</v>
      </c>
      <c r="R23" s="187"/>
      <c r="S23" s="182" t="str">
        <f t="shared" si="0"/>
        <v>043-905-000067084</v>
      </c>
      <c r="T23" s="188">
        <v>105281257</v>
      </c>
      <c r="U23" s="189" t="s">
        <v>195</v>
      </c>
    </row>
    <row r="24" spans="1:21" ht="32.25" customHeight="1">
      <c r="A24">
        <v>19</v>
      </c>
      <c r="B24" s="183">
        <v>45752</v>
      </c>
      <c r="C24" s="182" t="s">
        <v>140</v>
      </c>
      <c r="D24" s="182" t="s">
        <v>192</v>
      </c>
      <c r="E24" s="179">
        <v>40782127</v>
      </c>
      <c r="F24" s="182" t="s">
        <v>184</v>
      </c>
      <c r="G24" s="182" t="s">
        <v>198</v>
      </c>
      <c r="H24" s="179" t="s">
        <v>42</v>
      </c>
      <c r="I24" s="179" t="s">
        <v>74</v>
      </c>
      <c r="J24" s="179" t="s">
        <v>75</v>
      </c>
      <c r="K24" s="184">
        <v>45773</v>
      </c>
      <c r="L24" s="185" t="s">
        <v>193</v>
      </c>
      <c r="M24" s="185" t="s">
        <v>194</v>
      </c>
      <c r="N24" s="182">
        <v>998585707</v>
      </c>
      <c r="O24" s="186">
        <v>20</v>
      </c>
      <c r="P24" s="179" t="s">
        <v>22</v>
      </c>
      <c r="Q24" s="179" t="s">
        <v>74</v>
      </c>
      <c r="R24" s="187"/>
      <c r="S24" s="182" t="str">
        <f t="shared" ref="S24" si="6">D24</f>
        <v>043-905-000067084</v>
      </c>
      <c r="T24" s="188">
        <v>105281257</v>
      </c>
      <c r="U24" s="189" t="s">
        <v>195</v>
      </c>
    </row>
    <row r="25" spans="1:21" ht="32.25" customHeight="1">
      <c r="A25">
        <v>20</v>
      </c>
      <c r="B25" s="183" t="s">
        <v>245</v>
      </c>
      <c r="C25" s="182" t="s">
        <v>149</v>
      </c>
      <c r="D25" s="182" t="s">
        <v>327</v>
      </c>
      <c r="E25" s="179">
        <v>112570093</v>
      </c>
      <c r="F25" s="182" t="s">
        <v>246</v>
      </c>
      <c r="G25" s="182" t="s">
        <v>248</v>
      </c>
      <c r="H25" s="179" t="s">
        <v>42</v>
      </c>
      <c r="I25" s="179" t="s">
        <v>74</v>
      </c>
      <c r="J25" s="179" t="s">
        <v>75</v>
      </c>
      <c r="K25" s="184">
        <v>45775</v>
      </c>
      <c r="L25" s="185" t="s">
        <v>250</v>
      </c>
      <c r="M25" s="185" t="s">
        <v>251</v>
      </c>
      <c r="N25" s="182">
        <v>9998294429</v>
      </c>
      <c r="O25" s="186">
        <v>20</v>
      </c>
      <c r="P25" s="179" t="s">
        <v>22</v>
      </c>
      <c r="Q25" s="179" t="s">
        <v>74</v>
      </c>
      <c r="R25" s="187"/>
      <c r="S25" s="182" t="str">
        <f t="shared" si="0"/>
        <v>001-500-000069655</v>
      </c>
      <c r="T25" s="188">
        <v>102437712</v>
      </c>
      <c r="U25" s="189" t="s">
        <v>252</v>
      </c>
    </row>
    <row r="26" spans="1:21" ht="32.25" customHeight="1">
      <c r="A26">
        <v>21</v>
      </c>
      <c r="B26" s="183" t="s">
        <v>245</v>
      </c>
      <c r="C26" s="182" t="s">
        <v>149</v>
      </c>
      <c r="D26" s="182" t="s">
        <v>327</v>
      </c>
      <c r="E26" s="179">
        <v>112950020</v>
      </c>
      <c r="F26" s="182" t="s">
        <v>247</v>
      </c>
      <c r="G26" s="182" t="s">
        <v>249</v>
      </c>
      <c r="H26" s="179" t="s">
        <v>42</v>
      </c>
      <c r="I26" s="179" t="s">
        <v>74</v>
      </c>
      <c r="J26" s="179" t="s">
        <v>75</v>
      </c>
      <c r="K26" s="184">
        <v>45775</v>
      </c>
      <c r="L26" s="185" t="s">
        <v>250</v>
      </c>
      <c r="M26" s="185" t="s">
        <v>251</v>
      </c>
      <c r="N26" s="182">
        <v>9998294429</v>
      </c>
      <c r="O26" s="186">
        <v>20</v>
      </c>
      <c r="P26" s="179" t="s">
        <v>22</v>
      </c>
      <c r="Q26" s="179" t="s">
        <v>74</v>
      </c>
      <c r="R26" s="187"/>
      <c r="S26" s="182" t="str">
        <f t="shared" si="0"/>
        <v>001-500-000069655</v>
      </c>
      <c r="T26" s="188">
        <v>102437712</v>
      </c>
      <c r="U26" s="189" t="s">
        <v>252</v>
      </c>
    </row>
    <row r="27" spans="1:21" ht="32.25" customHeight="1">
      <c r="A27">
        <v>22</v>
      </c>
      <c r="B27" s="183">
        <v>45743</v>
      </c>
      <c r="C27" s="182" t="s">
        <v>253</v>
      </c>
      <c r="D27" s="182" t="s">
        <v>262</v>
      </c>
      <c r="E27" s="179">
        <v>112570126</v>
      </c>
      <c r="F27" s="182" t="s">
        <v>151</v>
      </c>
      <c r="G27" s="182" t="s">
        <v>254</v>
      </c>
      <c r="H27" s="179" t="s">
        <v>42</v>
      </c>
      <c r="I27" s="179" t="s">
        <v>74</v>
      </c>
      <c r="J27" s="179" t="s">
        <v>75</v>
      </c>
      <c r="K27" s="184">
        <v>45777</v>
      </c>
      <c r="L27" s="185" t="s">
        <v>258</v>
      </c>
      <c r="M27" s="185" t="s">
        <v>259</v>
      </c>
      <c r="N27" s="182">
        <v>995139222</v>
      </c>
      <c r="O27" s="186">
        <v>15</v>
      </c>
      <c r="P27" s="179" t="s">
        <v>22</v>
      </c>
      <c r="Q27" s="179" t="s">
        <v>74</v>
      </c>
      <c r="R27" s="187"/>
      <c r="S27" s="182" t="str">
        <f t="shared" si="0"/>
        <v>001-001-000000719</v>
      </c>
      <c r="T27" s="188">
        <v>101106086</v>
      </c>
      <c r="U27" s="189" t="s">
        <v>260</v>
      </c>
    </row>
    <row r="28" spans="1:21" ht="32.25" customHeight="1">
      <c r="A28">
        <v>23</v>
      </c>
      <c r="B28" s="183">
        <v>45743</v>
      </c>
      <c r="C28" s="182" t="s">
        <v>253</v>
      </c>
      <c r="D28" s="182" t="s">
        <v>261</v>
      </c>
      <c r="E28" s="179">
        <v>113100004</v>
      </c>
      <c r="F28" s="182" t="s">
        <v>255</v>
      </c>
      <c r="G28" s="182" t="s">
        <v>256</v>
      </c>
      <c r="H28" s="179" t="s">
        <v>42</v>
      </c>
      <c r="I28" s="179" t="s">
        <v>74</v>
      </c>
      <c r="J28" s="179" t="s">
        <v>75</v>
      </c>
      <c r="K28" s="184">
        <v>45777</v>
      </c>
      <c r="L28" s="185" t="s">
        <v>258</v>
      </c>
      <c r="M28" s="185" t="s">
        <v>259</v>
      </c>
      <c r="N28" s="182">
        <v>995139222</v>
      </c>
      <c r="O28" s="186">
        <v>30</v>
      </c>
      <c r="P28" s="179" t="s">
        <v>22</v>
      </c>
      <c r="Q28" s="179" t="s">
        <v>74</v>
      </c>
      <c r="R28" s="187"/>
      <c r="S28" s="182" t="str">
        <f t="shared" ref="S28:S29" si="7">D28</f>
        <v>001-001-000000787</v>
      </c>
      <c r="T28" s="188">
        <v>101106086</v>
      </c>
      <c r="U28" s="189" t="s">
        <v>260</v>
      </c>
    </row>
    <row r="29" spans="1:21" ht="32.25" customHeight="1">
      <c r="A29">
        <v>24</v>
      </c>
      <c r="B29" s="183">
        <v>45743</v>
      </c>
      <c r="C29" s="182" t="s">
        <v>253</v>
      </c>
      <c r="D29" s="182" t="s">
        <v>262</v>
      </c>
      <c r="E29" s="179">
        <v>111000051</v>
      </c>
      <c r="F29" s="182" t="s">
        <v>153</v>
      </c>
      <c r="G29" s="182" t="s">
        <v>257</v>
      </c>
      <c r="H29" s="179" t="s">
        <v>42</v>
      </c>
      <c r="I29" s="179" t="s">
        <v>74</v>
      </c>
      <c r="J29" s="179" t="s">
        <v>75</v>
      </c>
      <c r="K29" s="184">
        <v>45777</v>
      </c>
      <c r="L29" s="185" t="s">
        <v>258</v>
      </c>
      <c r="M29" s="185" t="s">
        <v>259</v>
      </c>
      <c r="N29" s="182">
        <v>995139222</v>
      </c>
      <c r="O29" s="186">
        <v>15</v>
      </c>
      <c r="P29" s="179" t="s">
        <v>22</v>
      </c>
      <c r="Q29" s="179" t="s">
        <v>74</v>
      </c>
      <c r="R29" s="187"/>
      <c r="S29" s="182" t="str">
        <f t="shared" si="7"/>
        <v>001-001-000000719</v>
      </c>
      <c r="T29" s="188">
        <v>101106086</v>
      </c>
      <c r="U29" s="189" t="s">
        <v>260</v>
      </c>
    </row>
    <row r="30" spans="1:21" ht="32.25" customHeight="1">
      <c r="A30">
        <v>25</v>
      </c>
      <c r="B30" s="183">
        <v>45779</v>
      </c>
      <c r="C30" s="182" t="s">
        <v>140</v>
      </c>
      <c r="D30" s="182" t="s">
        <v>328</v>
      </c>
      <c r="E30" s="179">
        <v>112570073</v>
      </c>
      <c r="F30" s="182" t="s">
        <v>185</v>
      </c>
      <c r="G30" s="182" t="s">
        <v>329</v>
      </c>
      <c r="H30" s="179" t="s">
        <v>42</v>
      </c>
      <c r="I30" s="179" t="s">
        <v>74</v>
      </c>
      <c r="J30" s="179" t="s">
        <v>75</v>
      </c>
      <c r="K30" s="184">
        <v>45783</v>
      </c>
      <c r="L30" s="185" t="s">
        <v>330</v>
      </c>
      <c r="M30" s="185" t="s">
        <v>194</v>
      </c>
      <c r="N30" s="182">
        <v>980485572</v>
      </c>
      <c r="O30" s="186">
        <v>20</v>
      </c>
      <c r="P30" s="179" t="s">
        <v>22</v>
      </c>
      <c r="Q30" s="179" t="s">
        <v>74</v>
      </c>
      <c r="R30" s="187"/>
      <c r="S30" s="182" t="str">
        <f t="shared" si="0"/>
        <v>016-907-00001439</v>
      </c>
      <c r="T30" s="188">
        <v>102663705</v>
      </c>
      <c r="U30" s="189" t="s">
        <v>331</v>
      </c>
    </row>
    <row r="31" spans="1:21" ht="32.25" customHeight="1">
      <c r="A31">
        <v>26</v>
      </c>
      <c r="B31" s="183">
        <v>45779</v>
      </c>
      <c r="C31" s="182" t="s">
        <v>140</v>
      </c>
      <c r="D31" s="182" t="s">
        <v>328</v>
      </c>
      <c r="E31" s="179">
        <v>111030002</v>
      </c>
      <c r="F31" s="182" t="s">
        <v>196</v>
      </c>
      <c r="G31" s="182" t="s">
        <v>332</v>
      </c>
      <c r="H31" s="179" t="s">
        <v>42</v>
      </c>
      <c r="I31" s="179" t="s">
        <v>74</v>
      </c>
      <c r="J31" s="179" t="s">
        <v>75</v>
      </c>
      <c r="K31" s="184">
        <v>45783</v>
      </c>
      <c r="L31" s="185" t="s">
        <v>330</v>
      </c>
      <c r="M31" s="185" t="s">
        <v>194</v>
      </c>
      <c r="N31" s="182">
        <v>980485572</v>
      </c>
      <c r="O31" s="186">
        <v>20</v>
      </c>
      <c r="P31" s="179" t="s">
        <v>22</v>
      </c>
      <c r="Q31" s="179" t="s">
        <v>74</v>
      </c>
      <c r="R31" s="187"/>
      <c r="S31" s="182" t="str">
        <f t="shared" ref="S31" si="8">D31</f>
        <v>016-907-00001439</v>
      </c>
      <c r="T31" s="188">
        <v>102663705</v>
      </c>
      <c r="U31" s="189" t="s">
        <v>331</v>
      </c>
    </row>
    <row r="32" spans="1:21" ht="32.25" customHeight="1">
      <c r="A32">
        <v>27</v>
      </c>
      <c r="B32" s="183">
        <v>45624</v>
      </c>
      <c r="C32" s="182" t="s">
        <v>161</v>
      </c>
      <c r="D32" s="182" t="s">
        <v>335</v>
      </c>
      <c r="E32" s="179">
        <v>41596006</v>
      </c>
      <c r="F32" s="182" t="s">
        <v>333</v>
      </c>
      <c r="G32" s="182" t="s">
        <v>334</v>
      </c>
      <c r="H32" s="179" t="s">
        <v>42</v>
      </c>
      <c r="I32" s="179" t="s">
        <v>74</v>
      </c>
      <c r="J32" s="179" t="s">
        <v>75</v>
      </c>
      <c r="K32" s="184">
        <v>45785</v>
      </c>
      <c r="L32" s="185" t="s">
        <v>337</v>
      </c>
      <c r="M32" s="185" t="s">
        <v>338</v>
      </c>
      <c r="N32" s="182">
        <v>992866889</v>
      </c>
      <c r="O32" s="186">
        <v>20</v>
      </c>
      <c r="P32" s="179" t="s">
        <v>22</v>
      </c>
      <c r="Q32" s="179" t="s">
        <v>74</v>
      </c>
      <c r="R32" s="187"/>
      <c r="S32" s="182" t="str">
        <f t="shared" si="0"/>
        <v>040-104-000008237</v>
      </c>
      <c r="T32" s="188">
        <v>190413861</v>
      </c>
      <c r="U32" s="189" t="s">
        <v>339</v>
      </c>
    </row>
    <row r="33" spans="1:21" ht="32.25" customHeight="1">
      <c r="A33">
        <v>28</v>
      </c>
      <c r="B33" s="183">
        <v>45624</v>
      </c>
      <c r="C33" s="182" t="s">
        <v>161</v>
      </c>
      <c r="D33" s="182" t="s">
        <v>335</v>
      </c>
      <c r="E33" s="179">
        <v>112030019</v>
      </c>
      <c r="F33" s="182" t="s">
        <v>176</v>
      </c>
      <c r="G33" s="182" t="s">
        <v>336</v>
      </c>
      <c r="H33" s="179" t="s">
        <v>42</v>
      </c>
      <c r="I33" s="179" t="s">
        <v>74</v>
      </c>
      <c r="J33" s="179" t="s">
        <v>75</v>
      </c>
      <c r="K33" s="184">
        <v>45785</v>
      </c>
      <c r="L33" s="185" t="s">
        <v>337</v>
      </c>
      <c r="M33" s="185" t="s">
        <v>338</v>
      </c>
      <c r="N33" s="182">
        <v>992866889</v>
      </c>
      <c r="O33" s="186">
        <v>20</v>
      </c>
      <c r="P33" s="179" t="s">
        <v>22</v>
      </c>
      <c r="Q33" s="179" t="s">
        <v>74</v>
      </c>
      <c r="R33" s="187"/>
      <c r="S33" s="182" t="str">
        <f t="shared" ref="S33" si="9">D33</f>
        <v>040-104-000008237</v>
      </c>
      <c r="T33" s="188">
        <v>190413861</v>
      </c>
      <c r="U33" s="189" t="s">
        <v>339</v>
      </c>
    </row>
    <row r="34" spans="1:21" ht="32.25" customHeight="1">
      <c r="A34">
        <v>29</v>
      </c>
      <c r="B34" s="183">
        <v>45165</v>
      </c>
      <c r="C34" s="182" t="s">
        <v>340</v>
      </c>
      <c r="D34" s="182" t="s">
        <v>341</v>
      </c>
      <c r="E34" s="179">
        <v>41560061</v>
      </c>
      <c r="F34" s="182" t="s">
        <v>342</v>
      </c>
      <c r="G34" s="182" t="s">
        <v>344</v>
      </c>
      <c r="H34" s="179" t="s">
        <v>42</v>
      </c>
      <c r="I34" s="179" t="s">
        <v>74</v>
      </c>
      <c r="J34" s="179" t="s">
        <v>75</v>
      </c>
      <c r="K34" s="184">
        <v>45786</v>
      </c>
      <c r="L34" s="185" t="s">
        <v>346</v>
      </c>
      <c r="M34" s="185" t="s">
        <v>347</v>
      </c>
      <c r="N34" s="182">
        <v>998199828</v>
      </c>
      <c r="O34" s="186">
        <v>20</v>
      </c>
      <c r="P34" s="179" t="s">
        <v>22</v>
      </c>
      <c r="Q34" s="179" t="s">
        <v>74</v>
      </c>
      <c r="R34" s="187"/>
      <c r="S34" s="182" t="str">
        <f t="shared" si="0"/>
        <v>008-501-000007001</v>
      </c>
      <c r="T34" s="188">
        <v>105783633</v>
      </c>
      <c r="U34" s="189" t="s">
        <v>348</v>
      </c>
    </row>
    <row r="35" spans="1:21" ht="32.25" customHeight="1">
      <c r="A35">
        <v>30</v>
      </c>
      <c r="B35" s="183">
        <v>45165</v>
      </c>
      <c r="C35" s="182" t="s">
        <v>340</v>
      </c>
      <c r="D35" s="182" t="s">
        <v>341</v>
      </c>
      <c r="E35" s="179">
        <v>40540835</v>
      </c>
      <c r="F35" s="182" t="s">
        <v>343</v>
      </c>
      <c r="G35" s="182" t="s">
        <v>345</v>
      </c>
      <c r="H35" s="179" t="s">
        <v>42</v>
      </c>
      <c r="I35" s="179" t="s">
        <v>74</v>
      </c>
      <c r="J35" s="179" t="s">
        <v>75</v>
      </c>
      <c r="K35" s="184">
        <v>45786</v>
      </c>
      <c r="L35" s="185" t="s">
        <v>346</v>
      </c>
      <c r="M35" s="185" t="s">
        <v>347</v>
      </c>
      <c r="N35" s="182">
        <v>998199828</v>
      </c>
      <c r="O35" s="186">
        <v>20</v>
      </c>
      <c r="P35" s="179" t="s">
        <v>22</v>
      </c>
      <c r="Q35" s="179" t="s">
        <v>74</v>
      </c>
      <c r="R35" s="187"/>
      <c r="S35" s="182" t="str">
        <f t="shared" ref="S35" si="10">D35</f>
        <v>008-501-000007001</v>
      </c>
      <c r="T35" s="188">
        <v>105783633</v>
      </c>
      <c r="U35" s="189" t="s">
        <v>348</v>
      </c>
    </row>
    <row r="36" spans="1:21" ht="32.25" customHeight="1">
      <c r="A36">
        <v>31</v>
      </c>
      <c r="B36" s="183">
        <v>45297</v>
      </c>
      <c r="C36" s="182" t="s">
        <v>313</v>
      </c>
      <c r="D36" s="182" t="s">
        <v>349</v>
      </c>
      <c r="E36" s="179">
        <v>112520024</v>
      </c>
      <c r="F36" s="182" t="s">
        <v>350</v>
      </c>
      <c r="G36" s="182" t="s">
        <v>351</v>
      </c>
      <c r="H36" s="179" t="s">
        <v>42</v>
      </c>
      <c r="I36" s="179" t="s">
        <v>74</v>
      </c>
      <c r="J36" s="179" t="s">
        <v>75</v>
      </c>
      <c r="K36" s="184">
        <v>45787</v>
      </c>
      <c r="L36" s="185" t="s">
        <v>352</v>
      </c>
      <c r="M36" s="185" t="s">
        <v>353</v>
      </c>
      <c r="N36" s="182">
        <v>983347819</v>
      </c>
      <c r="O36" s="186">
        <v>15</v>
      </c>
      <c r="P36" s="179" t="s">
        <v>22</v>
      </c>
      <c r="Q36" s="179" t="s">
        <v>74</v>
      </c>
      <c r="R36" s="187"/>
      <c r="S36" s="182" t="str">
        <f t="shared" si="0"/>
        <v>040-103-000001740</v>
      </c>
      <c r="T36" s="188">
        <v>103016630</v>
      </c>
      <c r="U36" s="189" t="s">
        <v>354</v>
      </c>
    </row>
    <row r="37" spans="1:21" ht="32.25" customHeight="1">
      <c r="A37">
        <v>32</v>
      </c>
      <c r="B37" s="183">
        <v>45297</v>
      </c>
      <c r="C37" s="182" t="s">
        <v>313</v>
      </c>
      <c r="D37" s="182" t="s">
        <v>464</v>
      </c>
      <c r="E37" s="179">
        <v>40584202</v>
      </c>
      <c r="F37" s="182" t="s">
        <v>356</v>
      </c>
      <c r="G37" s="182" t="s">
        <v>358</v>
      </c>
      <c r="H37" s="179" t="s">
        <v>42</v>
      </c>
      <c r="I37" s="179" t="s">
        <v>74</v>
      </c>
      <c r="J37" s="179" t="s">
        <v>75</v>
      </c>
      <c r="K37" s="184">
        <v>45787</v>
      </c>
      <c r="L37" s="185" t="s">
        <v>352</v>
      </c>
      <c r="M37" s="185" t="s">
        <v>353</v>
      </c>
      <c r="N37" s="182">
        <v>983347819</v>
      </c>
      <c r="O37" s="186">
        <v>15</v>
      </c>
      <c r="P37" s="179" t="s">
        <v>22</v>
      </c>
      <c r="Q37" s="179" t="s">
        <v>74</v>
      </c>
      <c r="R37" s="187"/>
      <c r="S37" s="182" t="str">
        <f t="shared" ref="S37:S44" si="11">D37</f>
        <v>040-105-000001080</v>
      </c>
      <c r="T37" s="188">
        <v>103016630</v>
      </c>
      <c r="U37" s="189" t="s">
        <v>354</v>
      </c>
    </row>
    <row r="38" spans="1:21" ht="32.25" customHeight="1">
      <c r="A38">
        <v>33</v>
      </c>
      <c r="B38" s="183">
        <v>45297</v>
      </c>
      <c r="C38" s="182" t="s">
        <v>313</v>
      </c>
      <c r="D38" s="182" t="s">
        <v>465</v>
      </c>
      <c r="E38" s="179">
        <v>112580017</v>
      </c>
      <c r="F38" s="182" t="s">
        <v>133</v>
      </c>
      <c r="G38" s="182" t="s">
        <v>359</v>
      </c>
      <c r="H38" s="179" t="s">
        <v>42</v>
      </c>
      <c r="I38" s="179" t="s">
        <v>74</v>
      </c>
      <c r="J38" s="179" t="s">
        <v>75</v>
      </c>
      <c r="K38" s="184">
        <v>45787</v>
      </c>
      <c r="L38" s="185" t="s">
        <v>352</v>
      </c>
      <c r="M38" s="185" t="s">
        <v>353</v>
      </c>
      <c r="N38" s="182">
        <v>983347819</v>
      </c>
      <c r="O38" s="186">
        <v>15</v>
      </c>
      <c r="P38" s="179" t="s">
        <v>22</v>
      </c>
      <c r="Q38" s="179" t="s">
        <v>74</v>
      </c>
      <c r="R38" s="187"/>
      <c r="S38" s="182" t="str">
        <f t="shared" si="11"/>
        <v>040-103-000001867</v>
      </c>
      <c r="T38" s="188">
        <v>103016630</v>
      </c>
      <c r="U38" s="189" t="s">
        <v>354</v>
      </c>
    </row>
    <row r="39" spans="1:21" ht="32.25" customHeight="1">
      <c r="A39">
        <v>34</v>
      </c>
      <c r="B39" s="183">
        <v>45297</v>
      </c>
      <c r="C39" s="182" t="s">
        <v>313</v>
      </c>
      <c r="D39" s="182" t="s">
        <v>464</v>
      </c>
      <c r="E39" s="179">
        <v>113430016</v>
      </c>
      <c r="F39" s="182" t="s">
        <v>357</v>
      </c>
      <c r="G39" s="182" t="s">
        <v>360</v>
      </c>
      <c r="H39" s="179" t="s">
        <v>42</v>
      </c>
      <c r="I39" s="179" t="s">
        <v>74</v>
      </c>
      <c r="J39" s="179" t="s">
        <v>75</v>
      </c>
      <c r="K39" s="184">
        <v>45787</v>
      </c>
      <c r="L39" s="185" t="s">
        <v>352</v>
      </c>
      <c r="M39" s="185" t="s">
        <v>353</v>
      </c>
      <c r="N39" s="182">
        <v>983347819</v>
      </c>
      <c r="O39" s="186">
        <v>15</v>
      </c>
      <c r="P39" s="179" t="s">
        <v>22</v>
      </c>
      <c r="Q39" s="179" t="s">
        <v>74</v>
      </c>
      <c r="R39" s="187"/>
      <c r="S39" s="182" t="str">
        <f t="shared" si="11"/>
        <v>040-105-000001080</v>
      </c>
      <c r="T39" s="188">
        <v>103016630</v>
      </c>
      <c r="U39" s="189" t="s">
        <v>354</v>
      </c>
    </row>
    <row r="40" spans="1:21" ht="32.25" customHeight="1">
      <c r="A40">
        <v>35</v>
      </c>
      <c r="B40" s="183">
        <v>45297</v>
      </c>
      <c r="C40" s="182" t="s">
        <v>149</v>
      </c>
      <c r="D40" s="182" t="s">
        <v>567</v>
      </c>
      <c r="E40" s="179">
        <v>111010040</v>
      </c>
      <c r="F40" s="182" t="s">
        <v>355</v>
      </c>
      <c r="G40" s="182" t="s">
        <v>361</v>
      </c>
      <c r="H40" s="179" t="s">
        <v>42</v>
      </c>
      <c r="I40" s="179" t="s">
        <v>74</v>
      </c>
      <c r="J40" s="179" t="s">
        <v>75</v>
      </c>
      <c r="K40" s="184">
        <v>45787</v>
      </c>
      <c r="L40" s="185" t="s">
        <v>352</v>
      </c>
      <c r="M40" s="185" t="s">
        <v>353</v>
      </c>
      <c r="N40" s="182">
        <v>983347819</v>
      </c>
      <c r="O40" s="186">
        <v>15</v>
      </c>
      <c r="P40" s="179" t="s">
        <v>22</v>
      </c>
      <c r="Q40" s="179" t="s">
        <v>74</v>
      </c>
      <c r="R40" s="187"/>
      <c r="S40" s="182" t="str">
        <f t="shared" si="11"/>
        <v>premio sorteo</v>
      </c>
      <c r="T40" s="188">
        <v>103016630</v>
      </c>
      <c r="U40" s="189" t="s">
        <v>354</v>
      </c>
    </row>
    <row r="41" spans="1:21" ht="32.25" customHeight="1">
      <c r="A41">
        <v>36</v>
      </c>
      <c r="B41" s="183">
        <v>45624</v>
      </c>
      <c r="C41" s="182" t="s">
        <v>161</v>
      </c>
      <c r="D41" s="182" t="s">
        <v>335</v>
      </c>
      <c r="E41" s="179">
        <v>113430051</v>
      </c>
      <c r="F41" s="182" t="s">
        <v>362</v>
      </c>
      <c r="G41" s="182" t="s">
        <v>365</v>
      </c>
      <c r="H41" s="179" t="s">
        <v>42</v>
      </c>
      <c r="I41" s="179" t="s">
        <v>74</v>
      </c>
      <c r="J41" s="179" t="s">
        <v>75</v>
      </c>
      <c r="K41" s="184">
        <v>45785</v>
      </c>
      <c r="L41" s="185" t="s">
        <v>337</v>
      </c>
      <c r="M41" s="185" t="s">
        <v>338</v>
      </c>
      <c r="N41" s="182">
        <v>992866889</v>
      </c>
      <c r="O41" s="186">
        <v>20</v>
      </c>
      <c r="P41" s="179" t="s">
        <v>22</v>
      </c>
      <c r="Q41" s="179" t="s">
        <v>74</v>
      </c>
      <c r="R41" s="187"/>
      <c r="S41" s="182" t="str">
        <f t="shared" si="11"/>
        <v>040-104-000008237</v>
      </c>
      <c r="T41" s="188">
        <v>190413861</v>
      </c>
      <c r="U41" s="189" t="s">
        <v>339</v>
      </c>
    </row>
    <row r="42" spans="1:21" ht="32.25" customHeight="1">
      <c r="A42">
        <v>37</v>
      </c>
      <c r="B42" s="183">
        <v>45624</v>
      </c>
      <c r="C42" s="182" t="s">
        <v>161</v>
      </c>
      <c r="D42" s="182" t="s">
        <v>335</v>
      </c>
      <c r="E42" s="179">
        <v>113600015</v>
      </c>
      <c r="F42" s="182" t="s">
        <v>363</v>
      </c>
      <c r="G42" s="182" t="s">
        <v>366</v>
      </c>
      <c r="H42" s="179" t="s">
        <v>42</v>
      </c>
      <c r="I42" s="179" t="s">
        <v>74</v>
      </c>
      <c r="J42" s="179" t="s">
        <v>75</v>
      </c>
      <c r="K42" s="184">
        <v>45785</v>
      </c>
      <c r="L42" s="185" t="s">
        <v>337</v>
      </c>
      <c r="M42" s="185" t="s">
        <v>338</v>
      </c>
      <c r="N42" s="182">
        <v>992866889</v>
      </c>
      <c r="O42" s="186">
        <v>20</v>
      </c>
      <c r="P42" s="179" t="s">
        <v>22</v>
      </c>
      <c r="Q42" s="179" t="s">
        <v>74</v>
      </c>
      <c r="R42" s="187"/>
      <c r="S42" s="182" t="str">
        <f t="shared" si="11"/>
        <v>040-104-000008237</v>
      </c>
      <c r="T42" s="188">
        <v>190413861</v>
      </c>
      <c r="U42" s="189" t="s">
        <v>339</v>
      </c>
    </row>
    <row r="43" spans="1:21" ht="32.25" customHeight="1">
      <c r="A43">
        <v>38</v>
      </c>
      <c r="B43" s="183">
        <v>45624</v>
      </c>
      <c r="C43" s="182" t="s">
        <v>161</v>
      </c>
      <c r="D43" s="182" t="s">
        <v>335</v>
      </c>
      <c r="E43" s="179">
        <v>40483182</v>
      </c>
      <c r="F43" s="182" t="s">
        <v>364</v>
      </c>
      <c r="G43" s="182" t="s">
        <v>367</v>
      </c>
      <c r="H43" s="179" t="s">
        <v>42</v>
      </c>
      <c r="I43" s="179" t="s">
        <v>74</v>
      </c>
      <c r="J43" s="179" t="s">
        <v>75</v>
      </c>
      <c r="K43" s="184">
        <v>45785</v>
      </c>
      <c r="L43" s="185" t="s">
        <v>337</v>
      </c>
      <c r="M43" s="185" t="s">
        <v>338</v>
      </c>
      <c r="N43" s="182">
        <v>992866889</v>
      </c>
      <c r="O43" s="186">
        <v>30</v>
      </c>
      <c r="P43" s="179" t="s">
        <v>22</v>
      </c>
      <c r="Q43" s="179" t="s">
        <v>74</v>
      </c>
      <c r="R43" s="187"/>
      <c r="S43" s="182" t="str">
        <f t="shared" si="11"/>
        <v>040-104-000008237</v>
      </c>
      <c r="T43" s="188">
        <v>190413861</v>
      </c>
      <c r="U43" s="189" t="s">
        <v>339</v>
      </c>
    </row>
    <row r="44" spans="1:21" ht="32.25" customHeight="1">
      <c r="A44">
        <v>39</v>
      </c>
      <c r="B44" s="183">
        <v>45624</v>
      </c>
      <c r="C44" s="182" t="s">
        <v>161</v>
      </c>
      <c r="D44" s="182" t="s">
        <v>335</v>
      </c>
      <c r="E44" s="179">
        <v>112570075</v>
      </c>
      <c r="F44" s="182" t="s">
        <v>185</v>
      </c>
      <c r="G44" s="182" t="s">
        <v>368</v>
      </c>
      <c r="H44" s="179" t="s">
        <v>42</v>
      </c>
      <c r="I44" s="179" t="s">
        <v>74</v>
      </c>
      <c r="J44" s="179" t="s">
        <v>75</v>
      </c>
      <c r="K44" s="184">
        <v>45785</v>
      </c>
      <c r="L44" s="185" t="s">
        <v>337</v>
      </c>
      <c r="M44" s="185" t="s">
        <v>338</v>
      </c>
      <c r="N44" s="182">
        <v>992866889</v>
      </c>
      <c r="O44" s="186">
        <v>20</v>
      </c>
      <c r="P44" s="179" t="s">
        <v>22</v>
      </c>
      <c r="Q44" s="179" t="s">
        <v>74</v>
      </c>
      <c r="R44" s="187"/>
      <c r="S44" s="182" t="str">
        <f t="shared" si="11"/>
        <v>040-104-000008237</v>
      </c>
      <c r="T44" s="188">
        <v>190413861</v>
      </c>
      <c r="U44" s="189" t="s">
        <v>339</v>
      </c>
    </row>
    <row r="45" spans="1:21" ht="32.25" customHeight="1">
      <c r="A45">
        <v>40</v>
      </c>
      <c r="B45" s="183">
        <v>45624</v>
      </c>
      <c r="C45" s="182" t="s">
        <v>149</v>
      </c>
      <c r="D45" s="182" t="s">
        <v>466</v>
      </c>
      <c r="E45" s="179">
        <v>40782127</v>
      </c>
      <c r="F45" s="182" t="s">
        <v>184</v>
      </c>
      <c r="G45" s="182" t="s">
        <v>467</v>
      </c>
      <c r="H45" s="179" t="s">
        <v>42</v>
      </c>
      <c r="I45" s="179" t="s">
        <v>74</v>
      </c>
      <c r="J45" s="179" t="s">
        <v>75</v>
      </c>
      <c r="K45" s="184">
        <v>45792</v>
      </c>
      <c r="L45" s="185" t="s">
        <v>468</v>
      </c>
      <c r="M45" s="185" t="s">
        <v>469</v>
      </c>
      <c r="N45" s="182">
        <v>99688684</v>
      </c>
      <c r="O45" s="186">
        <v>15</v>
      </c>
      <c r="P45" s="179" t="s">
        <v>22</v>
      </c>
      <c r="Q45" s="179" t="s">
        <v>74</v>
      </c>
      <c r="R45" s="187"/>
      <c r="S45" s="182" t="str">
        <f t="shared" si="0"/>
        <v>001-500-000072253</v>
      </c>
      <c r="T45" s="188">
        <v>201284603</v>
      </c>
      <c r="U45" s="189" t="s">
        <v>470</v>
      </c>
    </row>
    <row r="46" spans="1:21" ht="32.25" customHeight="1">
      <c r="A46">
        <v>42</v>
      </c>
      <c r="B46" s="183">
        <v>45624</v>
      </c>
      <c r="C46" s="182" t="s">
        <v>149</v>
      </c>
      <c r="D46" s="182" t="s">
        <v>466</v>
      </c>
      <c r="E46" s="179">
        <v>113620002</v>
      </c>
      <c r="F46" s="182" t="s">
        <v>472</v>
      </c>
      <c r="G46" s="182" t="s">
        <v>473</v>
      </c>
      <c r="H46" s="179" t="s">
        <v>42</v>
      </c>
      <c r="I46" s="179" t="s">
        <v>74</v>
      </c>
      <c r="J46" s="179" t="s">
        <v>75</v>
      </c>
      <c r="K46" s="184">
        <v>45792</v>
      </c>
      <c r="L46" s="185" t="s">
        <v>468</v>
      </c>
      <c r="M46" s="185" t="s">
        <v>469</v>
      </c>
      <c r="N46" s="182">
        <v>99688684</v>
      </c>
      <c r="O46" s="186">
        <v>15</v>
      </c>
      <c r="P46" s="179" t="s">
        <v>22</v>
      </c>
      <c r="Q46" s="179" t="s">
        <v>74</v>
      </c>
      <c r="R46" s="187"/>
      <c r="S46" s="182" t="str">
        <f t="shared" ref="S46:S47" si="12">D46</f>
        <v>001-500-000072253</v>
      </c>
      <c r="T46" s="188">
        <v>201284603</v>
      </c>
      <c r="U46" s="189" t="s">
        <v>470</v>
      </c>
    </row>
    <row r="47" spans="1:21" ht="32.25" customHeight="1">
      <c r="A47">
        <v>43</v>
      </c>
      <c r="B47" s="183">
        <v>45624</v>
      </c>
      <c r="C47" s="182" t="s">
        <v>149</v>
      </c>
      <c r="D47" s="182" t="s">
        <v>475</v>
      </c>
      <c r="E47" s="179">
        <v>111000051</v>
      </c>
      <c r="F47" s="182" t="s">
        <v>153</v>
      </c>
      <c r="G47" s="182" t="s">
        <v>474</v>
      </c>
      <c r="H47" s="179" t="s">
        <v>42</v>
      </c>
      <c r="I47" s="179" t="s">
        <v>74</v>
      </c>
      <c r="J47" s="179" t="s">
        <v>75</v>
      </c>
      <c r="K47" s="184">
        <v>45792</v>
      </c>
      <c r="L47" s="185" t="s">
        <v>468</v>
      </c>
      <c r="M47" s="185" t="s">
        <v>469</v>
      </c>
      <c r="N47" s="182">
        <v>99688684</v>
      </c>
      <c r="O47" s="186">
        <v>15</v>
      </c>
      <c r="P47" s="179" t="s">
        <v>22</v>
      </c>
      <c r="Q47" s="179" t="s">
        <v>74</v>
      </c>
      <c r="R47" s="187"/>
      <c r="S47" s="182" t="str">
        <f t="shared" si="12"/>
        <v>001-501-000068309</v>
      </c>
      <c r="T47" s="188">
        <v>201284603</v>
      </c>
      <c r="U47" s="189" t="s">
        <v>470</v>
      </c>
    </row>
    <row r="48" spans="1:21" ht="32.25" customHeight="1">
      <c r="A48">
        <v>44</v>
      </c>
      <c r="B48" s="183">
        <v>45143</v>
      </c>
      <c r="C48" s="182" t="s">
        <v>149</v>
      </c>
      <c r="D48" s="182" t="s">
        <v>476</v>
      </c>
      <c r="E48" s="179">
        <v>112580027</v>
      </c>
      <c r="F48" s="182" t="s">
        <v>209</v>
      </c>
      <c r="G48" s="182" t="s">
        <v>477</v>
      </c>
      <c r="H48" s="179" t="s">
        <v>42</v>
      </c>
      <c r="I48" s="179" t="s">
        <v>74</v>
      </c>
      <c r="J48" s="179" t="s">
        <v>75</v>
      </c>
      <c r="K48" s="184">
        <v>45793</v>
      </c>
      <c r="L48" s="185" t="s">
        <v>478</v>
      </c>
      <c r="M48" s="185" t="s">
        <v>147</v>
      </c>
      <c r="N48" s="182">
        <v>983056803</v>
      </c>
      <c r="O48" s="186">
        <v>20</v>
      </c>
      <c r="P48" s="179" t="s">
        <v>22</v>
      </c>
      <c r="Q48" s="179" t="s">
        <v>74</v>
      </c>
      <c r="R48" s="187"/>
      <c r="S48" s="182" t="str">
        <f t="shared" si="0"/>
        <v>001-500-000054696</v>
      </c>
      <c r="T48" s="188">
        <v>104177597</v>
      </c>
      <c r="U48" s="189" t="s">
        <v>479</v>
      </c>
    </row>
    <row r="49" spans="1:21" ht="32.25" customHeight="1">
      <c r="A49">
        <v>45</v>
      </c>
      <c r="B49" s="183">
        <v>45143</v>
      </c>
      <c r="C49" s="182" t="s">
        <v>149</v>
      </c>
      <c r="D49" s="182" t="s">
        <v>476</v>
      </c>
      <c r="E49" s="179">
        <v>40456111</v>
      </c>
      <c r="F49" s="182" t="s">
        <v>480</v>
      </c>
      <c r="G49" s="182" t="s">
        <v>481</v>
      </c>
      <c r="H49" s="179" t="s">
        <v>42</v>
      </c>
      <c r="I49" s="179" t="s">
        <v>74</v>
      </c>
      <c r="J49" s="179" t="s">
        <v>75</v>
      </c>
      <c r="K49" s="184">
        <v>45793</v>
      </c>
      <c r="L49" s="185" t="s">
        <v>478</v>
      </c>
      <c r="M49" s="185" t="s">
        <v>147</v>
      </c>
      <c r="N49" s="182">
        <v>983056803</v>
      </c>
      <c r="O49" s="186">
        <v>20</v>
      </c>
      <c r="P49" s="179" t="s">
        <v>22</v>
      </c>
      <c r="Q49" s="179" t="s">
        <v>74</v>
      </c>
      <c r="R49" s="187"/>
      <c r="S49" s="182" t="str">
        <f t="shared" ref="S49:S51" si="13">D49</f>
        <v>001-500-000054696</v>
      </c>
      <c r="T49" s="188">
        <v>104177597</v>
      </c>
      <c r="U49" s="189" t="s">
        <v>479</v>
      </c>
    </row>
    <row r="50" spans="1:21" ht="32.25" customHeight="1">
      <c r="A50">
        <v>46</v>
      </c>
      <c r="B50" s="183">
        <v>45756</v>
      </c>
      <c r="C50" s="182" t="s">
        <v>149</v>
      </c>
      <c r="D50" s="182" t="s">
        <v>475</v>
      </c>
      <c r="E50" s="179">
        <v>112960004</v>
      </c>
      <c r="F50" s="182" t="s">
        <v>482</v>
      </c>
      <c r="G50" s="182" t="s">
        <v>483</v>
      </c>
      <c r="H50" s="179" t="s">
        <v>42</v>
      </c>
      <c r="I50" s="179" t="s">
        <v>74</v>
      </c>
      <c r="J50" s="179" t="s">
        <v>75</v>
      </c>
      <c r="K50" s="184">
        <v>45793</v>
      </c>
      <c r="L50" s="185" t="s">
        <v>468</v>
      </c>
      <c r="M50" s="185" t="s">
        <v>469</v>
      </c>
      <c r="N50" s="182">
        <v>99688684</v>
      </c>
      <c r="O50" s="186">
        <v>20</v>
      </c>
      <c r="P50" s="179" t="s">
        <v>22</v>
      </c>
      <c r="Q50" s="179" t="s">
        <v>74</v>
      </c>
      <c r="R50" s="187"/>
      <c r="S50" s="182" t="str">
        <f t="shared" si="13"/>
        <v>001-501-000068309</v>
      </c>
      <c r="T50" s="188">
        <v>201284603</v>
      </c>
      <c r="U50" s="189" t="s">
        <v>470</v>
      </c>
    </row>
    <row r="51" spans="1:21" ht="32.25" customHeight="1">
      <c r="A51">
        <v>47</v>
      </c>
      <c r="B51" s="183">
        <v>45756</v>
      </c>
      <c r="C51" s="182" t="s">
        <v>149</v>
      </c>
      <c r="D51" s="182" t="s">
        <v>475</v>
      </c>
      <c r="E51" s="179">
        <v>112570128</v>
      </c>
      <c r="F51" s="182" t="s">
        <v>484</v>
      </c>
      <c r="G51" s="182" t="s">
        <v>485</v>
      </c>
      <c r="H51" s="179" t="s">
        <v>42</v>
      </c>
      <c r="I51" s="179" t="s">
        <v>74</v>
      </c>
      <c r="J51" s="179" t="s">
        <v>75</v>
      </c>
      <c r="K51" s="184">
        <v>45793</v>
      </c>
      <c r="L51" s="185" t="s">
        <v>468</v>
      </c>
      <c r="M51" s="185" t="s">
        <v>469</v>
      </c>
      <c r="N51" s="182">
        <v>99688684</v>
      </c>
      <c r="O51" s="186">
        <v>20</v>
      </c>
      <c r="P51" s="179" t="s">
        <v>22</v>
      </c>
      <c r="Q51" s="179" t="s">
        <v>74</v>
      </c>
      <c r="R51" s="187"/>
      <c r="S51" s="182" t="str">
        <f t="shared" si="13"/>
        <v>001-501-000068309</v>
      </c>
      <c r="T51" s="188">
        <v>201284603</v>
      </c>
      <c r="U51" s="189" t="s">
        <v>470</v>
      </c>
    </row>
    <row r="52" spans="1:21" ht="32.25" customHeight="1">
      <c r="A52">
        <v>48</v>
      </c>
      <c r="B52" s="183">
        <v>45523</v>
      </c>
      <c r="C52" s="182" t="s">
        <v>531</v>
      </c>
      <c r="D52" s="182" t="s">
        <v>532</v>
      </c>
      <c r="E52" s="179">
        <v>111000051</v>
      </c>
      <c r="F52" s="182" t="s">
        <v>153</v>
      </c>
      <c r="G52" s="182" t="s">
        <v>533</v>
      </c>
      <c r="H52" s="179" t="s">
        <v>42</v>
      </c>
      <c r="I52" s="179" t="s">
        <v>74</v>
      </c>
      <c r="J52" s="179" t="s">
        <v>75</v>
      </c>
      <c r="K52" s="184">
        <v>45793</v>
      </c>
      <c r="L52" s="185" t="s">
        <v>534</v>
      </c>
      <c r="M52" s="185" t="s">
        <v>147</v>
      </c>
      <c r="N52" s="182">
        <v>989661501</v>
      </c>
      <c r="O52" s="186">
        <v>15</v>
      </c>
      <c r="P52" s="179" t="s">
        <v>22</v>
      </c>
      <c r="Q52" s="179" t="s">
        <v>74</v>
      </c>
      <c r="R52" s="187"/>
      <c r="S52" s="182" t="str">
        <f t="shared" si="0"/>
        <v>007-006-000129478</v>
      </c>
      <c r="T52" s="188">
        <v>301530069</v>
      </c>
      <c r="U52" s="189" t="s">
        <v>535</v>
      </c>
    </row>
    <row r="53" spans="1:21" ht="32.25" customHeight="1">
      <c r="A53">
        <v>49</v>
      </c>
      <c r="B53" s="183">
        <v>45507</v>
      </c>
      <c r="C53" s="182" t="s">
        <v>140</v>
      </c>
      <c r="D53" s="182" t="s">
        <v>536</v>
      </c>
      <c r="E53" s="179">
        <v>112580058</v>
      </c>
      <c r="F53" s="182" t="s">
        <v>123</v>
      </c>
      <c r="G53" s="182" t="s">
        <v>537</v>
      </c>
      <c r="H53" s="179" t="s">
        <v>42</v>
      </c>
      <c r="I53" s="179" t="s">
        <v>74</v>
      </c>
      <c r="J53" s="179" t="s">
        <v>75</v>
      </c>
      <c r="K53" s="184">
        <v>45793</v>
      </c>
      <c r="L53" s="185" t="s">
        <v>534</v>
      </c>
      <c r="M53" s="185" t="s">
        <v>147</v>
      </c>
      <c r="N53" s="182">
        <v>989661501</v>
      </c>
      <c r="O53" s="186">
        <v>15</v>
      </c>
      <c r="P53" s="179" t="s">
        <v>22</v>
      </c>
      <c r="Q53" s="179" t="s">
        <v>74</v>
      </c>
      <c r="R53" s="187"/>
      <c r="S53" s="182" t="str">
        <f t="shared" ref="S53:S54" si="14">D53</f>
        <v>016-902-000472415</v>
      </c>
      <c r="T53" s="188">
        <v>301530069</v>
      </c>
      <c r="U53" s="189" t="s">
        <v>535</v>
      </c>
    </row>
    <row r="54" spans="1:21" ht="32.25" customHeight="1">
      <c r="A54">
        <v>50</v>
      </c>
      <c r="B54" s="183">
        <v>45507</v>
      </c>
      <c r="C54" s="182" t="s">
        <v>149</v>
      </c>
      <c r="D54" s="182" t="s">
        <v>538</v>
      </c>
      <c r="E54" s="179">
        <v>40466111</v>
      </c>
      <c r="F54" s="182" t="s">
        <v>480</v>
      </c>
      <c r="G54" s="182" t="s">
        <v>539</v>
      </c>
      <c r="H54" s="179" t="s">
        <v>42</v>
      </c>
      <c r="I54" s="179" t="s">
        <v>74</v>
      </c>
      <c r="J54" s="179" t="s">
        <v>75</v>
      </c>
      <c r="K54" s="184">
        <v>45793</v>
      </c>
      <c r="L54" s="185" t="s">
        <v>534</v>
      </c>
      <c r="M54" s="185" t="s">
        <v>147</v>
      </c>
      <c r="N54" s="182">
        <v>989661501</v>
      </c>
      <c r="O54" s="186">
        <v>15</v>
      </c>
      <c r="P54" s="179" t="s">
        <v>22</v>
      </c>
      <c r="Q54" s="179" t="s">
        <v>74</v>
      </c>
      <c r="R54" s="187"/>
      <c r="S54" s="182" t="str">
        <f t="shared" si="14"/>
        <v>001-500-000065258</v>
      </c>
      <c r="T54" s="188">
        <v>301530069</v>
      </c>
      <c r="U54" s="189" t="s">
        <v>535</v>
      </c>
    </row>
    <row r="55" spans="1:21" ht="32.25" customHeight="1">
      <c r="A55">
        <v>51</v>
      </c>
      <c r="B55" s="183">
        <v>45708</v>
      </c>
      <c r="C55" s="182" t="s">
        <v>121</v>
      </c>
      <c r="D55" s="182" t="s">
        <v>565</v>
      </c>
      <c r="E55" s="179">
        <v>40467305</v>
      </c>
      <c r="F55" s="182" t="s">
        <v>110</v>
      </c>
      <c r="G55" s="182" t="s">
        <v>545</v>
      </c>
      <c r="H55" s="179" t="s">
        <v>42</v>
      </c>
      <c r="I55" s="179" t="s">
        <v>74</v>
      </c>
      <c r="J55" s="179" t="s">
        <v>75</v>
      </c>
      <c r="K55" s="184">
        <v>45794</v>
      </c>
      <c r="L55" s="185" t="s">
        <v>547</v>
      </c>
      <c r="M55" s="185" t="s">
        <v>548</v>
      </c>
      <c r="N55" s="182">
        <v>99284569</v>
      </c>
      <c r="O55" s="186">
        <v>20</v>
      </c>
      <c r="P55" s="179" t="s">
        <v>22</v>
      </c>
      <c r="Q55" s="179" t="s">
        <v>74</v>
      </c>
      <c r="R55" s="187"/>
      <c r="S55" s="182" t="str">
        <f t="shared" si="0"/>
        <v>002-201-00005695</v>
      </c>
      <c r="T55" s="188">
        <v>102491933</v>
      </c>
      <c r="U55" s="189" t="s">
        <v>549</v>
      </c>
    </row>
    <row r="56" spans="1:21" ht="32.25" customHeight="1">
      <c r="A56">
        <v>52</v>
      </c>
      <c r="B56" s="183">
        <v>45708</v>
      </c>
      <c r="C56" s="182" t="s">
        <v>121</v>
      </c>
      <c r="D56" s="182" t="s">
        <v>566</v>
      </c>
      <c r="E56" s="179">
        <v>11258027</v>
      </c>
      <c r="F56" s="182" t="s">
        <v>209</v>
      </c>
      <c r="G56" s="182" t="s">
        <v>546</v>
      </c>
      <c r="H56" s="179" t="s">
        <v>42</v>
      </c>
      <c r="I56" s="179" t="s">
        <v>74</v>
      </c>
      <c r="J56" s="179" t="s">
        <v>75</v>
      </c>
      <c r="K56" s="184">
        <v>45794</v>
      </c>
      <c r="L56" s="185" t="s">
        <v>547</v>
      </c>
      <c r="M56" s="185" t="s">
        <v>548</v>
      </c>
      <c r="N56" s="182">
        <v>99284569</v>
      </c>
      <c r="O56" s="186">
        <v>20</v>
      </c>
      <c r="P56" s="179" t="s">
        <v>22</v>
      </c>
      <c r="Q56" s="179" t="s">
        <v>74</v>
      </c>
      <c r="R56" s="187"/>
      <c r="S56" s="182" t="str">
        <f t="shared" ref="S56" si="15">D56</f>
        <v>002-201-00004058</v>
      </c>
      <c r="T56" s="188">
        <v>102491933</v>
      </c>
      <c r="U56" s="189" t="s">
        <v>549</v>
      </c>
    </row>
    <row r="57" spans="1:21" ht="32.25" customHeight="1">
      <c r="A57">
        <v>53</v>
      </c>
      <c r="B57" s="183">
        <v>44965</v>
      </c>
      <c r="C57" s="182" t="s">
        <v>149</v>
      </c>
      <c r="D57" s="182" t="s">
        <v>550</v>
      </c>
      <c r="E57" s="179">
        <v>112570126</v>
      </c>
      <c r="F57" s="182" t="s">
        <v>151</v>
      </c>
      <c r="G57" s="182" t="s">
        <v>553</v>
      </c>
      <c r="H57" s="179" t="s">
        <v>42</v>
      </c>
      <c r="I57" s="179" t="s">
        <v>74</v>
      </c>
      <c r="J57" s="179" t="s">
        <v>75</v>
      </c>
      <c r="K57" s="184">
        <v>45794</v>
      </c>
      <c r="L57" s="185" t="s">
        <v>556</v>
      </c>
      <c r="M57" s="185" t="s">
        <v>557</v>
      </c>
      <c r="N57" s="182">
        <v>969205406</v>
      </c>
      <c r="O57" s="186">
        <v>15</v>
      </c>
      <c r="P57" s="179" t="s">
        <v>22</v>
      </c>
      <c r="Q57" s="179" t="s">
        <v>74</v>
      </c>
      <c r="R57" s="187"/>
      <c r="S57" s="182" t="str">
        <f t="shared" si="0"/>
        <v>001-502-000000127</v>
      </c>
      <c r="T57" s="188">
        <v>103567483</v>
      </c>
      <c r="U57" s="189" t="s">
        <v>558</v>
      </c>
    </row>
    <row r="58" spans="1:21" ht="32.25" customHeight="1">
      <c r="A58">
        <v>54</v>
      </c>
      <c r="B58" s="183">
        <v>44965</v>
      </c>
      <c r="C58" s="182" t="s">
        <v>149</v>
      </c>
      <c r="D58" s="182" t="s">
        <v>550</v>
      </c>
      <c r="E58" s="179">
        <v>111000078</v>
      </c>
      <c r="F58" s="182" t="s">
        <v>551</v>
      </c>
      <c r="G58" s="182" t="s">
        <v>554</v>
      </c>
      <c r="H58" s="179" t="s">
        <v>42</v>
      </c>
      <c r="I58" s="179" t="s">
        <v>74</v>
      </c>
      <c r="J58" s="179" t="s">
        <v>75</v>
      </c>
      <c r="K58" s="184">
        <v>45794</v>
      </c>
      <c r="L58" s="185" t="s">
        <v>556</v>
      </c>
      <c r="M58" s="185" t="s">
        <v>557</v>
      </c>
      <c r="N58" s="182">
        <v>969205406</v>
      </c>
      <c r="O58" s="186">
        <v>15</v>
      </c>
      <c r="P58" s="179" t="s">
        <v>22</v>
      </c>
      <c r="Q58" s="179" t="s">
        <v>74</v>
      </c>
      <c r="R58" s="187"/>
      <c r="S58" s="182" t="str">
        <f t="shared" ref="S58:S59" si="16">D58</f>
        <v>001-502-000000127</v>
      </c>
      <c r="T58" s="188">
        <v>103567483</v>
      </c>
      <c r="U58" s="189" t="s">
        <v>558</v>
      </c>
    </row>
    <row r="59" spans="1:21" ht="32.25" customHeight="1">
      <c r="A59">
        <v>55</v>
      </c>
      <c r="B59" s="183">
        <v>44965</v>
      </c>
      <c r="C59" s="182" t="s">
        <v>149</v>
      </c>
      <c r="D59" s="182" t="s">
        <v>550</v>
      </c>
      <c r="E59" s="179">
        <v>112030015</v>
      </c>
      <c r="F59" s="182" t="s">
        <v>552</v>
      </c>
      <c r="G59" s="182" t="s">
        <v>555</v>
      </c>
      <c r="H59" s="179" t="s">
        <v>42</v>
      </c>
      <c r="I59" s="179" t="s">
        <v>74</v>
      </c>
      <c r="J59" s="179" t="s">
        <v>75</v>
      </c>
      <c r="K59" s="184">
        <v>45794</v>
      </c>
      <c r="L59" s="185" t="s">
        <v>556</v>
      </c>
      <c r="M59" s="185" t="s">
        <v>557</v>
      </c>
      <c r="N59" s="182">
        <v>969205406</v>
      </c>
      <c r="O59" s="186">
        <v>15</v>
      </c>
      <c r="P59" s="179" t="s">
        <v>22</v>
      </c>
      <c r="Q59" s="179" t="s">
        <v>74</v>
      </c>
      <c r="R59" s="187"/>
      <c r="S59" s="182" t="str">
        <f t="shared" si="16"/>
        <v>001-502-000000127</v>
      </c>
      <c r="T59" s="188">
        <v>103567483</v>
      </c>
      <c r="U59" s="189" t="s">
        <v>558</v>
      </c>
    </row>
    <row r="60" spans="1:21" ht="32.25" customHeight="1">
      <c r="A60">
        <v>56</v>
      </c>
      <c r="B60" s="183">
        <v>45418</v>
      </c>
      <c r="C60" s="182" t="s">
        <v>149</v>
      </c>
      <c r="D60" s="182" t="s">
        <v>559</v>
      </c>
      <c r="E60" s="179">
        <v>40467305</v>
      </c>
      <c r="F60" s="182" t="s">
        <v>110</v>
      </c>
      <c r="G60" s="182" t="s">
        <v>560</v>
      </c>
      <c r="H60" s="179" t="s">
        <v>42</v>
      </c>
      <c r="I60" s="179" t="s">
        <v>74</v>
      </c>
      <c r="J60" s="179" t="s">
        <v>75</v>
      </c>
      <c r="K60" s="184">
        <v>45794</v>
      </c>
      <c r="L60" s="185" t="s">
        <v>562</v>
      </c>
      <c r="M60" s="185" t="s">
        <v>563</v>
      </c>
      <c r="N60" s="182">
        <v>983380922</v>
      </c>
      <c r="O60" s="186">
        <v>20</v>
      </c>
      <c r="P60" s="179" t="s">
        <v>22</v>
      </c>
      <c r="Q60" s="179" t="s">
        <v>74</v>
      </c>
      <c r="R60" s="187"/>
      <c r="S60" s="182" t="str">
        <f t="shared" si="0"/>
        <v>001-502-000000258</v>
      </c>
      <c r="T60" s="188">
        <v>702057498</v>
      </c>
      <c r="U60" s="189" t="s">
        <v>564</v>
      </c>
    </row>
    <row r="61" spans="1:21" ht="32.25" customHeight="1">
      <c r="A61">
        <v>57</v>
      </c>
      <c r="B61" s="183">
        <v>45418</v>
      </c>
      <c r="C61" s="182" t="s">
        <v>149</v>
      </c>
      <c r="D61" s="182" t="s">
        <v>559</v>
      </c>
      <c r="E61" s="179">
        <v>112580017</v>
      </c>
      <c r="F61" s="182" t="s">
        <v>133</v>
      </c>
      <c r="G61" s="182" t="s">
        <v>561</v>
      </c>
      <c r="H61" s="179" t="s">
        <v>42</v>
      </c>
      <c r="I61" s="179" t="s">
        <v>74</v>
      </c>
      <c r="J61" s="179" t="s">
        <v>75</v>
      </c>
      <c r="K61" s="184">
        <v>45794</v>
      </c>
      <c r="L61" s="185" t="s">
        <v>562</v>
      </c>
      <c r="M61" s="185" t="s">
        <v>563</v>
      </c>
      <c r="N61" s="182">
        <v>983380922</v>
      </c>
      <c r="O61" s="186">
        <v>20</v>
      </c>
      <c r="P61" s="179" t="s">
        <v>22</v>
      </c>
      <c r="Q61" s="179" t="s">
        <v>74</v>
      </c>
      <c r="R61" s="187"/>
      <c r="S61" s="182" t="str">
        <f t="shared" ref="S61:S62" si="17">D61</f>
        <v>001-502-000000258</v>
      </c>
      <c r="T61" s="188">
        <v>702057498</v>
      </c>
      <c r="U61" s="189" t="s">
        <v>564</v>
      </c>
    </row>
    <row r="62" spans="1:21" ht="32.25" customHeight="1">
      <c r="A62">
        <v>56</v>
      </c>
      <c r="B62" s="183">
        <v>45787</v>
      </c>
      <c r="C62" s="182" t="s">
        <v>568</v>
      </c>
      <c r="D62" s="182" t="s">
        <v>569</v>
      </c>
      <c r="E62" s="179">
        <v>113430018</v>
      </c>
      <c r="F62" s="182" t="s">
        <v>570</v>
      </c>
      <c r="G62" s="182" t="s">
        <v>571</v>
      </c>
      <c r="H62" s="179" t="s">
        <v>42</v>
      </c>
      <c r="I62" s="179" t="s">
        <v>74</v>
      </c>
      <c r="J62" s="179" t="s">
        <v>75</v>
      </c>
      <c r="K62" s="184">
        <v>45795</v>
      </c>
      <c r="L62" s="185" t="s">
        <v>572</v>
      </c>
      <c r="M62" s="185" t="s">
        <v>573</v>
      </c>
      <c r="N62" s="182">
        <v>997937836</v>
      </c>
      <c r="O62" s="186">
        <v>20</v>
      </c>
      <c r="P62" s="179" t="s">
        <v>22</v>
      </c>
      <c r="Q62" s="179" t="s">
        <v>74</v>
      </c>
      <c r="R62" s="187"/>
      <c r="S62" s="182" t="str">
        <f t="shared" si="17"/>
        <v>040-104-000011315</v>
      </c>
      <c r="T62" s="188">
        <v>103365227</v>
      </c>
      <c r="U62" s="189" t="s">
        <v>574</v>
      </c>
    </row>
    <row r="63" spans="1:21" ht="32.25" customHeight="1">
      <c r="A63">
        <v>57</v>
      </c>
      <c r="B63" s="183">
        <v>45766</v>
      </c>
      <c r="C63" s="182" t="s">
        <v>149</v>
      </c>
      <c r="D63" s="182" t="s">
        <v>544</v>
      </c>
      <c r="E63" s="179">
        <v>40467305</v>
      </c>
      <c r="F63" s="182" t="s">
        <v>110</v>
      </c>
      <c r="G63" s="182" t="s">
        <v>575</v>
      </c>
      <c r="H63" s="179" t="s">
        <v>42</v>
      </c>
      <c r="I63" s="179" t="s">
        <v>74</v>
      </c>
      <c r="J63" s="179" t="s">
        <v>75</v>
      </c>
      <c r="K63" s="184">
        <v>45795</v>
      </c>
      <c r="L63" s="185" t="s">
        <v>572</v>
      </c>
      <c r="M63" s="185" t="s">
        <v>573</v>
      </c>
      <c r="N63" s="182">
        <v>997937836</v>
      </c>
      <c r="O63" s="186">
        <v>20</v>
      </c>
      <c r="P63" s="179" t="s">
        <v>22</v>
      </c>
      <c r="Q63" s="179" t="s">
        <v>74</v>
      </c>
      <c r="R63" s="187"/>
      <c r="S63" s="182" t="str">
        <f t="shared" ref="S63" si="18">D63</f>
        <v>001-500-000072612</v>
      </c>
      <c r="T63" s="188">
        <v>103365227</v>
      </c>
      <c r="U63" s="189" t="s">
        <v>574</v>
      </c>
    </row>
    <row r="64" spans="1:21">
      <c r="O64" s="130">
        <f>SUM(O6:O63)</f>
        <v>1070</v>
      </c>
    </row>
    <row r="70" spans="11:13">
      <c r="K70">
        <v>3</v>
      </c>
      <c r="L70">
        <v>30</v>
      </c>
      <c r="M70">
        <f>K70*L70</f>
        <v>90</v>
      </c>
    </row>
    <row r="71" spans="11:13">
      <c r="K71">
        <v>24</v>
      </c>
      <c r="L71">
        <v>15</v>
      </c>
      <c r="M71">
        <f>K71*L71</f>
        <v>360</v>
      </c>
    </row>
    <row r="72" spans="11:13">
      <c r="K72">
        <v>31</v>
      </c>
      <c r="L72">
        <v>20</v>
      </c>
      <c r="M72">
        <f>K72*L72</f>
        <v>620</v>
      </c>
    </row>
    <row r="73" spans="11:13">
      <c r="M73">
        <f>SUM(M70:M72)</f>
        <v>1070</v>
      </c>
    </row>
  </sheetData>
  <hyperlinks>
    <hyperlink ref="U6" r:id="rId1" xr:uid="{1598B3DA-0D98-9D4D-9EFC-5E0F485F7295}"/>
    <hyperlink ref="U7" r:id="rId2" xr:uid="{1F29BA99-9555-C043-8472-17273232C1CD}"/>
    <hyperlink ref="U8" r:id="rId3" xr:uid="{C6982CA8-4381-E246-84D9-05A500D4603E}"/>
    <hyperlink ref="U9" r:id="rId4" xr:uid="{69B78BB1-04F7-4A48-BDC6-56A24E4DDE9C}"/>
    <hyperlink ref="U10" r:id="rId5" xr:uid="{717A425D-69BC-0F42-9990-72E3F48FB9F3}"/>
    <hyperlink ref="U11" r:id="rId6" xr:uid="{ED1388BA-1D3B-2C4E-BACE-CB5B8D037100}"/>
    <hyperlink ref="U12" r:id="rId7" xr:uid="{1D0DF270-DD86-CE4F-8544-DF5C00388004}"/>
    <hyperlink ref="U13" r:id="rId8" xr:uid="{C61301D1-1492-CC48-90F5-31248B1D70C5}"/>
    <hyperlink ref="U14" r:id="rId9" xr:uid="{B34FCFF3-3BC0-EF4B-945C-009BC8A7AD43}"/>
    <hyperlink ref="U15" r:id="rId10" xr:uid="{3906FFF1-1B62-A440-9DF4-6DBF42C1E01E}"/>
    <hyperlink ref="U16" r:id="rId11" xr:uid="{7A58E265-9279-AF4F-92AC-8520D1A86503}"/>
    <hyperlink ref="U17" r:id="rId12" xr:uid="{48A54BE2-7039-664F-A950-67421A9841CC}"/>
    <hyperlink ref="U18" r:id="rId13" xr:uid="{AC50E7D0-2BF4-F843-920D-12F4DA1112B7}"/>
    <hyperlink ref="U19" r:id="rId14" xr:uid="{F261540D-13FA-5F45-8530-D02968C54F28}"/>
    <hyperlink ref="U20" r:id="rId15" xr:uid="{3537697B-CED2-0E4A-9760-5F35F3657D36}"/>
    <hyperlink ref="U21" r:id="rId16" xr:uid="{98CCFE84-ABFB-854F-8581-0BD6046A953A}"/>
    <hyperlink ref="U22" r:id="rId17" xr:uid="{E3993464-7417-3B40-90AE-8B3F6363E4CE}"/>
    <hyperlink ref="U23" r:id="rId18" xr:uid="{8792FB10-9C42-F34C-B0E9-F5C4330A72F4}"/>
    <hyperlink ref="U24" r:id="rId19" xr:uid="{755CC8DD-9046-9843-8271-2F84013D97B3}"/>
    <hyperlink ref="U25" r:id="rId20" xr:uid="{F24D1248-23C4-9640-85CA-EB10F00CDB52}"/>
    <hyperlink ref="U26" r:id="rId21" xr:uid="{670C32F8-9B1C-FA4F-AAA5-7591D4A703A4}"/>
    <hyperlink ref="U27" r:id="rId22" xr:uid="{DB935B01-EA20-F843-8133-F096EBA871F7}"/>
    <hyperlink ref="U28" r:id="rId23" xr:uid="{A28798AB-2E9D-6445-8287-3656E2A95E16}"/>
    <hyperlink ref="U29" r:id="rId24" xr:uid="{1E36987E-4116-314E-AA64-61CF899F6421}"/>
    <hyperlink ref="U30" r:id="rId25" xr:uid="{A3BFDC99-5FAE-F947-89F4-E7E145BC1536}"/>
    <hyperlink ref="U31" r:id="rId26" xr:uid="{A41EC5E0-2BB6-3C43-A4B8-E6B4224E534F}"/>
    <hyperlink ref="U32" r:id="rId27" xr:uid="{5C0EE9D0-05E5-3C40-A7C0-6AF4F21F2B6B}"/>
    <hyperlink ref="U33" r:id="rId28" xr:uid="{8E1778BE-B40C-0845-BB2F-37AF927105DC}"/>
    <hyperlink ref="U34" r:id="rId29" xr:uid="{A11D157E-3B4E-B84A-819A-9F3C8C6626CD}"/>
    <hyperlink ref="U35" r:id="rId30" xr:uid="{4BF3D6DF-90BB-5248-9CE8-FAF58B1DF015}"/>
    <hyperlink ref="U36" r:id="rId31" xr:uid="{B07D5A5F-4E76-D644-9B80-BBDDE0E222F9}"/>
    <hyperlink ref="U37" r:id="rId32" xr:uid="{38542041-8346-0D41-9033-618CE6EC286E}"/>
    <hyperlink ref="U38" r:id="rId33" xr:uid="{9965EA82-F81A-0545-91A6-96F66FEBAA3C}"/>
    <hyperlink ref="U39" r:id="rId34" xr:uid="{FAF565EC-653A-F049-8B5E-F9C6E2A82867}"/>
    <hyperlink ref="U40" r:id="rId35" xr:uid="{05218F95-EA78-9D4B-AEBA-2B4BF0C4B7F0}"/>
    <hyperlink ref="U41" r:id="rId36" xr:uid="{9809733F-E131-2947-AAFA-6039880E5D36}"/>
    <hyperlink ref="U42" r:id="rId37" xr:uid="{C7E0B98F-6E79-C040-AED5-2A0EAA3C7857}"/>
    <hyperlink ref="U43" r:id="rId38" xr:uid="{2E8E7914-0765-1847-B4FD-18EE2E11D172}"/>
    <hyperlink ref="U44" r:id="rId39" xr:uid="{1BA6DC21-F273-6243-9A7C-60622166A57B}"/>
    <hyperlink ref="U45" r:id="rId40" xr:uid="{7530C597-E047-5041-A43A-EC63E5490462}"/>
    <hyperlink ref="U46" r:id="rId41" xr:uid="{4F07BA9D-D9A2-E246-BA22-DF49B9C85B7D}"/>
    <hyperlink ref="U47" r:id="rId42" xr:uid="{1D6A64E2-9EB3-9547-8943-5F6561D63D49}"/>
    <hyperlink ref="U48" r:id="rId43" xr:uid="{63356D51-91D8-2544-BE35-D54F5B664093}"/>
    <hyperlink ref="U49" r:id="rId44" xr:uid="{947848B0-9DE7-034A-A2FE-6ACC3D6FF501}"/>
    <hyperlink ref="U50" r:id="rId45" xr:uid="{94ADEB9D-9774-DE46-9E45-D977E4AE9F58}"/>
    <hyperlink ref="U51" r:id="rId46" xr:uid="{388217D5-CCA6-254F-BA6C-754483060CB2}"/>
    <hyperlink ref="U52" r:id="rId47" xr:uid="{3F5CD2E1-A484-0445-8AE0-5A2EEFBEAE15}"/>
    <hyperlink ref="U53" r:id="rId48" xr:uid="{62EA035F-D320-F345-9A23-4478F38A0B92}"/>
    <hyperlink ref="U54" r:id="rId49" xr:uid="{E002B934-DF7C-984B-A182-61AC64704323}"/>
    <hyperlink ref="U55" r:id="rId50" xr:uid="{BD009512-C95C-BE41-A5E6-C51DA34837DA}"/>
    <hyperlink ref="U56" r:id="rId51" xr:uid="{AA25E211-3069-8940-8915-D7659EBF468E}"/>
    <hyperlink ref="U57" r:id="rId52" xr:uid="{35B79DA3-0BE1-B14B-8052-82BFBCB16E8B}"/>
    <hyperlink ref="U58" r:id="rId53" xr:uid="{50324009-21A3-4E42-8EB6-49F090E5E42D}"/>
    <hyperlink ref="U59" r:id="rId54" xr:uid="{FCB0698C-3D35-3448-A603-C820FB1778E8}"/>
    <hyperlink ref="U60" r:id="rId55" xr:uid="{7934CD80-BDF5-1A44-BE4E-EC5BEF7E4144}"/>
    <hyperlink ref="U61" r:id="rId56" xr:uid="{D477A6F2-2549-1A41-A2D5-0AC51A5B6B82}"/>
    <hyperlink ref="U62" r:id="rId57" xr:uid="{14B67283-CC13-2547-93FC-5B6E6A5AD049}"/>
    <hyperlink ref="U63" r:id="rId58" xr:uid="{4BC33B41-83F5-944F-A91A-B6941ADE5273}"/>
  </hyperlinks>
  <pageMargins left="0.7" right="0.7" top="0.75" bottom="0.75" header="0.3" footer="0.3"/>
  <pageSetup paperSize="9" orientation="portrait" horizontalDpi="0" verticalDpi="0" r:id="rId59"/>
  <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34"/>
  <sheetViews>
    <sheetView topLeftCell="A3" zoomScaleNormal="100" workbookViewId="0">
      <selection activeCell="R18" sqref="R18"/>
    </sheetView>
  </sheetViews>
  <sheetFormatPr baseColWidth="10" defaultRowHeight="15"/>
  <cols>
    <col min="1" max="1" width="6.33203125" customWidth="1"/>
    <col min="2" max="3" width="13.6640625" bestFit="1" customWidth="1"/>
    <col min="4" max="4" width="11.6640625" bestFit="1" customWidth="1"/>
    <col min="5" max="5" width="17.1640625" customWidth="1"/>
    <col min="6" max="6" width="21" customWidth="1"/>
    <col min="7" max="7" width="12.83203125" bestFit="1" customWidth="1"/>
    <col min="8" max="8" width="28.1640625" customWidth="1"/>
    <col min="9" max="9" width="18.6640625" customWidth="1"/>
    <col min="10" max="10" width="7.6640625" customWidth="1"/>
    <col min="11" max="11" width="12.6640625" customWidth="1"/>
    <col min="12" max="12" width="21" customWidth="1"/>
    <col min="13" max="13" width="34.1640625" bestFit="1" customWidth="1"/>
    <col min="14" max="14" width="11.6640625" bestFit="1" customWidth="1"/>
    <col min="15" max="15" width="21.6640625" bestFit="1" customWidth="1"/>
    <col min="16" max="16" width="23.6640625" customWidth="1"/>
    <col min="17" max="17" width="12.83203125" bestFit="1" customWidth="1"/>
    <col min="18" max="18" width="11.6640625" bestFit="1" customWidth="1"/>
    <col min="19" max="19" width="21" customWidth="1"/>
  </cols>
  <sheetData>
    <row r="2" spans="1:20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3" spans="1:20">
      <c r="A3" s="39"/>
      <c r="B3" s="40"/>
      <c r="C3" s="41" t="s">
        <v>0</v>
      </c>
      <c r="D3" s="42"/>
      <c r="E3" s="43"/>
      <c r="F3" s="44"/>
      <c r="G3" s="45"/>
      <c r="H3" s="46"/>
      <c r="I3" s="46"/>
      <c r="J3" s="46"/>
      <c r="K3" s="46"/>
      <c r="L3" s="46"/>
      <c r="M3" s="47"/>
      <c r="N3" s="46"/>
      <c r="O3" s="39"/>
      <c r="P3" s="46"/>
      <c r="Q3" s="46"/>
      <c r="R3" s="46"/>
      <c r="S3" s="46"/>
    </row>
    <row r="4" spans="1:20">
      <c r="A4" s="39"/>
      <c r="B4" s="40"/>
      <c r="C4" s="48" t="s">
        <v>1</v>
      </c>
      <c r="D4" s="49"/>
      <c r="E4" s="50"/>
      <c r="F4" s="50"/>
      <c r="G4" s="45"/>
      <c r="H4" s="46"/>
      <c r="I4" s="46"/>
      <c r="J4" s="46"/>
      <c r="K4" s="46"/>
      <c r="L4" s="46"/>
      <c r="M4" s="47"/>
      <c r="N4" s="46"/>
      <c r="O4" s="39"/>
      <c r="P4" s="46"/>
      <c r="Q4" s="46"/>
      <c r="R4" s="46"/>
      <c r="S4" s="46"/>
    </row>
    <row r="5" spans="1:20" ht="28.5" customHeight="1">
      <c r="B5" s="51" t="s">
        <v>79</v>
      </c>
      <c r="C5" s="52"/>
      <c r="D5" s="53"/>
      <c r="E5" s="54" t="s">
        <v>24</v>
      </c>
      <c r="F5" s="55"/>
      <c r="G5" s="56"/>
      <c r="H5" s="57"/>
      <c r="I5" s="53"/>
      <c r="J5" s="58"/>
      <c r="K5" s="58"/>
      <c r="L5" s="59"/>
      <c r="M5" s="60" t="s">
        <v>89</v>
      </c>
      <c r="O5" s="61"/>
    </row>
    <row r="6" spans="1:20">
      <c r="B6" s="62" t="s">
        <v>25</v>
      </c>
      <c r="C6" s="63"/>
      <c r="D6" s="64"/>
      <c r="E6" s="64"/>
      <c r="F6" s="64"/>
      <c r="G6" s="64"/>
      <c r="H6" s="64"/>
      <c r="I6" s="64"/>
      <c r="J6" s="64"/>
      <c r="K6" s="64"/>
      <c r="L6" s="64"/>
      <c r="M6" s="65"/>
      <c r="O6" s="61"/>
    </row>
    <row r="7" spans="1:20">
      <c r="B7" s="66" t="s">
        <v>88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8"/>
      <c r="O7" s="61"/>
    </row>
    <row r="8" spans="1:20" s="36" customFormat="1" ht="34">
      <c r="A8"/>
      <c r="B8" s="131" t="s">
        <v>26</v>
      </c>
      <c r="C8" s="131" t="s">
        <v>27</v>
      </c>
      <c r="D8" s="131" t="s">
        <v>28</v>
      </c>
      <c r="E8" s="131" t="s">
        <v>29</v>
      </c>
      <c r="F8" s="131" t="s">
        <v>30</v>
      </c>
      <c r="G8" s="131" t="s">
        <v>31</v>
      </c>
      <c r="H8" s="131" t="s">
        <v>32</v>
      </c>
      <c r="I8" s="131" t="s">
        <v>33</v>
      </c>
      <c r="J8" s="131" t="s">
        <v>34</v>
      </c>
      <c r="K8" s="131" t="s">
        <v>35</v>
      </c>
      <c r="L8" s="131" t="s">
        <v>36</v>
      </c>
      <c r="M8" s="131" t="s">
        <v>37</v>
      </c>
      <c r="N8" s="131" t="s">
        <v>38</v>
      </c>
      <c r="O8" s="131" t="s">
        <v>39</v>
      </c>
      <c r="P8" s="131" t="s">
        <v>40</v>
      </c>
      <c r="Q8" s="131" t="s">
        <v>41</v>
      </c>
      <c r="R8" s="132" t="s">
        <v>18</v>
      </c>
      <c r="S8" s="133" t="s">
        <v>19</v>
      </c>
    </row>
    <row r="9" spans="1:20" s="177" customFormat="1" ht="56.25" customHeight="1">
      <c r="A9" s="165">
        <v>1</v>
      </c>
      <c r="B9" s="166">
        <v>45342</v>
      </c>
      <c r="C9" s="167">
        <v>45776</v>
      </c>
      <c r="D9" s="168">
        <v>1</v>
      </c>
      <c r="E9" s="168"/>
      <c r="F9" s="169"/>
      <c r="G9" s="170">
        <v>112570211</v>
      </c>
      <c r="H9" s="171" t="s">
        <v>263</v>
      </c>
      <c r="I9" s="172" t="s">
        <v>264</v>
      </c>
      <c r="J9" s="173" t="s">
        <v>42</v>
      </c>
      <c r="K9" s="170" t="s">
        <v>76</v>
      </c>
      <c r="L9" s="170" t="s">
        <v>265</v>
      </c>
      <c r="M9" s="169" t="s">
        <v>266</v>
      </c>
      <c r="N9" s="174">
        <v>12.5</v>
      </c>
      <c r="O9" s="196">
        <v>103093084</v>
      </c>
      <c r="P9" s="175" t="s">
        <v>267</v>
      </c>
      <c r="Q9" s="163">
        <v>992203634</v>
      </c>
      <c r="R9" s="163"/>
      <c r="S9" s="163" t="s">
        <v>268</v>
      </c>
      <c r="T9" s="176"/>
    </row>
    <row r="10" spans="1:20" s="177" customFormat="1" ht="56.25" customHeight="1">
      <c r="A10" s="165">
        <v>2</v>
      </c>
      <c r="B10" s="166">
        <v>45277</v>
      </c>
      <c r="C10" s="167">
        <v>45776</v>
      </c>
      <c r="D10" s="168">
        <v>1</v>
      </c>
      <c r="E10" s="168">
        <v>60803270</v>
      </c>
      <c r="F10" s="169" t="s">
        <v>269</v>
      </c>
      <c r="G10" s="170">
        <v>112510035</v>
      </c>
      <c r="H10" s="171" t="s">
        <v>270</v>
      </c>
      <c r="I10" s="172" t="s">
        <v>271</v>
      </c>
      <c r="J10" s="173" t="s">
        <v>42</v>
      </c>
      <c r="K10" s="170" t="s">
        <v>76</v>
      </c>
      <c r="L10" s="170" t="s">
        <v>272</v>
      </c>
      <c r="M10" s="169" t="s">
        <v>273</v>
      </c>
      <c r="N10" s="174">
        <v>12.5</v>
      </c>
      <c r="O10" s="196" t="s">
        <v>274</v>
      </c>
      <c r="P10" s="175" t="s">
        <v>275</v>
      </c>
      <c r="Q10" s="163">
        <v>999776301</v>
      </c>
      <c r="R10" s="163"/>
      <c r="S10" s="163" t="s">
        <v>276</v>
      </c>
      <c r="T10" s="176"/>
    </row>
    <row r="11" spans="1:20" s="177" customFormat="1" ht="56.25" customHeight="1">
      <c r="A11" s="165">
        <v>3</v>
      </c>
      <c r="B11" s="166">
        <v>45373</v>
      </c>
      <c r="C11" s="167">
        <v>45776</v>
      </c>
      <c r="D11" s="168">
        <v>1</v>
      </c>
      <c r="E11" s="168">
        <v>82032119</v>
      </c>
      <c r="F11" s="169" t="s">
        <v>277</v>
      </c>
      <c r="G11" s="170">
        <v>11200005</v>
      </c>
      <c r="H11" s="171" t="s">
        <v>278</v>
      </c>
      <c r="I11" s="172" t="s">
        <v>279</v>
      </c>
      <c r="J11" s="173" t="s">
        <v>42</v>
      </c>
      <c r="K11" s="170" t="s">
        <v>76</v>
      </c>
      <c r="L11" s="170" t="s">
        <v>280</v>
      </c>
      <c r="M11" s="169" t="s">
        <v>281</v>
      </c>
      <c r="N11" s="174">
        <v>15</v>
      </c>
      <c r="O11" s="196" t="s">
        <v>282</v>
      </c>
      <c r="P11" s="175" t="s">
        <v>283</v>
      </c>
      <c r="Q11" s="163">
        <v>986463109</v>
      </c>
      <c r="R11" s="163"/>
      <c r="S11" s="163" t="s">
        <v>284</v>
      </c>
      <c r="T11" s="176"/>
    </row>
    <row r="12" spans="1:20" s="177" customFormat="1" ht="56.25" customHeight="1">
      <c r="A12" s="165">
        <v>4</v>
      </c>
      <c r="B12" s="166">
        <v>45636</v>
      </c>
      <c r="C12" s="167">
        <v>45778</v>
      </c>
      <c r="D12" s="168">
        <v>1</v>
      </c>
      <c r="E12" s="168"/>
      <c r="F12" s="169"/>
      <c r="G12" s="170">
        <v>112570211</v>
      </c>
      <c r="H12" s="171" t="s">
        <v>320</v>
      </c>
      <c r="I12" s="172" t="s">
        <v>321</v>
      </c>
      <c r="J12" s="173" t="s">
        <v>42</v>
      </c>
      <c r="K12" s="170" t="s">
        <v>76</v>
      </c>
      <c r="L12" s="170" t="s">
        <v>322</v>
      </c>
      <c r="M12" s="169" t="s">
        <v>323</v>
      </c>
      <c r="N12" s="174">
        <v>12.5</v>
      </c>
      <c r="O12" s="196" t="s">
        <v>324</v>
      </c>
      <c r="P12" s="175" t="s">
        <v>325</v>
      </c>
      <c r="Q12" s="163">
        <v>992832434</v>
      </c>
      <c r="R12" s="163"/>
      <c r="S12" s="163" t="s">
        <v>326</v>
      </c>
      <c r="T12" s="176"/>
    </row>
    <row r="13" spans="1:20" s="177" customFormat="1" ht="56.25" customHeight="1">
      <c r="A13" s="165">
        <v>5</v>
      </c>
      <c r="B13" s="166">
        <v>45726</v>
      </c>
      <c r="C13" s="167">
        <v>45791</v>
      </c>
      <c r="D13" s="168">
        <v>1</v>
      </c>
      <c r="E13" s="168"/>
      <c r="F13" s="169"/>
      <c r="G13" s="170">
        <v>112570126</v>
      </c>
      <c r="H13" s="171" t="s">
        <v>151</v>
      </c>
      <c r="I13" s="172" t="s">
        <v>447</v>
      </c>
      <c r="J13" s="173" t="s">
        <v>42</v>
      </c>
      <c r="K13" s="170" t="s">
        <v>76</v>
      </c>
      <c r="L13" s="170" t="s">
        <v>448</v>
      </c>
      <c r="M13" s="169" t="s">
        <v>526</v>
      </c>
      <c r="N13" s="174">
        <v>12.5</v>
      </c>
      <c r="O13" s="196" t="s">
        <v>457</v>
      </c>
      <c r="P13" s="175" t="s">
        <v>449</v>
      </c>
      <c r="Q13" s="163">
        <v>998060034</v>
      </c>
      <c r="R13" s="163"/>
      <c r="S13" s="163" t="s">
        <v>446</v>
      </c>
      <c r="T13" s="176"/>
    </row>
    <row r="14" spans="1:20" s="177" customFormat="1" ht="56.25" customHeight="1">
      <c r="A14" s="165">
        <v>6</v>
      </c>
      <c r="B14" s="166">
        <v>45493</v>
      </c>
      <c r="C14" s="167">
        <v>45792</v>
      </c>
      <c r="D14" s="168">
        <v>1</v>
      </c>
      <c r="E14" s="168"/>
      <c r="F14" s="169"/>
      <c r="G14" s="170">
        <v>415966006</v>
      </c>
      <c r="H14" s="171" t="s">
        <v>333</v>
      </c>
      <c r="I14" s="172" t="s">
        <v>458</v>
      </c>
      <c r="J14" s="173" t="s">
        <v>42</v>
      </c>
      <c r="K14" s="170" t="s">
        <v>76</v>
      </c>
      <c r="L14" s="170" t="s">
        <v>459</v>
      </c>
      <c r="M14" s="169" t="s">
        <v>460</v>
      </c>
      <c r="N14" s="174">
        <v>18.75</v>
      </c>
      <c r="O14" s="196" t="s">
        <v>461</v>
      </c>
      <c r="P14" s="175" t="s">
        <v>462</v>
      </c>
      <c r="Q14" s="163">
        <v>984884651</v>
      </c>
      <c r="R14" s="163"/>
      <c r="S14" s="163" t="s">
        <v>463</v>
      </c>
      <c r="T14" s="176"/>
    </row>
    <row r="15" spans="1:20" s="177" customFormat="1" ht="71" customHeight="1">
      <c r="A15" s="165">
        <v>7</v>
      </c>
      <c r="B15" s="166">
        <v>45712</v>
      </c>
      <c r="C15" s="167">
        <v>45792</v>
      </c>
      <c r="D15" s="168">
        <v>1</v>
      </c>
      <c r="E15" s="168" t="s">
        <v>486</v>
      </c>
      <c r="F15" s="169" t="s">
        <v>487</v>
      </c>
      <c r="G15" s="170">
        <v>40197155</v>
      </c>
      <c r="H15" s="171" t="s">
        <v>471</v>
      </c>
      <c r="I15" s="172" t="s">
        <v>488</v>
      </c>
      <c r="J15" s="173" t="s">
        <v>42</v>
      </c>
      <c r="K15" s="170" t="s">
        <v>76</v>
      </c>
      <c r="L15" s="170" t="s">
        <v>489</v>
      </c>
      <c r="M15" s="169" t="s">
        <v>496</v>
      </c>
      <c r="N15" s="174">
        <v>12.5</v>
      </c>
      <c r="O15" s="196" t="s">
        <v>490</v>
      </c>
      <c r="P15" s="175" t="s">
        <v>491</v>
      </c>
      <c r="Q15" s="163">
        <v>992216211</v>
      </c>
      <c r="R15" s="163"/>
      <c r="S15" s="163" t="s">
        <v>492</v>
      </c>
      <c r="T15" s="176"/>
    </row>
    <row r="16" spans="1:20" s="177" customFormat="1" ht="71" customHeight="1">
      <c r="A16" s="165">
        <v>8</v>
      </c>
      <c r="B16" s="166">
        <v>45427</v>
      </c>
      <c r="C16" s="167">
        <v>45795</v>
      </c>
      <c r="D16" s="168">
        <v>1</v>
      </c>
      <c r="E16" s="168">
        <v>81214020</v>
      </c>
      <c r="F16" s="169" t="s">
        <v>493</v>
      </c>
      <c r="G16" s="170">
        <v>112610069</v>
      </c>
      <c r="H16" s="171" t="s">
        <v>494</v>
      </c>
      <c r="I16" s="172" t="s">
        <v>495</v>
      </c>
      <c r="J16" s="173" t="s">
        <v>42</v>
      </c>
      <c r="K16" s="170" t="s">
        <v>76</v>
      </c>
      <c r="L16" s="170" t="s">
        <v>497</v>
      </c>
      <c r="M16" s="169" t="s">
        <v>498</v>
      </c>
      <c r="N16" s="174">
        <v>12.5</v>
      </c>
      <c r="O16" s="196" t="s">
        <v>499</v>
      </c>
      <c r="P16" s="175" t="s">
        <v>500</v>
      </c>
      <c r="Q16" s="163">
        <v>993050629</v>
      </c>
      <c r="R16" s="163"/>
      <c r="S16" s="163" t="s">
        <v>501</v>
      </c>
      <c r="T16" s="176"/>
    </row>
    <row r="17" spans="1:20" s="177" customFormat="1" ht="71" customHeight="1">
      <c r="A17" s="165">
        <v>9</v>
      </c>
      <c r="B17" s="166">
        <v>45287</v>
      </c>
      <c r="C17" s="167">
        <v>45795</v>
      </c>
      <c r="D17" s="168">
        <v>1</v>
      </c>
      <c r="E17" s="168" t="s">
        <v>503</v>
      </c>
      <c r="F17" s="169" t="s">
        <v>502</v>
      </c>
      <c r="G17" s="170">
        <v>404467712</v>
      </c>
      <c r="H17" s="171" t="s">
        <v>504</v>
      </c>
      <c r="I17" s="172" t="s">
        <v>505</v>
      </c>
      <c r="J17" s="173" t="s">
        <v>42</v>
      </c>
      <c r="K17" s="170" t="s">
        <v>76</v>
      </c>
      <c r="L17" s="170" t="s">
        <v>510</v>
      </c>
      <c r="M17" s="169" t="s">
        <v>506</v>
      </c>
      <c r="N17" s="174">
        <v>15</v>
      </c>
      <c r="O17" s="196" t="s">
        <v>507</v>
      </c>
      <c r="P17" s="175" t="s">
        <v>508</v>
      </c>
      <c r="Q17" s="163">
        <v>964076317</v>
      </c>
      <c r="R17" s="163"/>
      <c r="S17" s="163" t="s">
        <v>509</v>
      </c>
      <c r="T17" s="176"/>
    </row>
    <row r="18" spans="1:20" s="177" customFormat="1" ht="71" customHeight="1">
      <c r="A18" s="165">
        <v>10</v>
      </c>
      <c r="B18" s="166">
        <v>45447</v>
      </c>
      <c r="C18" s="167">
        <v>45795</v>
      </c>
      <c r="D18" s="168">
        <v>1</v>
      </c>
      <c r="E18" s="168">
        <v>83340602</v>
      </c>
      <c r="F18" s="169" t="s">
        <v>511</v>
      </c>
      <c r="G18" s="170">
        <v>41560061</v>
      </c>
      <c r="H18" s="171" t="s">
        <v>342</v>
      </c>
      <c r="I18" s="172" t="s">
        <v>512</v>
      </c>
      <c r="J18" s="173" t="s">
        <v>42</v>
      </c>
      <c r="K18" s="170" t="s">
        <v>76</v>
      </c>
      <c r="L18" s="170" t="s">
        <v>513</v>
      </c>
      <c r="M18" s="169" t="s">
        <v>514</v>
      </c>
      <c r="N18" s="174">
        <v>15</v>
      </c>
      <c r="O18" s="196" t="s">
        <v>517</v>
      </c>
      <c r="P18" s="175" t="s">
        <v>516</v>
      </c>
      <c r="Q18" s="196" t="s">
        <v>515</v>
      </c>
      <c r="R18" s="163"/>
      <c r="S18" s="163" t="s">
        <v>518</v>
      </c>
      <c r="T18" s="176"/>
    </row>
    <row r="19" spans="1:20" s="177" customFormat="1" ht="71" customHeight="1">
      <c r="A19" s="165">
        <v>11</v>
      </c>
      <c r="B19" s="166">
        <v>45754</v>
      </c>
      <c r="C19" s="167">
        <v>45795</v>
      </c>
      <c r="D19" s="168">
        <v>1</v>
      </c>
      <c r="E19" s="168"/>
      <c r="F19" s="169"/>
      <c r="G19" s="170"/>
      <c r="H19" s="171" t="s">
        <v>519</v>
      </c>
      <c r="I19" s="172"/>
      <c r="J19" s="173" t="s">
        <v>42</v>
      </c>
      <c r="K19" s="170" t="s">
        <v>76</v>
      </c>
      <c r="L19" s="170" t="s">
        <v>520</v>
      </c>
      <c r="M19" s="169" t="s">
        <v>521</v>
      </c>
      <c r="N19" s="174">
        <v>12.5</v>
      </c>
      <c r="O19" s="196" t="s">
        <v>522</v>
      </c>
      <c r="P19" s="175" t="s">
        <v>523</v>
      </c>
      <c r="Q19" s="196" t="s">
        <v>524</v>
      </c>
      <c r="R19" s="163"/>
      <c r="S19" s="163" t="s">
        <v>525</v>
      </c>
      <c r="T19" s="176"/>
    </row>
    <row r="20" spans="1:20" s="69" customFormat="1" ht="17">
      <c r="A20" s="70"/>
      <c r="B20"/>
      <c r="C20"/>
      <c r="D20"/>
      <c r="E20"/>
      <c r="F20"/>
      <c r="G20"/>
      <c r="H20"/>
      <c r="I20"/>
      <c r="J20" s="191"/>
      <c r="N20" s="178">
        <f>SUM(N9:N19)</f>
        <v>151.25</v>
      </c>
      <c r="O20"/>
      <c r="P20"/>
      <c r="Q20"/>
      <c r="R20"/>
      <c r="S20"/>
    </row>
    <row r="21" spans="1:20" s="69" customFormat="1" ht="17">
      <c r="A21" s="70"/>
      <c r="B21"/>
      <c r="C21"/>
      <c r="D21"/>
      <c r="E21"/>
      <c r="F21"/>
      <c r="G21"/>
      <c r="H21"/>
      <c r="I21"/>
      <c r="J21" s="191"/>
      <c r="N21"/>
      <c r="O21"/>
      <c r="P21"/>
      <c r="Q21"/>
      <c r="R21"/>
      <c r="S21"/>
    </row>
    <row r="22" spans="1:20" ht="16">
      <c r="J22" s="191"/>
    </row>
    <row r="23" spans="1:20" ht="16">
      <c r="J23" s="191"/>
    </row>
    <row r="28" spans="1:20" ht="17">
      <c r="J28">
        <v>1</v>
      </c>
      <c r="K28" s="192" t="s">
        <v>84</v>
      </c>
      <c r="L28" s="192">
        <v>12.5</v>
      </c>
      <c r="M28">
        <f>J28*L28</f>
        <v>12.5</v>
      </c>
    </row>
    <row r="29" spans="1:20" ht="17">
      <c r="J29">
        <v>5</v>
      </c>
      <c r="K29" s="192" t="s">
        <v>85</v>
      </c>
      <c r="L29" s="192">
        <v>12.5</v>
      </c>
      <c r="M29">
        <f t="shared" ref="M29:M33" si="0">J29*L29</f>
        <v>62.5</v>
      </c>
    </row>
    <row r="30" spans="1:20" ht="17">
      <c r="J30">
        <v>2</v>
      </c>
      <c r="K30" s="192" t="s">
        <v>527</v>
      </c>
      <c r="L30" s="193">
        <v>15</v>
      </c>
      <c r="M30">
        <f t="shared" si="0"/>
        <v>30</v>
      </c>
    </row>
    <row r="31" spans="1:20" ht="17">
      <c r="J31">
        <v>1</v>
      </c>
      <c r="K31" s="192" t="s">
        <v>528</v>
      </c>
      <c r="L31" s="192">
        <v>18.75</v>
      </c>
      <c r="M31">
        <f t="shared" si="0"/>
        <v>18.75</v>
      </c>
    </row>
    <row r="32" spans="1:20" ht="16">
      <c r="J32">
        <v>1</v>
      </c>
      <c r="K32" s="200" t="s">
        <v>529</v>
      </c>
      <c r="L32" s="193">
        <v>15</v>
      </c>
      <c r="M32">
        <f t="shared" si="0"/>
        <v>15</v>
      </c>
    </row>
    <row r="33" spans="10:13" ht="17">
      <c r="J33">
        <v>1</v>
      </c>
      <c r="K33" s="192" t="s">
        <v>530</v>
      </c>
      <c r="L33" s="192">
        <v>12.5</v>
      </c>
      <c r="M33">
        <f t="shared" si="0"/>
        <v>12.5</v>
      </c>
    </row>
    <row r="34" spans="10:13">
      <c r="M34">
        <f>SUM(M28:M33)</f>
        <v>151.25</v>
      </c>
    </row>
  </sheetData>
  <hyperlinks>
    <hyperlink ref="P9" r:id="rId1" xr:uid="{A7A76B24-EC1A-C44F-ADCD-988D3239D838}"/>
    <hyperlink ref="P10" r:id="rId2" xr:uid="{518F259A-D003-DC42-A063-F321DD1950D0}"/>
    <hyperlink ref="P11" r:id="rId3" xr:uid="{FBDD73E4-6ACF-1A47-A3EF-E5FA17098CCE}"/>
    <hyperlink ref="P12" r:id="rId4" xr:uid="{2501860E-E46E-8D4B-8080-8857B2D95909}"/>
    <hyperlink ref="P13" r:id="rId5" xr:uid="{D1441DE1-53A6-9247-9E25-EC3B7C052950}"/>
    <hyperlink ref="P14" r:id="rId6" xr:uid="{E0150D02-B26A-DA46-9F34-7AEA9A8DF598}"/>
    <hyperlink ref="P15" r:id="rId7" xr:uid="{D318D5A5-3194-2F4A-BC3B-4649BE780EBE}"/>
    <hyperlink ref="P16" r:id="rId8" xr:uid="{95DF5718-1622-0F47-A3B3-31988654ACA6}"/>
    <hyperlink ref="P17" r:id="rId9" xr:uid="{ED9A5A5F-AA7A-DE4E-A372-4399FE01788F}"/>
    <hyperlink ref="P18" r:id="rId10" xr:uid="{D4E4ED30-96A8-6947-BE5F-5E370A5AEBFE}"/>
    <hyperlink ref="P19" r:id="rId11" xr:uid="{17DEF8F7-5AD4-AC46-8831-312D8BA10268}"/>
  </hyperlinks>
  <pageMargins left="0.7" right="0.7" top="0.75" bottom="0.75" header="0.3" footer="0.3"/>
  <pageSetup paperSize="9" orientation="portrait" horizontalDpi="0" verticalDpi="0" r:id="rId12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U24"/>
  <sheetViews>
    <sheetView topLeftCell="B1" zoomScale="130" zoomScaleNormal="130" workbookViewId="0">
      <selection activeCell="F20" sqref="F20"/>
    </sheetView>
  </sheetViews>
  <sheetFormatPr baseColWidth="10" defaultRowHeight="15"/>
  <cols>
    <col min="1" max="1" width="3.6640625" customWidth="1"/>
    <col min="2" max="2" width="10.1640625" customWidth="1"/>
    <col min="3" max="3" width="17.6640625" customWidth="1"/>
    <col min="4" max="4" width="19.83203125" customWidth="1"/>
    <col min="5" max="5" width="12.6640625" customWidth="1"/>
    <col min="6" max="6" width="32" customWidth="1"/>
    <col min="7" max="7" width="16" customWidth="1"/>
    <col min="8" max="8" width="7.83203125" customWidth="1"/>
    <col min="9" max="9" width="7.33203125" customWidth="1"/>
    <col min="10" max="10" width="8.33203125" customWidth="1"/>
    <col min="11" max="11" width="8.83203125" customWidth="1"/>
    <col min="12" max="12" width="18.6640625" customWidth="1"/>
    <col min="13" max="13" width="17.33203125" customWidth="1"/>
    <col min="14" max="14" width="11.1640625" bestFit="1" customWidth="1"/>
    <col min="16" max="16" width="23.6640625" customWidth="1"/>
    <col min="17" max="17" width="8.6640625" customWidth="1"/>
    <col min="18" max="18" width="6.5" customWidth="1"/>
    <col min="20" max="20" width="13" customWidth="1"/>
    <col min="21" max="21" width="28.33203125" customWidth="1"/>
  </cols>
  <sheetData>
    <row r="3" spans="1:21">
      <c r="A3" s="71"/>
      <c r="B3" s="72"/>
      <c r="C3" s="73" t="s">
        <v>43</v>
      </c>
      <c r="D3" s="72"/>
      <c r="E3" s="74"/>
      <c r="F3" s="72"/>
      <c r="G3" s="75"/>
      <c r="H3" s="72"/>
      <c r="I3" s="72"/>
      <c r="J3" s="72"/>
      <c r="K3" s="76"/>
      <c r="L3" s="76"/>
      <c r="M3" s="72"/>
      <c r="N3" s="72"/>
      <c r="O3" s="77"/>
      <c r="P3" s="72"/>
      <c r="Q3" s="72"/>
      <c r="R3" s="72"/>
      <c r="S3" s="72"/>
      <c r="T3" s="72"/>
      <c r="U3" s="78"/>
    </row>
    <row r="4" spans="1:21">
      <c r="A4" s="71"/>
      <c r="B4" s="72"/>
      <c r="C4" s="79" t="s">
        <v>44</v>
      </c>
      <c r="D4" s="72"/>
      <c r="E4" s="72"/>
      <c r="F4" s="72"/>
      <c r="G4" s="75"/>
      <c r="H4" s="72"/>
      <c r="I4" s="72" t="s">
        <v>45</v>
      </c>
      <c r="J4" s="72"/>
      <c r="K4" s="76"/>
      <c r="L4" s="76"/>
      <c r="M4" s="135" t="s">
        <v>90</v>
      </c>
      <c r="N4" s="72"/>
      <c r="O4" s="77"/>
      <c r="P4" s="72"/>
      <c r="Q4" s="80"/>
      <c r="R4" s="72"/>
      <c r="S4" s="72"/>
      <c r="T4" s="81"/>
      <c r="U4" s="82">
        <v>45536</v>
      </c>
    </row>
    <row r="5" spans="1:21" ht="25">
      <c r="A5" s="78"/>
      <c r="B5" s="83" t="s">
        <v>2</v>
      </c>
      <c r="C5" s="83" t="s">
        <v>170</v>
      </c>
      <c r="D5" s="83" t="s">
        <v>4</v>
      </c>
      <c r="E5" s="83" t="s">
        <v>5</v>
      </c>
      <c r="F5" s="83" t="s">
        <v>6</v>
      </c>
      <c r="G5" s="83" t="s">
        <v>7</v>
      </c>
      <c r="H5" s="83" t="s">
        <v>8</v>
      </c>
      <c r="I5" s="83" t="s">
        <v>9</v>
      </c>
      <c r="J5" s="83" t="s">
        <v>10</v>
      </c>
      <c r="K5" s="84" t="s">
        <v>46</v>
      </c>
      <c r="L5" s="84" t="s">
        <v>12</v>
      </c>
      <c r="M5" s="84" t="s">
        <v>13</v>
      </c>
      <c r="N5" s="84" t="s">
        <v>14</v>
      </c>
      <c r="O5" s="85" t="s">
        <v>15</v>
      </c>
      <c r="P5" s="84" t="s">
        <v>47</v>
      </c>
      <c r="Q5" s="84" t="s">
        <v>48</v>
      </c>
      <c r="R5" s="86" t="s">
        <v>49</v>
      </c>
      <c r="S5" s="86" t="s">
        <v>19</v>
      </c>
      <c r="T5" s="87" t="s">
        <v>20</v>
      </c>
      <c r="U5" s="88" t="s">
        <v>50</v>
      </c>
    </row>
    <row r="6" spans="1:21" s="35" customFormat="1" ht="23.25" customHeight="1">
      <c r="A6" s="89">
        <v>1</v>
      </c>
      <c r="B6" s="94"/>
      <c r="C6" s="95" t="s">
        <v>93</v>
      </c>
      <c r="D6" s="90"/>
      <c r="E6" s="91">
        <v>111570002</v>
      </c>
      <c r="F6" s="92" t="s">
        <v>169</v>
      </c>
      <c r="G6" s="96" t="s">
        <v>171</v>
      </c>
      <c r="H6" s="97"/>
      <c r="I6" s="98" t="s">
        <v>74</v>
      </c>
      <c r="J6" s="98" t="s">
        <v>75</v>
      </c>
      <c r="K6" s="94">
        <v>45771</v>
      </c>
      <c r="L6" s="95" t="s">
        <v>149</v>
      </c>
      <c r="M6" s="93" t="s">
        <v>172</v>
      </c>
      <c r="N6" s="164">
        <v>724114427</v>
      </c>
      <c r="O6" s="99">
        <v>29</v>
      </c>
      <c r="P6" s="95" t="s">
        <v>82</v>
      </c>
      <c r="Q6" s="95" t="s">
        <v>76</v>
      </c>
      <c r="R6" s="100"/>
      <c r="S6" s="100"/>
      <c r="T6" s="101">
        <v>104088265</v>
      </c>
      <c r="U6" s="134" t="s">
        <v>373</v>
      </c>
    </row>
    <row r="7" spans="1:21" s="35" customFormat="1" ht="23.25" customHeight="1">
      <c r="A7" s="89">
        <v>2</v>
      </c>
      <c r="B7" s="94"/>
      <c r="C7" s="95" t="s">
        <v>93</v>
      </c>
      <c r="D7" s="90"/>
      <c r="E7" s="91">
        <v>111570002</v>
      </c>
      <c r="F7" s="92" t="s">
        <v>169</v>
      </c>
      <c r="G7" s="96" t="s">
        <v>369</v>
      </c>
      <c r="H7" s="97"/>
      <c r="I7" s="98" t="s">
        <v>74</v>
      </c>
      <c r="J7" s="98" t="s">
        <v>75</v>
      </c>
      <c r="K7" s="94">
        <v>45779</v>
      </c>
      <c r="L7" s="95" t="s">
        <v>149</v>
      </c>
      <c r="M7" s="93" t="s">
        <v>172</v>
      </c>
      <c r="N7" s="164">
        <v>997513007</v>
      </c>
      <c r="O7" s="99">
        <v>29</v>
      </c>
      <c r="P7" s="95" t="s">
        <v>82</v>
      </c>
      <c r="Q7" s="95" t="s">
        <v>76</v>
      </c>
      <c r="R7" s="100"/>
      <c r="S7" s="100"/>
      <c r="T7" s="164">
        <v>105562029</v>
      </c>
      <c r="U7" s="134" t="s">
        <v>373</v>
      </c>
    </row>
    <row r="8" spans="1:21" s="35" customFormat="1" ht="23.25" customHeight="1">
      <c r="A8" s="89">
        <v>3</v>
      </c>
      <c r="B8" s="94"/>
      <c r="C8" s="95" t="s">
        <v>93</v>
      </c>
      <c r="D8" s="90"/>
      <c r="E8" s="91">
        <v>111570002</v>
      </c>
      <c r="F8" s="92" t="s">
        <v>169</v>
      </c>
      <c r="G8" s="96" t="s">
        <v>370</v>
      </c>
      <c r="H8" s="97"/>
      <c r="I8" s="98" t="s">
        <v>74</v>
      </c>
      <c r="J8" s="98" t="s">
        <v>75</v>
      </c>
      <c r="K8" s="94">
        <v>45779</v>
      </c>
      <c r="L8" s="95" t="s">
        <v>149</v>
      </c>
      <c r="M8" s="93" t="s">
        <v>172</v>
      </c>
      <c r="N8" s="164">
        <v>997513007</v>
      </c>
      <c r="O8" s="99">
        <v>29</v>
      </c>
      <c r="P8" s="95" t="s">
        <v>82</v>
      </c>
      <c r="Q8" s="95" t="s">
        <v>76</v>
      </c>
      <c r="R8" s="100"/>
      <c r="S8" s="100"/>
      <c r="T8" s="164">
        <v>105562029</v>
      </c>
      <c r="U8" s="134" t="s">
        <v>373</v>
      </c>
    </row>
    <row r="9" spans="1:21" s="35" customFormat="1" ht="23.25" customHeight="1">
      <c r="A9" s="89">
        <v>4</v>
      </c>
      <c r="B9" s="94"/>
      <c r="C9" s="95" t="s">
        <v>93</v>
      </c>
      <c r="D9" s="90"/>
      <c r="E9" s="91">
        <v>111570003</v>
      </c>
      <c r="F9" s="92" t="s">
        <v>78</v>
      </c>
      <c r="G9" s="96" t="s">
        <v>371</v>
      </c>
      <c r="H9" s="97"/>
      <c r="I9" s="98" t="s">
        <v>74</v>
      </c>
      <c r="J9" s="98" t="s">
        <v>75</v>
      </c>
      <c r="K9" s="94">
        <v>45779</v>
      </c>
      <c r="L9" s="95" t="s">
        <v>149</v>
      </c>
      <c r="M9" s="93" t="s">
        <v>172</v>
      </c>
      <c r="N9" s="164">
        <v>997513007</v>
      </c>
      <c r="O9" s="99">
        <v>29</v>
      </c>
      <c r="P9" s="95" t="s">
        <v>82</v>
      </c>
      <c r="Q9" s="95" t="s">
        <v>76</v>
      </c>
      <c r="R9" s="100"/>
      <c r="S9" s="100"/>
      <c r="T9" s="164">
        <v>105562029</v>
      </c>
      <c r="U9" s="134" t="s">
        <v>373</v>
      </c>
    </row>
    <row r="10" spans="1:21" s="35" customFormat="1" ht="23.25" customHeight="1">
      <c r="A10" s="89">
        <v>5</v>
      </c>
      <c r="B10" s="94"/>
      <c r="C10" s="95" t="s">
        <v>93</v>
      </c>
      <c r="D10" s="90"/>
      <c r="E10" s="91">
        <v>111570003</v>
      </c>
      <c r="F10" s="92" t="s">
        <v>78</v>
      </c>
      <c r="G10" s="96" t="s">
        <v>372</v>
      </c>
      <c r="H10" s="97"/>
      <c r="I10" s="98" t="s">
        <v>74</v>
      </c>
      <c r="J10" s="98" t="s">
        <v>75</v>
      </c>
      <c r="K10" s="94">
        <v>45779</v>
      </c>
      <c r="L10" s="95" t="s">
        <v>149</v>
      </c>
      <c r="M10" s="93" t="s">
        <v>172</v>
      </c>
      <c r="N10" s="164">
        <v>997513007</v>
      </c>
      <c r="O10" s="99">
        <v>29</v>
      </c>
      <c r="P10" s="95" t="s">
        <v>82</v>
      </c>
      <c r="Q10" s="95" t="s">
        <v>76</v>
      </c>
      <c r="R10" s="100"/>
      <c r="S10" s="100"/>
      <c r="T10" s="164">
        <v>105562029</v>
      </c>
      <c r="U10" s="134" t="s">
        <v>373</v>
      </c>
    </row>
    <row r="11" spans="1:21" s="35" customFormat="1" ht="23.25" customHeight="1">
      <c r="A11" s="89">
        <v>6</v>
      </c>
      <c r="B11" s="94"/>
      <c r="C11" s="95" t="s">
        <v>93</v>
      </c>
      <c r="D11" s="90"/>
      <c r="E11" s="91">
        <v>111570002</v>
      </c>
      <c r="F11" s="92" t="s">
        <v>169</v>
      </c>
      <c r="G11" s="96" t="s">
        <v>376</v>
      </c>
      <c r="H11" s="97"/>
      <c r="I11" s="98" t="s">
        <v>74</v>
      </c>
      <c r="J11" s="98" t="s">
        <v>75</v>
      </c>
      <c r="K11" s="94">
        <v>45782</v>
      </c>
      <c r="L11" s="95" t="s">
        <v>374</v>
      </c>
      <c r="M11" s="93" t="s">
        <v>375</v>
      </c>
      <c r="N11" s="164">
        <v>963511443</v>
      </c>
      <c r="O11" s="99">
        <v>29</v>
      </c>
      <c r="P11" s="95" t="s">
        <v>82</v>
      </c>
      <c r="Q11" s="95" t="s">
        <v>76</v>
      </c>
      <c r="R11" s="100"/>
      <c r="S11" s="100"/>
      <c r="T11" s="197">
        <v>1714494646</v>
      </c>
      <c r="U11" s="134" t="s">
        <v>378</v>
      </c>
    </row>
    <row r="12" spans="1:21" s="35" customFormat="1" ht="23.25" customHeight="1">
      <c r="A12" s="89">
        <v>7</v>
      </c>
      <c r="B12" s="94"/>
      <c r="C12" s="95" t="s">
        <v>93</v>
      </c>
      <c r="D12" s="90"/>
      <c r="E12" s="91">
        <v>111570003</v>
      </c>
      <c r="F12" s="92" t="s">
        <v>78</v>
      </c>
      <c r="G12" s="96" t="s">
        <v>377</v>
      </c>
      <c r="H12" s="97"/>
      <c r="I12" s="98" t="s">
        <v>74</v>
      </c>
      <c r="J12" s="98" t="s">
        <v>75</v>
      </c>
      <c r="K12" s="94">
        <v>45782</v>
      </c>
      <c r="L12" s="95" t="s">
        <v>374</v>
      </c>
      <c r="M12" s="93" t="s">
        <v>375</v>
      </c>
      <c r="N12" s="164">
        <v>963511443</v>
      </c>
      <c r="O12" s="99">
        <v>29</v>
      </c>
      <c r="P12" s="95" t="s">
        <v>82</v>
      </c>
      <c r="Q12" s="95" t="s">
        <v>76</v>
      </c>
      <c r="R12" s="100"/>
      <c r="S12" s="100"/>
      <c r="T12" s="197">
        <v>1714494646</v>
      </c>
      <c r="U12" s="134" t="s">
        <v>378</v>
      </c>
    </row>
    <row r="13" spans="1:21" s="35" customFormat="1" ht="23.25" customHeight="1">
      <c r="A13" s="89">
        <v>8</v>
      </c>
      <c r="B13" s="199">
        <v>45785</v>
      </c>
      <c r="C13" s="198" t="s">
        <v>94</v>
      </c>
      <c r="D13" s="90" t="s">
        <v>405</v>
      </c>
      <c r="E13" s="91">
        <v>111570002</v>
      </c>
      <c r="F13" s="92" t="s">
        <v>169</v>
      </c>
      <c r="G13" s="96" t="s">
        <v>406</v>
      </c>
      <c r="H13" s="97"/>
      <c r="I13" s="98" t="s">
        <v>74</v>
      </c>
      <c r="J13" s="98" t="s">
        <v>75</v>
      </c>
      <c r="K13" s="94">
        <v>45786</v>
      </c>
      <c r="L13" s="95" t="s">
        <v>440</v>
      </c>
      <c r="M13" s="93" t="s">
        <v>347</v>
      </c>
      <c r="N13" s="164">
        <v>993484233</v>
      </c>
      <c r="O13" s="99">
        <v>29</v>
      </c>
      <c r="P13" s="95" t="s">
        <v>81</v>
      </c>
      <c r="Q13" s="95" t="s">
        <v>76</v>
      </c>
      <c r="R13" s="100"/>
      <c r="S13" s="100"/>
      <c r="T13" s="101">
        <v>301527180</v>
      </c>
      <c r="U13" s="134" t="s">
        <v>407</v>
      </c>
    </row>
    <row r="14" spans="1:21" s="35" customFormat="1" ht="23.25" customHeight="1">
      <c r="A14" s="89">
        <v>9</v>
      </c>
      <c r="B14" s="199">
        <v>45787</v>
      </c>
      <c r="C14" s="198" t="s">
        <v>149</v>
      </c>
      <c r="D14" s="90" t="s">
        <v>435</v>
      </c>
      <c r="E14" s="91">
        <v>111570002</v>
      </c>
      <c r="F14" s="92" t="s">
        <v>169</v>
      </c>
      <c r="G14" s="96" t="s">
        <v>436</v>
      </c>
      <c r="H14" s="97"/>
      <c r="I14" s="98" t="s">
        <v>74</v>
      </c>
      <c r="J14" s="98" t="s">
        <v>75</v>
      </c>
      <c r="K14" s="94">
        <v>45786</v>
      </c>
      <c r="L14" s="95" t="s">
        <v>437</v>
      </c>
      <c r="M14" s="93" t="s">
        <v>438</v>
      </c>
      <c r="N14" s="164">
        <v>984782441</v>
      </c>
      <c r="O14" s="99">
        <v>29</v>
      </c>
      <c r="P14" s="95" t="s">
        <v>81</v>
      </c>
      <c r="Q14" s="95" t="s">
        <v>76</v>
      </c>
      <c r="R14" s="100"/>
      <c r="S14" s="100"/>
      <c r="T14" s="101">
        <v>301527180</v>
      </c>
      <c r="U14" s="134" t="s">
        <v>439</v>
      </c>
    </row>
    <row r="15" spans="1:21" s="35" customFormat="1" ht="23.25" customHeight="1">
      <c r="A15" s="89">
        <v>10</v>
      </c>
      <c r="B15" s="199">
        <v>45787</v>
      </c>
      <c r="C15" s="198" t="s">
        <v>149</v>
      </c>
      <c r="D15" s="90" t="s">
        <v>576</v>
      </c>
      <c r="E15" s="91">
        <v>111570002</v>
      </c>
      <c r="F15" s="92" t="s">
        <v>169</v>
      </c>
      <c r="G15" s="96" t="s">
        <v>540</v>
      </c>
      <c r="H15" s="97"/>
      <c r="I15" s="98" t="s">
        <v>74</v>
      </c>
      <c r="J15" s="98" t="s">
        <v>75</v>
      </c>
      <c r="K15" s="94">
        <v>45793</v>
      </c>
      <c r="L15" s="95" t="s">
        <v>541</v>
      </c>
      <c r="M15" s="93" t="s">
        <v>542</v>
      </c>
      <c r="N15" s="164">
        <v>95897170</v>
      </c>
      <c r="O15" s="99">
        <v>29</v>
      </c>
      <c r="P15" s="95" t="s">
        <v>82</v>
      </c>
      <c r="Q15" s="95" t="s">
        <v>76</v>
      </c>
      <c r="R15" s="100"/>
      <c r="S15" s="100"/>
      <c r="T15" s="101">
        <v>104578620</v>
      </c>
      <c r="U15" s="134" t="s">
        <v>543</v>
      </c>
    </row>
    <row r="16" spans="1:21">
      <c r="O16" s="178">
        <f>SUM(O6:O15)</f>
        <v>290</v>
      </c>
    </row>
    <row r="24" spans="4:4">
      <c r="D24" t="s">
        <v>83</v>
      </c>
    </row>
  </sheetData>
  <hyperlinks>
    <hyperlink ref="U6" r:id="rId1" xr:uid="{BDB0FEE1-FE62-0243-A874-89E615404281}"/>
    <hyperlink ref="U7:U10" r:id="rId2" display="contabilidad@comercialsolis.com.ec" xr:uid="{96FD63AD-644C-E841-82F7-1396371BC87E}"/>
    <hyperlink ref="U11" r:id="rId3" xr:uid="{0D38D2BC-F75D-F54D-8F2A-3849BEB6AF1B}"/>
    <hyperlink ref="U12" r:id="rId4" xr:uid="{68761E57-3D9B-EC43-8B15-C16F5A7BFF90}"/>
    <hyperlink ref="U13" r:id="rId5" xr:uid="{12352EEB-7AD9-D94E-9AC4-C5942E89592C}"/>
    <hyperlink ref="U14" r:id="rId6" xr:uid="{BF2DE39E-CF7D-B346-B39D-F22AEE56B3D7}"/>
    <hyperlink ref="U15" r:id="rId7" xr:uid="{7700CA55-B1A7-BF43-B218-8CC058FADBED}"/>
  </hyperlinks>
  <pageMargins left="0.7" right="0.7" top="0.75" bottom="0.75" header="0.3" footer="0.3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Q8"/>
  <sheetViews>
    <sheetView topLeftCell="C1" zoomScale="150" zoomScaleNormal="150" workbookViewId="0">
      <selection activeCell="N10" sqref="N10"/>
    </sheetView>
  </sheetViews>
  <sheetFormatPr baseColWidth="10" defaultRowHeight="15"/>
  <cols>
    <col min="1" max="1" width="3.5" customWidth="1"/>
    <col min="3" max="3" width="19" customWidth="1"/>
    <col min="4" max="4" width="20" customWidth="1"/>
    <col min="5" max="5" width="15.33203125" customWidth="1"/>
    <col min="6" max="6" width="39.33203125" bestFit="1" customWidth="1"/>
    <col min="7" max="7" width="18.1640625" customWidth="1"/>
    <col min="8" max="8" width="8.6640625" customWidth="1"/>
    <col min="9" max="9" width="8.83203125" customWidth="1"/>
    <col min="10" max="10" width="9.33203125" customWidth="1"/>
    <col min="11" max="11" width="11" customWidth="1"/>
    <col min="12" max="12" width="20.83203125" customWidth="1"/>
    <col min="13" max="13" width="17.5" customWidth="1"/>
    <col min="14" max="14" width="16" customWidth="1"/>
    <col min="16" max="16" width="25.33203125" customWidth="1"/>
  </cols>
  <sheetData>
    <row r="3" spans="1:17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7">
      <c r="A4" s="5"/>
      <c r="B4" s="5"/>
      <c r="C4" s="102" t="s">
        <v>51</v>
      </c>
      <c r="D4" s="103"/>
      <c r="E4" s="103"/>
      <c r="F4" s="5"/>
      <c r="G4" s="103"/>
      <c r="H4" s="103"/>
      <c r="I4" s="103"/>
      <c r="J4" s="103"/>
      <c r="K4" s="103"/>
      <c r="L4" s="103"/>
      <c r="M4" s="103"/>
      <c r="N4" s="103"/>
      <c r="O4" s="103"/>
      <c r="P4" s="5"/>
    </row>
    <row r="5" spans="1:17" ht="16" thickBot="1">
      <c r="A5" s="5"/>
      <c r="B5" s="103"/>
      <c r="C5" s="104" t="s">
        <v>1</v>
      </c>
      <c r="D5" s="104"/>
      <c r="E5" s="104"/>
      <c r="F5" s="5"/>
      <c r="J5" t="s">
        <v>62</v>
      </c>
      <c r="K5" s="5"/>
      <c r="L5" s="111" t="s">
        <v>86</v>
      </c>
      <c r="P5" s="5"/>
    </row>
    <row r="6" spans="1:17" s="23" customFormat="1" ht="58.5" customHeight="1">
      <c r="A6" s="105"/>
      <c r="B6" s="106" t="s">
        <v>52</v>
      </c>
      <c r="C6" s="107" t="s">
        <v>53</v>
      </c>
      <c r="D6" s="107" t="s">
        <v>4</v>
      </c>
      <c r="E6" s="108" t="s">
        <v>54</v>
      </c>
      <c r="F6" s="107" t="s">
        <v>55</v>
      </c>
      <c r="G6" s="107" t="s">
        <v>56</v>
      </c>
      <c r="H6" s="106" t="s">
        <v>8</v>
      </c>
      <c r="I6" s="107" t="s">
        <v>57</v>
      </c>
      <c r="J6" s="107" t="s">
        <v>58</v>
      </c>
      <c r="K6" s="107" t="s">
        <v>59</v>
      </c>
      <c r="L6" s="107" t="s">
        <v>12</v>
      </c>
      <c r="M6" s="109" t="s">
        <v>60</v>
      </c>
      <c r="N6" s="107" t="s">
        <v>14</v>
      </c>
      <c r="O6" s="110" t="s">
        <v>15</v>
      </c>
      <c r="P6" s="107" t="s">
        <v>61</v>
      </c>
    </row>
    <row r="7" spans="1:17" s="35" customFormat="1" ht="24" customHeight="1">
      <c r="A7" s="24">
        <v>1</v>
      </c>
      <c r="B7" s="25"/>
      <c r="C7" s="26" t="s">
        <v>92</v>
      </c>
      <c r="D7" s="26" t="s">
        <v>93</v>
      </c>
      <c r="E7" s="27">
        <v>111910000</v>
      </c>
      <c r="F7" s="28" t="s">
        <v>173</v>
      </c>
      <c r="G7" s="194">
        <v>111910000004004</v>
      </c>
      <c r="H7" s="30" t="s">
        <v>42</v>
      </c>
      <c r="I7" s="26" t="s">
        <v>76</v>
      </c>
      <c r="J7" s="29" t="s">
        <v>77</v>
      </c>
      <c r="K7" s="31">
        <v>45771</v>
      </c>
      <c r="L7" s="32" t="s">
        <v>149</v>
      </c>
      <c r="M7" s="32" t="s">
        <v>172</v>
      </c>
      <c r="N7" s="195" t="s">
        <v>174</v>
      </c>
      <c r="O7" s="33">
        <v>15</v>
      </c>
      <c r="P7" s="26" t="s">
        <v>82</v>
      </c>
      <c r="Q7" s="34"/>
    </row>
    <row r="8" spans="1:17">
      <c r="O8" s="130">
        <f>SUM(O7:O7)</f>
        <v>15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2"/>
  <sheetViews>
    <sheetView workbookViewId="0">
      <selection activeCell="G13" sqref="G13"/>
    </sheetView>
  </sheetViews>
  <sheetFormatPr baseColWidth="10" defaultRowHeight="15"/>
  <cols>
    <col min="1" max="1" width="4.5" customWidth="1"/>
    <col min="3" max="3" width="11.33203125" customWidth="1"/>
    <col min="6" max="6" width="13.33203125" customWidth="1"/>
    <col min="11" max="11" width="20" customWidth="1"/>
  </cols>
  <sheetData>
    <row r="1" spans="1:21">
      <c r="A1" s="112"/>
      <c r="B1" s="113" t="s">
        <v>63</v>
      </c>
      <c r="C1" s="114"/>
      <c r="D1" s="113"/>
      <c r="E1" s="115"/>
      <c r="F1" s="115"/>
      <c r="G1" s="116"/>
      <c r="H1" s="116"/>
      <c r="I1" s="116"/>
      <c r="J1" s="116"/>
      <c r="K1" s="116"/>
      <c r="L1" s="116"/>
      <c r="M1" s="117"/>
      <c r="N1" s="116"/>
      <c r="O1" s="116"/>
      <c r="P1" s="116"/>
    </row>
    <row r="2" spans="1:21">
      <c r="A2" s="112"/>
      <c r="B2" s="118">
        <v>45778</v>
      </c>
      <c r="C2" s="119"/>
      <c r="D2" s="115"/>
      <c r="E2" s="115"/>
      <c r="F2" s="115"/>
      <c r="G2" s="116"/>
      <c r="H2" s="116"/>
      <c r="I2" s="116"/>
      <c r="J2" s="116"/>
      <c r="K2" s="116"/>
      <c r="L2" s="116"/>
      <c r="M2" s="117"/>
      <c r="N2" s="116"/>
      <c r="O2" s="116"/>
      <c r="P2" s="116"/>
    </row>
    <row r="3" spans="1:21">
      <c r="A3" s="112"/>
      <c r="B3" s="120"/>
      <c r="C3" s="121"/>
      <c r="D3" s="120"/>
      <c r="E3" s="120"/>
      <c r="F3" s="120"/>
      <c r="G3" s="120"/>
      <c r="H3" s="120"/>
      <c r="I3" s="122"/>
      <c r="J3" s="120"/>
      <c r="K3" s="115"/>
      <c r="L3" s="115"/>
      <c r="M3" s="123"/>
      <c r="N3" s="116"/>
      <c r="O3" s="116"/>
      <c r="P3" s="120"/>
    </row>
    <row r="4" spans="1:21">
      <c r="A4" s="112"/>
      <c r="B4" s="116"/>
      <c r="C4" s="121" t="s">
        <v>0</v>
      </c>
      <c r="D4" s="116"/>
      <c r="E4" s="124"/>
      <c r="F4" s="116"/>
      <c r="G4" s="125"/>
      <c r="H4" s="116"/>
      <c r="I4" s="116"/>
      <c r="J4" s="116"/>
      <c r="K4" s="115"/>
      <c r="L4" s="119"/>
      <c r="M4" s="117"/>
      <c r="N4" s="116"/>
      <c r="O4" s="116"/>
      <c r="P4" s="116"/>
    </row>
    <row r="5" spans="1:21">
      <c r="A5" s="112"/>
      <c r="B5" s="116"/>
      <c r="C5" s="126" t="s">
        <v>1</v>
      </c>
      <c r="D5" s="126" t="s">
        <v>1</v>
      </c>
      <c r="E5" s="116"/>
      <c r="G5" s="116"/>
      <c r="H5" s="116"/>
      <c r="I5" s="116"/>
      <c r="J5" s="116" t="s">
        <v>73</v>
      </c>
      <c r="K5" s="116"/>
      <c r="L5" s="116"/>
      <c r="M5" s="116" t="s">
        <v>87</v>
      </c>
    </row>
    <row r="6" spans="1:21" ht="37">
      <c r="A6" s="112"/>
      <c r="B6" s="127" t="s">
        <v>2</v>
      </c>
      <c r="C6" s="127" t="s">
        <v>3</v>
      </c>
      <c r="D6" s="127" t="s">
        <v>4</v>
      </c>
      <c r="E6" s="127" t="s">
        <v>5</v>
      </c>
      <c r="F6" s="128" t="s">
        <v>6</v>
      </c>
      <c r="G6" s="127" t="s">
        <v>7</v>
      </c>
      <c r="H6" s="127" t="s">
        <v>8</v>
      </c>
      <c r="I6" s="127" t="s">
        <v>9</v>
      </c>
      <c r="J6" s="127" t="s">
        <v>10</v>
      </c>
      <c r="K6" s="127" t="s">
        <v>11</v>
      </c>
      <c r="L6" s="127" t="s">
        <v>65</v>
      </c>
      <c r="M6" s="129" t="s">
        <v>66</v>
      </c>
      <c r="N6" s="127" t="s">
        <v>67</v>
      </c>
      <c r="O6" s="127" t="s">
        <v>64</v>
      </c>
      <c r="P6" s="127" t="s">
        <v>68</v>
      </c>
      <c r="Q6" s="127" t="s">
        <v>69</v>
      </c>
      <c r="R6" s="127" t="s">
        <v>70</v>
      </c>
      <c r="S6" s="127" t="s">
        <v>71</v>
      </c>
      <c r="T6" s="129" t="s">
        <v>72</v>
      </c>
      <c r="U6" s="127" t="s">
        <v>13</v>
      </c>
    </row>
    <row r="7" spans="1:21" s="36" customFormat="1" ht="24" customHeight="1">
      <c r="A7">
        <v>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1"/>
      <c r="O7" s="180"/>
      <c r="P7" s="180"/>
      <c r="Q7" s="180"/>
      <c r="R7" s="180"/>
      <c r="S7" s="180"/>
      <c r="T7" s="180"/>
      <c r="U7" s="180"/>
    </row>
    <row r="8" spans="1:21" s="36" customFormat="1" ht="24" customHeight="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  <row r="9" spans="1:21" s="36" customFormat="1" ht="24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 spans="1:21" s="36" customFormat="1" ht="24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 spans="1:21" s="36" customFormat="1" ht="24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 spans="1:21" s="36" customFormat="1" ht="24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1:21" s="36" customFormat="1" ht="24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1:21" s="36" customFormat="1" ht="24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s="36" customFormat="1" ht="24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s="36" customFormat="1" ht="24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21" s="36" customFormat="1" ht="24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 s="36" customFormat="1" ht="24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1:21" s="36" customFormat="1" ht="24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s="36" customFormat="1" ht="24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 s="36" customFormat="1" ht="24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 s="36" customFormat="1" ht="24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s="36" customFormat="1" ht="24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s="36" customFormat="1" ht="24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 s="36" customFormat="1" ht="24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s="36" customFormat="1" ht="24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s="36" customFormat="1" ht="24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1:21" s="36" customFormat="1" ht="24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1:21" s="36" customFormat="1" ht="24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1:21" s="36" customFormat="1" ht="24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1:21" s="36" customFormat="1" ht="24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1:21" s="36" customFormat="1" ht="24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 s="36" customFormat="1" ht="24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 s="36" customFormat="1" ht="24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 s="36" customFormat="1" ht="24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 s="36" customFormat="1" ht="24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 s="36" customFormat="1" ht="24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 s="36" customFormat="1" ht="24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 s="36" customFormat="1" ht="24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 s="36" customFormat="1" ht="24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s="36" customFormat="1" ht="24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 s="36" customFormat="1" ht="24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3"/>
  <sheetViews>
    <sheetView topLeftCell="A2" zoomScale="160" zoomScaleNormal="160" workbookViewId="0">
      <pane xSplit="1" topLeftCell="B1" activePane="topRight" state="frozen"/>
      <selection pane="topRight" activeCell="L18" sqref="L18"/>
    </sheetView>
  </sheetViews>
  <sheetFormatPr baseColWidth="10" defaultRowHeight="15"/>
  <cols>
    <col min="1" max="1" width="2.83203125" customWidth="1"/>
    <col min="2" max="2" width="7" customWidth="1"/>
    <col min="3" max="3" width="6.6640625" customWidth="1"/>
    <col min="4" max="4" width="14.5" customWidth="1"/>
    <col min="5" max="5" width="12.5" customWidth="1"/>
    <col min="6" max="6" width="7" customWidth="1"/>
    <col min="7" max="7" width="19.6640625" customWidth="1"/>
    <col min="8" max="8" width="10.6640625" customWidth="1"/>
    <col min="9" max="9" width="7" customWidth="1"/>
    <col min="10" max="10" width="7.6640625" customWidth="1"/>
    <col min="11" max="11" width="8.1640625" customWidth="1"/>
    <col min="12" max="12" width="16.1640625" customWidth="1"/>
    <col min="13" max="13" width="18" customWidth="1"/>
    <col min="14" max="14" width="8" customWidth="1"/>
    <col min="15" max="15" width="6.33203125" customWidth="1"/>
    <col min="17" max="17" width="7.5" customWidth="1"/>
    <col min="18" max="18" width="4.6640625" customWidth="1"/>
    <col min="19" max="19" width="13.1640625" customWidth="1"/>
    <col min="20" max="20" width="9" customWidth="1"/>
    <col min="21" max="21" width="30" customWidth="1"/>
  </cols>
  <sheetData>
    <row r="1" spans="1:21" ht="16">
      <c r="G1" s="162"/>
    </row>
    <row r="2" spans="1:21">
      <c r="B2" s="136"/>
      <c r="C2" s="137" t="s">
        <v>0</v>
      </c>
      <c r="F2" s="138"/>
      <c r="G2" s="139"/>
      <c r="H2" s="140"/>
      <c r="I2" s="141"/>
      <c r="J2" s="142"/>
      <c r="K2" s="143"/>
      <c r="L2" s="144"/>
      <c r="M2" s="144"/>
      <c r="N2" s="136"/>
      <c r="O2" s="145"/>
      <c r="T2" s="146"/>
    </row>
    <row r="3" spans="1:21">
      <c r="B3" s="136"/>
      <c r="C3" s="147" t="s">
        <v>1</v>
      </c>
      <c r="F3" s="148"/>
      <c r="G3" s="139"/>
      <c r="H3" s="140"/>
      <c r="I3" s="141"/>
      <c r="J3" s="142" t="s">
        <v>80</v>
      </c>
      <c r="K3" s="143"/>
      <c r="L3" s="144"/>
      <c r="M3" s="149"/>
      <c r="N3" s="150" t="s">
        <v>91</v>
      </c>
      <c r="O3" s="145"/>
      <c r="P3" s="151"/>
      <c r="T3" s="146"/>
    </row>
    <row r="4" spans="1:21" ht="20">
      <c r="B4" s="152" t="s">
        <v>11</v>
      </c>
      <c r="C4" s="152" t="s">
        <v>2</v>
      </c>
      <c r="D4" s="152" t="s">
        <v>3</v>
      </c>
      <c r="E4" s="152" t="s">
        <v>4</v>
      </c>
      <c r="F4" s="152" t="s">
        <v>5</v>
      </c>
      <c r="G4" s="152" t="s">
        <v>6</v>
      </c>
      <c r="H4" s="152" t="s">
        <v>7</v>
      </c>
      <c r="I4" s="152" t="s">
        <v>8</v>
      </c>
      <c r="J4" s="152" t="s">
        <v>9</v>
      </c>
      <c r="K4" s="152" t="s">
        <v>10</v>
      </c>
      <c r="L4" s="153" t="s">
        <v>12</v>
      </c>
      <c r="M4" s="153" t="s">
        <v>13</v>
      </c>
      <c r="N4" s="152" t="s">
        <v>14</v>
      </c>
      <c r="O4" s="154" t="s">
        <v>15</v>
      </c>
      <c r="P4" s="152" t="s">
        <v>16</v>
      </c>
      <c r="Q4" s="152" t="s">
        <v>17</v>
      </c>
      <c r="R4" s="155" t="s">
        <v>18</v>
      </c>
      <c r="S4" s="152" t="s">
        <v>19</v>
      </c>
      <c r="T4" s="152" t="s">
        <v>20</v>
      </c>
      <c r="U4" s="156" t="s">
        <v>21</v>
      </c>
    </row>
    <row r="5" spans="1:21">
      <c r="A5">
        <v>1</v>
      </c>
      <c r="B5" s="157">
        <v>45765</v>
      </c>
      <c r="C5" s="157">
        <v>45759</v>
      </c>
      <c r="D5" s="157" t="s">
        <v>94</v>
      </c>
      <c r="E5" s="157" t="s">
        <v>116</v>
      </c>
      <c r="F5" s="158" t="s">
        <v>95</v>
      </c>
      <c r="G5" s="157" t="s">
        <v>96</v>
      </c>
      <c r="H5" s="157" t="s">
        <v>97</v>
      </c>
      <c r="I5" s="158" t="s">
        <v>42</v>
      </c>
      <c r="J5" s="157" t="s">
        <v>76</v>
      </c>
      <c r="K5" s="157" t="s">
        <v>77</v>
      </c>
      <c r="L5" s="157" t="s">
        <v>98</v>
      </c>
      <c r="M5" s="157" t="s">
        <v>99</v>
      </c>
      <c r="N5" s="159">
        <v>986597235</v>
      </c>
      <c r="O5" s="160">
        <v>15</v>
      </c>
      <c r="P5" s="157" t="s">
        <v>81</v>
      </c>
      <c r="Q5" s="157" t="s">
        <v>76</v>
      </c>
      <c r="R5" s="157"/>
      <c r="S5" s="157" t="str">
        <f>E5</f>
        <v>043-906-000049003</v>
      </c>
      <c r="T5" s="161">
        <v>1400054391</v>
      </c>
      <c r="U5" s="190" t="s">
        <v>100</v>
      </c>
    </row>
    <row r="6" spans="1:21">
      <c r="A6">
        <v>2</v>
      </c>
      <c r="B6" s="157">
        <v>45765</v>
      </c>
      <c r="C6" s="157">
        <v>45762</v>
      </c>
      <c r="D6" s="157" t="s">
        <v>94</v>
      </c>
      <c r="E6" s="157" t="s">
        <v>101</v>
      </c>
      <c r="F6" s="158" t="s">
        <v>102</v>
      </c>
      <c r="G6" s="157" t="s">
        <v>103</v>
      </c>
      <c r="H6" s="157" t="s">
        <v>104</v>
      </c>
      <c r="I6" s="158" t="s">
        <v>42</v>
      </c>
      <c r="J6" s="157" t="s">
        <v>76</v>
      </c>
      <c r="K6" s="157" t="s">
        <v>77</v>
      </c>
      <c r="L6" s="157" t="s">
        <v>105</v>
      </c>
      <c r="M6" s="157" t="s">
        <v>106</v>
      </c>
      <c r="N6" s="159">
        <v>999766993</v>
      </c>
      <c r="O6" s="160">
        <v>15</v>
      </c>
      <c r="P6" s="157" t="s">
        <v>81</v>
      </c>
      <c r="Q6" s="157" t="s">
        <v>76</v>
      </c>
      <c r="R6" s="157"/>
      <c r="S6" s="157" t="str">
        <f t="shared" ref="S6:S32" si="0">E6</f>
        <v>043-905-000068934</v>
      </c>
      <c r="T6" s="161">
        <v>102180908</v>
      </c>
      <c r="U6" s="190" t="s">
        <v>107</v>
      </c>
    </row>
    <row r="7" spans="1:21">
      <c r="A7">
        <v>3</v>
      </c>
      <c r="B7" s="157">
        <v>45765</v>
      </c>
      <c r="C7" s="157">
        <v>45758</v>
      </c>
      <c r="D7" s="157" t="s">
        <v>94</v>
      </c>
      <c r="E7" s="157" t="s">
        <v>108</v>
      </c>
      <c r="F7" s="158" t="s">
        <v>109</v>
      </c>
      <c r="G7" s="157" t="s">
        <v>110</v>
      </c>
      <c r="H7" s="157" t="s">
        <v>111</v>
      </c>
      <c r="I7" s="158" t="s">
        <v>42</v>
      </c>
      <c r="J7" s="157" t="s">
        <v>76</v>
      </c>
      <c r="K7" s="157" t="s">
        <v>77</v>
      </c>
      <c r="L7" s="157" t="s">
        <v>112</v>
      </c>
      <c r="M7" s="157" t="s">
        <v>113</v>
      </c>
      <c r="N7" s="159">
        <v>983917463</v>
      </c>
      <c r="O7" s="160">
        <v>15</v>
      </c>
      <c r="P7" s="157" t="s">
        <v>81</v>
      </c>
      <c r="Q7" s="157" t="s">
        <v>76</v>
      </c>
      <c r="R7" s="157"/>
      <c r="S7" s="157" t="str">
        <f t="shared" si="0"/>
        <v>043-903-000067081</v>
      </c>
      <c r="T7" s="161">
        <v>103873634</v>
      </c>
      <c r="U7" s="190" t="s">
        <v>114</v>
      </c>
    </row>
    <row r="8" spans="1:21">
      <c r="A8">
        <v>4</v>
      </c>
      <c r="B8" s="157">
        <v>45765</v>
      </c>
      <c r="C8" s="157">
        <v>45763</v>
      </c>
      <c r="D8" s="157" t="s">
        <v>149</v>
      </c>
      <c r="E8" s="157" t="s">
        <v>115</v>
      </c>
      <c r="F8" s="158" t="s">
        <v>109</v>
      </c>
      <c r="G8" s="157" t="s">
        <v>110</v>
      </c>
      <c r="H8" s="157" t="s">
        <v>117</v>
      </c>
      <c r="I8" s="158" t="s">
        <v>42</v>
      </c>
      <c r="J8" s="157" t="s">
        <v>76</v>
      </c>
      <c r="K8" s="157" t="s">
        <v>77</v>
      </c>
      <c r="L8" s="157" t="s">
        <v>118</v>
      </c>
      <c r="M8" s="157" t="s">
        <v>119</v>
      </c>
      <c r="N8" s="159">
        <v>9959229447</v>
      </c>
      <c r="O8" s="160">
        <v>15</v>
      </c>
      <c r="P8" s="157" t="s">
        <v>81</v>
      </c>
      <c r="Q8" s="157" t="s">
        <v>76</v>
      </c>
      <c r="R8" s="157"/>
      <c r="S8" s="157" t="str">
        <f t="shared" si="0"/>
        <v>001-500-000072461</v>
      </c>
      <c r="T8" s="161">
        <v>1059776658</v>
      </c>
      <c r="U8" s="190" t="s">
        <v>120</v>
      </c>
    </row>
    <row r="9" spans="1:21">
      <c r="A9">
        <v>5</v>
      </c>
      <c r="B9" s="157" t="s">
        <v>200</v>
      </c>
      <c r="C9" s="157">
        <v>45749</v>
      </c>
      <c r="D9" s="157" t="s">
        <v>201</v>
      </c>
      <c r="E9" s="157" t="s">
        <v>202</v>
      </c>
      <c r="F9" s="158" t="s">
        <v>203</v>
      </c>
      <c r="G9" s="157" t="s">
        <v>110</v>
      </c>
      <c r="H9" s="157" t="s">
        <v>204</v>
      </c>
      <c r="I9" s="158" t="s">
        <v>42</v>
      </c>
      <c r="J9" s="157" t="s">
        <v>76</v>
      </c>
      <c r="K9" s="157" t="s">
        <v>77</v>
      </c>
      <c r="L9" s="157" t="s">
        <v>211</v>
      </c>
      <c r="M9" s="157" t="s">
        <v>205</v>
      </c>
      <c r="N9" s="159">
        <v>994894523</v>
      </c>
      <c r="O9" s="160">
        <v>15</v>
      </c>
      <c r="P9" s="157" t="s">
        <v>81</v>
      </c>
      <c r="Q9" s="157" t="s">
        <v>76</v>
      </c>
      <c r="R9" s="157"/>
      <c r="S9" s="157" t="str">
        <f t="shared" si="0"/>
        <v>002-201-000007579</v>
      </c>
      <c r="T9" s="161">
        <v>101206878</v>
      </c>
      <c r="U9" s="190" t="s">
        <v>206</v>
      </c>
    </row>
    <row r="10" spans="1:21">
      <c r="A10">
        <v>6</v>
      </c>
      <c r="B10" s="157">
        <v>45769</v>
      </c>
      <c r="C10" s="157">
        <v>45612</v>
      </c>
      <c r="D10" s="157" t="s">
        <v>149</v>
      </c>
      <c r="E10" s="157" t="s">
        <v>207</v>
      </c>
      <c r="F10" s="158" t="s">
        <v>208</v>
      </c>
      <c r="G10" s="157" t="s">
        <v>209</v>
      </c>
      <c r="H10" s="157" t="s">
        <v>210</v>
      </c>
      <c r="I10" s="158" t="s">
        <v>42</v>
      </c>
      <c r="J10" s="157" t="s">
        <v>76</v>
      </c>
      <c r="K10" s="157" t="s">
        <v>77</v>
      </c>
      <c r="L10" s="157" t="s">
        <v>212</v>
      </c>
      <c r="M10" s="157" t="s">
        <v>158</v>
      </c>
      <c r="N10" s="159">
        <v>992645579</v>
      </c>
      <c r="O10" s="160">
        <v>29</v>
      </c>
      <c r="P10" s="157" t="s">
        <v>81</v>
      </c>
      <c r="Q10" s="157" t="s">
        <v>76</v>
      </c>
      <c r="R10" s="157"/>
      <c r="S10" s="157" t="str">
        <f t="shared" si="0"/>
        <v>001-500-000067912</v>
      </c>
      <c r="T10" s="161">
        <v>106583487</v>
      </c>
      <c r="U10" s="190" t="s">
        <v>213</v>
      </c>
    </row>
    <row r="11" spans="1:21">
      <c r="A11">
        <v>7</v>
      </c>
      <c r="B11" s="157">
        <v>45770</v>
      </c>
      <c r="C11" s="157">
        <v>45758</v>
      </c>
      <c r="D11" s="157" t="s">
        <v>94</v>
      </c>
      <c r="E11" s="157" t="s">
        <v>214</v>
      </c>
      <c r="F11" s="158" t="s">
        <v>215</v>
      </c>
      <c r="G11" s="157" t="s">
        <v>123</v>
      </c>
      <c r="H11" s="157" t="s">
        <v>216</v>
      </c>
      <c r="I11" s="158" t="s">
        <v>42</v>
      </c>
      <c r="J11" s="157" t="s">
        <v>76</v>
      </c>
      <c r="K11" s="157" t="s">
        <v>77</v>
      </c>
      <c r="L11" s="157" t="s">
        <v>217</v>
      </c>
      <c r="M11" s="157" t="s">
        <v>218</v>
      </c>
      <c r="N11" s="159">
        <v>990728688</v>
      </c>
      <c r="O11" s="160">
        <v>29</v>
      </c>
      <c r="P11" s="157" t="s">
        <v>81</v>
      </c>
      <c r="Q11" s="157" t="s">
        <v>76</v>
      </c>
      <c r="R11" s="157"/>
      <c r="S11" s="157" t="str">
        <f t="shared" si="0"/>
        <v>043-902-000046015</v>
      </c>
      <c r="T11" s="161">
        <v>102205275</v>
      </c>
      <c r="U11" s="190" t="s">
        <v>219</v>
      </c>
    </row>
    <row r="12" spans="1:21">
      <c r="A12">
        <v>8</v>
      </c>
      <c r="B12" s="157">
        <v>45770</v>
      </c>
      <c r="C12" s="157">
        <v>45724</v>
      </c>
      <c r="D12" s="157" t="s">
        <v>220</v>
      </c>
      <c r="E12" s="157" t="s">
        <v>221</v>
      </c>
      <c r="F12" s="158" t="s">
        <v>222</v>
      </c>
      <c r="G12" s="157" t="s">
        <v>223</v>
      </c>
      <c r="H12" s="157" t="s">
        <v>224</v>
      </c>
      <c r="I12" s="158" t="s">
        <v>42</v>
      </c>
      <c r="J12" s="157" t="s">
        <v>76</v>
      </c>
      <c r="K12" s="157" t="s">
        <v>77</v>
      </c>
      <c r="L12" s="157" t="s">
        <v>225</v>
      </c>
      <c r="M12" s="157" t="s">
        <v>226</v>
      </c>
      <c r="N12" s="159">
        <v>995141013</v>
      </c>
      <c r="O12" s="160">
        <v>20</v>
      </c>
      <c r="P12" s="157" t="s">
        <v>81</v>
      </c>
      <c r="Q12" s="157" t="s">
        <v>76</v>
      </c>
      <c r="R12" s="157"/>
      <c r="S12" s="157" t="str">
        <f t="shared" si="0"/>
        <v>017-003-000054229</v>
      </c>
      <c r="T12" s="161">
        <v>101950863</v>
      </c>
      <c r="U12" s="190" t="s">
        <v>227</v>
      </c>
    </row>
    <row r="13" spans="1:21">
      <c r="A13">
        <v>9</v>
      </c>
      <c r="B13" s="157">
        <v>45771</v>
      </c>
      <c r="C13" s="157">
        <v>45644</v>
      </c>
      <c r="D13" s="157" t="s">
        <v>149</v>
      </c>
      <c r="E13" s="157" t="s">
        <v>228</v>
      </c>
      <c r="F13" s="158" t="s">
        <v>229</v>
      </c>
      <c r="G13" s="157" t="s">
        <v>230</v>
      </c>
      <c r="H13" s="157" t="s">
        <v>231</v>
      </c>
      <c r="I13" s="158" t="s">
        <v>42</v>
      </c>
      <c r="J13" s="157" t="s">
        <v>76</v>
      </c>
      <c r="K13" s="157" t="s">
        <v>77</v>
      </c>
      <c r="L13" s="157" t="s">
        <v>232</v>
      </c>
      <c r="M13" s="157" t="s">
        <v>194</v>
      </c>
      <c r="N13" s="159">
        <v>999474536</v>
      </c>
      <c r="O13" s="160">
        <v>29</v>
      </c>
      <c r="P13" s="157" t="s">
        <v>81</v>
      </c>
      <c r="Q13" s="157" t="s">
        <v>76</v>
      </c>
      <c r="R13" s="157"/>
      <c r="S13" s="157" t="str">
        <f t="shared" si="0"/>
        <v>001-500-000009213</v>
      </c>
      <c r="T13" s="161">
        <v>104591052</v>
      </c>
      <c r="U13" s="190" t="s">
        <v>233</v>
      </c>
    </row>
    <row r="14" spans="1:21">
      <c r="A14">
        <v>10</v>
      </c>
      <c r="B14" s="157">
        <v>45771</v>
      </c>
      <c r="C14" s="157">
        <v>45761</v>
      </c>
      <c r="D14" s="157" t="s">
        <v>94</v>
      </c>
      <c r="E14" s="157" t="s">
        <v>234</v>
      </c>
      <c r="F14" s="158" t="s">
        <v>235</v>
      </c>
      <c r="G14" s="157" t="s">
        <v>143</v>
      </c>
      <c r="H14" s="157" t="s">
        <v>236</v>
      </c>
      <c r="I14" s="158" t="s">
        <v>42</v>
      </c>
      <c r="J14" s="157" t="s">
        <v>76</v>
      </c>
      <c r="K14" s="157" t="s">
        <v>77</v>
      </c>
      <c r="L14" s="157" t="s">
        <v>237</v>
      </c>
      <c r="M14" s="157" t="s">
        <v>238</v>
      </c>
      <c r="N14" s="159">
        <v>992294996</v>
      </c>
      <c r="O14" s="160">
        <v>15</v>
      </c>
      <c r="P14" s="157" t="s">
        <v>81</v>
      </c>
      <c r="Q14" s="157" t="s">
        <v>76</v>
      </c>
      <c r="R14" s="157"/>
      <c r="S14" s="157" t="str">
        <f t="shared" si="0"/>
        <v>043-905-000068842</v>
      </c>
      <c r="T14" s="161">
        <v>101798569</v>
      </c>
      <c r="U14" s="190" t="s">
        <v>239</v>
      </c>
    </row>
    <row r="15" spans="1:21">
      <c r="A15">
        <v>11</v>
      </c>
      <c r="B15" s="157">
        <v>45773</v>
      </c>
      <c r="C15" s="157">
        <v>45772</v>
      </c>
      <c r="D15" s="157" t="s">
        <v>94</v>
      </c>
      <c r="E15" s="157" t="s">
        <v>240</v>
      </c>
      <c r="F15" s="158" t="s">
        <v>215</v>
      </c>
      <c r="G15" s="157" t="s">
        <v>123</v>
      </c>
      <c r="H15" s="157" t="s">
        <v>241</v>
      </c>
      <c r="I15" s="158" t="s">
        <v>42</v>
      </c>
      <c r="J15" s="157" t="s">
        <v>76</v>
      </c>
      <c r="K15" s="157" t="s">
        <v>77</v>
      </c>
      <c r="L15" s="157" t="s">
        <v>242</v>
      </c>
      <c r="M15" s="157" t="s">
        <v>243</v>
      </c>
      <c r="N15" s="159">
        <v>997352515</v>
      </c>
      <c r="O15" s="160">
        <v>29</v>
      </c>
      <c r="P15" s="157" t="s">
        <v>81</v>
      </c>
      <c r="Q15" s="157" t="s">
        <v>76</v>
      </c>
      <c r="R15" s="157"/>
      <c r="S15" s="157" t="str">
        <f t="shared" si="0"/>
        <v>043-906-000041809</v>
      </c>
      <c r="T15" s="161">
        <v>103590139</v>
      </c>
      <c r="U15" s="190" t="s">
        <v>244</v>
      </c>
    </row>
    <row r="16" spans="1:21">
      <c r="A16">
        <v>12</v>
      </c>
      <c r="B16" s="157">
        <v>45775</v>
      </c>
      <c r="C16" s="157">
        <v>45764</v>
      </c>
      <c r="D16" s="157" t="s">
        <v>94</v>
      </c>
      <c r="E16" s="157" t="s">
        <v>285</v>
      </c>
      <c r="F16" s="158" t="s">
        <v>235</v>
      </c>
      <c r="G16" s="157" t="s">
        <v>286</v>
      </c>
      <c r="H16" s="157" t="s">
        <v>287</v>
      </c>
      <c r="I16" s="158" t="s">
        <v>42</v>
      </c>
      <c r="J16" s="157" t="s">
        <v>76</v>
      </c>
      <c r="K16" s="157" t="s">
        <v>77</v>
      </c>
      <c r="L16" s="157" t="s">
        <v>288</v>
      </c>
      <c r="M16" s="157" t="s">
        <v>147</v>
      </c>
      <c r="N16" s="159">
        <v>985847251</v>
      </c>
      <c r="O16" s="160">
        <v>15</v>
      </c>
      <c r="P16" s="157" t="s">
        <v>81</v>
      </c>
      <c r="Q16" s="157" t="s">
        <v>76</v>
      </c>
      <c r="R16" s="157"/>
      <c r="S16" s="157" t="str">
        <f t="shared" si="0"/>
        <v>016-902-000506147</v>
      </c>
      <c r="T16" s="161">
        <v>1204486803</v>
      </c>
      <c r="U16" s="190" t="s">
        <v>289</v>
      </c>
    </row>
    <row r="17" spans="1:21">
      <c r="A17">
        <v>13</v>
      </c>
      <c r="B17" s="157">
        <v>45775</v>
      </c>
      <c r="C17" s="157">
        <v>45759</v>
      </c>
      <c r="D17" s="157" t="s">
        <v>94</v>
      </c>
      <c r="E17" s="157" t="s">
        <v>290</v>
      </c>
      <c r="F17" s="158" t="s">
        <v>235</v>
      </c>
      <c r="G17" s="157" t="s">
        <v>286</v>
      </c>
      <c r="H17" s="157" t="s">
        <v>291</v>
      </c>
      <c r="I17" s="158" t="s">
        <v>42</v>
      </c>
      <c r="J17" s="157" t="s">
        <v>76</v>
      </c>
      <c r="K17" s="157" t="s">
        <v>77</v>
      </c>
      <c r="L17" s="157" t="s">
        <v>292</v>
      </c>
      <c r="M17" s="157" t="s">
        <v>293</v>
      </c>
      <c r="N17" s="159">
        <v>984833143</v>
      </c>
      <c r="O17" s="160">
        <v>15</v>
      </c>
      <c r="P17" s="157" t="s">
        <v>81</v>
      </c>
      <c r="Q17" s="157" t="s">
        <v>76</v>
      </c>
      <c r="R17" s="157"/>
      <c r="S17" s="157" t="str">
        <f t="shared" si="0"/>
        <v>016-907-000247915</v>
      </c>
      <c r="T17" s="161">
        <v>100100775</v>
      </c>
      <c r="U17" s="190" t="s">
        <v>294</v>
      </c>
    </row>
    <row r="18" spans="1:21">
      <c r="A18">
        <v>14</v>
      </c>
      <c r="B18" s="157">
        <v>45775</v>
      </c>
      <c r="C18" s="157">
        <v>45762</v>
      </c>
      <c r="D18" s="157" t="s">
        <v>295</v>
      </c>
      <c r="E18" s="157" t="s">
        <v>296</v>
      </c>
      <c r="F18" s="158" t="s">
        <v>95</v>
      </c>
      <c r="G18" s="157" t="s">
        <v>297</v>
      </c>
      <c r="H18" s="157" t="s">
        <v>298</v>
      </c>
      <c r="I18" s="158" t="s">
        <v>42</v>
      </c>
      <c r="J18" s="157" t="s">
        <v>76</v>
      </c>
      <c r="K18" s="157" t="s">
        <v>77</v>
      </c>
      <c r="L18" s="157" t="s">
        <v>299</v>
      </c>
      <c r="M18" s="157" t="s">
        <v>300</v>
      </c>
      <c r="N18" s="159">
        <v>904021371</v>
      </c>
      <c r="O18" s="160">
        <v>15</v>
      </c>
      <c r="P18" s="157" t="s">
        <v>81</v>
      </c>
      <c r="Q18" s="157" t="s">
        <v>76</v>
      </c>
      <c r="R18" s="157"/>
      <c r="S18" s="157" t="str">
        <f t="shared" si="0"/>
        <v>001-001-000001286</v>
      </c>
      <c r="T18" s="161">
        <v>190499332</v>
      </c>
      <c r="U18" s="190" t="s">
        <v>301</v>
      </c>
    </row>
    <row r="19" spans="1:21">
      <c r="A19">
        <v>15</v>
      </c>
      <c r="B19" s="157">
        <v>45776</v>
      </c>
      <c r="C19" s="157">
        <v>45773</v>
      </c>
      <c r="D19" s="157" t="s">
        <v>302</v>
      </c>
      <c r="E19" s="157" t="s">
        <v>303</v>
      </c>
      <c r="F19" s="158" t="s">
        <v>95</v>
      </c>
      <c r="G19" s="157" t="s">
        <v>297</v>
      </c>
      <c r="H19" s="157" t="s">
        <v>304</v>
      </c>
      <c r="I19" s="158" t="s">
        <v>42</v>
      </c>
      <c r="J19" s="157" t="s">
        <v>76</v>
      </c>
      <c r="K19" s="157" t="s">
        <v>77</v>
      </c>
      <c r="L19" s="157" t="s">
        <v>305</v>
      </c>
      <c r="M19" s="157" t="s">
        <v>306</v>
      </c>
      <c r="N19" s="159">
        <v>9995833841</v>
      </c>
      <c r="O19" s="160">
        <v>15</v>
      </c>
      <c r="P19" s="157" t="s">
        <v>81</v>
      </c>
      <c r="Q19" s="157" t="s">
        <v>76</v>
      </c>
      <c r="R19" s="157"/>
      <c r="S19" s="157" t="str">
        <f t="shared" si="0"/>
        <v>043-905-000070672</v>
      </c>
      <c r="T19" s="161">
        <v>10286144</v>
      </c>
      <c r="U19" s="190" t="s">
        <v>307</v>
      </c>
    </row>
    <row r="20" spans="1:21">
      <c r="A20">
        <v>16</v>
      </c>
      <c r="B20" s="157">
        <v>45778</v>
      </c>
      <c r="C20" s="157">
        <v>45542</v>
      </c>
      <c r="D20" s="157" t="s">
        <v>149</v>
      </c>
      <c r="E20" s="157" t="s">
        <v>308</v>
      </c>
      <c r="F20" s="158" t="s">
        <v>208</v>
      </c>
      <c r="G20" s="157" t="s">
        <v>209</v>
      </c>
      <c r="H20" s="157" t="s">
        <v>309</v>
      </c>
      <c r="I20" s="158" t="s">
        <v>42</v>
      </c>
      <c r="J20" s="157" t="s">
        <v>76</v>
      </c>
      <c r="K20" s="157" t="s">
        <v>77</v>
      </c>
      <c r="L20" s="157" t="s">
        <v>310</v>
      </c>
      <c r="M20" s="157" t="s">
        <v>311</v>
      </c>
      <c r="N20" s="159">
        <v>995554725</v>
      </c>
      <c r="O20" s="160">
        <v>29</v>
      </c>
      <c r="P20" s="157" t="s">
        <v>81</v>
      </c>
      <c r="Q20" s="157" t="s">
        <v>76</v>
      </c>
      <c r="R20" s="157"/>
      <c r="S20" s="157" t="str">
        <f t="shared" si="0"/>
        <v>001-500-000066218</v>
      </c>
      <c r="T20" s="161">
        <v>106419948</v>
      </c>
      <c r="U20" s="190" t="s">
        <v>312</v>
      </c>
    </row>
    <row r="21" spans="1:21">
      <c r="A21">
        <v>17</v>
      </c>
      <c r="B21" s="157">
        <v>45778</v>
      </c>
      <c r="C21" s="157">
        <v>45915</v>
      </c>
      <c r="D21" s="157" t="s">
        <v>313</v>
      </c>
      <c r="E21" s="157" t="s">
        <v>314</v>
      </c>
      <c r="F21" s="158" t="s">
        <v>315</v>
      </c>
      <c r="G21" s="157" t="s">
        <v>153</v>
      </c>
      <c r="H21" s="157" t="s">
        <v>316</v>
      </c>
      <c r="I21" s="158" t="s">
        <v>42</v>
      </c>
      <c r="J21" s="157" t="s">
        <v>76</v>
      </c>
      <c r="K21" s="157" t="s">
        <v>77</v>
      </c>
      <c r="L21" s="157" t="s">
        <v>317</v>
      </c>
      <c r="M21" s="157" t="s">
        <v>318</v>
      </c>
      <c r="N21" s="159">
        <v>995576385</v>
      </c>
      <c r="O21" s="160">
        <v>25</v>
      </c>
      <c r="P21" s="157" t="s">
        <v>81</v>
      </c>
      <c r="Q21" s="157" t="s">
        <v>76</v>
      </c>
      <c r="R21" s="157"/>
      <c r="S21" s="157" t="str">
        <f t="shared" si="0"/>
        <v>040-103-000012968</v>
      </c>
      <c r="T21" s="161">
        <v>104808449</v>
      </c>
      <c r="U21" s="190" t="s">
        <v>319</v>
      </c>
    </row>
    <row r="22" spans="1:21">
      <c r="A22">
        <v>18</v>
      </c>
      <c r="B22" s="157">
        <v>45779</v>
      </c>
      <c r="C22" s="157">
        <v>45778</v>
      </c>
      <c r="D22" s="157" t="s">
        <v>149</v>
      </c>
      <c r="E22" s="157" t="s">
        <v>379</v>
      </c>
      <c r="F22" s="158" t="s">
        <v>222</v>
      </c>
      <c r="G22" s="157" t="s">
        <v>223</v>
      </c>
      <c r="H22" s="157" t="s">
        <v>380</v>
      </c>
      <c r="I22" s="158" t="s">
        <v>42</v>
      </c>
      <c r="J22" s="157" t="s">
        <v>76</v>
      </c>
      <c r="K22" s="157" t="s">
        <v>77</v>
      </c>
      <c r="L22" s="157" t="s">
        <v>381</v>
      </c>
      <c r="M22" s="157" t="s">
        <v>382</v>
      </c>
      <c r="N22" s="159">
        <v>986124142</v>
      </c>
      <c r="O22" s="160">
        <v>25</v>
      </c>
      <c r="P22" s="157" t="s">
        <v>81</v>
      </c>
      <c r="Q22" s="157" t="s">
        <v>76</v>
      </c>
      <c r="R22" s="157"/>
      <c r="S22" s="157" t="str">
        <f t="shared" si="0"/>
        <v>001-500-000072452</v>
      </c>
      <c r="T22" s="161">
        <v>102680428</v>
      </c>
      <c r="U22" s="190" t="s">
        <v>383</v>
      </c>
    </row>
    <row r="23" spans="1:21">
      <c r="A23">
        <v>19</v>
      </c>
      <c r="B23" s="157">
        <v>45783</v>
      </c>
      <c r="C23" s="157">
        <v>45763</v>
      </c>
      <c r="D23" s="157" t="s">
        <v>149</v>
      </c>
      <c r="E23" s="157" t="s">
        <v>384</v>
      </c>
      <c r="F23" s="158" t="s">
        <v>215</v>
      </c>
      <c r="G23" s="157" t="s">
        <v>123</v>
      </c>
      <c r="H23" s="157" t="s">
        <v>385</v>
      </c>
      <c r="I23" s="158" t="s">
        <v>42</v>
      </c>
      <c r="J23" s="157" t="s">
        <v>76</v>
      </c>
      <c r="K23" s="157" t="s">
        <v>77</v>
      </c>
      <c r="L23" s="157" t="s">
        <v>386</v>
      </c>
      <c r="M23" s="157" t="s">
        <v>387</v>
      </c>
      <c r="N23" s="159">
        <v>992574350</v>
      </c>
      <c r="O23" s="160">
        <v>29</v>
      </c>
      <c r="P23" s="157" t="s">
        <v>81</v>
      </c>
      <c r="Q23" s="157" t="s">
        <v>76</v>
      </c>
      <c r="R23" s="157"/>
      <c r="S23" s="157" t="str">
        <f t="shared" si="0"/>
        <v>001-500-000072449</v>
      </c>
      <c r="T23" s="161">
        <v>101162592</v>
      </c>
      <c r="U23" s="190" t="s">
        <v>388</v>
      </c>
    </row>
    <row r="24" spans="1:21">
      <c r="A24">
        <v>20</v>
      </c>
      <c r="B24" s="157">
        <v>45783</v>
      </c>
      <c r="C24" s="157">
        <v>45778</v>
      </c>
      <c r="D24" s="157" t="s">
        <v>94</v>
      </c>
      <c r="E24" s="157" t="s">
        <v>389</v>
      </c>
      <c r="F24" s="158" t="s">
        <v>390</v>
      </c>
      <c r="G24" s="157" t="s">
        <v>96</v>
      </c>
      <c r="H24" s="157" t="s">
        <v>391</v>
      </c>
      <c r="I24" s="158" t="s">
        <v>42</v>
      </c>
      <c r="J24" s="157" t="s">
        <v>76</v>
      </c>
      <c r="K24" s="157" t="s">
        <v>77</v>
      </c>
      <c r="L24" s="157" t="s">
        <v>392</v>
      </c>
      <c r="M24" s="157" t="s">
        <v>393</v>
      </c>
      <c r="N24" s="159">
        <v>969051073</v>
      </c>
      <c r="O24" s="160">
        <v>15</v>
      </c>
      <c r="P24" s="157" t="s">
        <v>81</v>
      </c>
      <c r="Q24" s="157" t="s">
        <v>76</v>
      </c>
      <c r="R24" s="157"/>
      <c r="S24" s="157" t="str">
        <f t="shared" si="0"/>
        <v>016-907-000251351</v>
      </c>
      <c r="T24" s="161">
        <v>104964283</v>
      </c>
      <c r="U24" s="190" t="s">
        <v>394</v>
      </c>
    </row>
    <row r="25" spans="1:21">
      <c r="A25">
        <v>21</v>
      </c>
      <c r="B25" s="157">
        <v>45784</v>
      </c>
      <c r="C25" s="157">
        <v>45770</v>
      </c>
      <c r="D25" s="157" t="s">
        <v>94</v>
      </c>
      <c r="E25" s="157" t="s">
        <v>395</v>
      </c>
      <c r="F25" s="158" t="s">
        <v>235</v>
      </c>
      <c r="G25" s="157" t="s">
        <v>143</v>
      </c>
      <c r="H25" s="157" t="s">
        <v>396</v>
      </c>
      <c r="I25" s="158" t="s">
        <v>42</v>
      </c>
      <c r="J25" s="157" t="s">
        <v>76</v>
      </c>
      <c r="K25" s="157" t="s">
        <v>77</v>
      </c>
      <c r="L25" s="157" t="s">
        <v>397</v>
      </c>
      <c r="M25" s="157" t="s">
        <v>398</v>
      </c>
      <c r="N25" s="159">
        <v>981451483</v>
      </c>
      <c r="O25" s="160">
        <v>15</v>
      </c>
      <c r="P25" s="157" t="s">
        <v>81</v>
      </c>
      <c r="Q25" s="157" t="s">
        <v>76</v>
      </c>
      <c r="R25" s="157"/>
      <c r="S25" s="157" t="str">
        <f t="shared" si="0"/>
        <v>016-907-000249571</v>
      </c>
      <c r="T25" s="161">
        <v>105956502</v>
      </c>
      <c r="U25" s="190" t="s">
        <v>399</v>
      </c>
    </row>
    <row r="26" spans="1:21">
      <c r="A26">
        <v>22</v>
      </c>
      <c r="B26" s="157">
        <v>45784</v>
      </c>
      <c r="C26" s="157">
        <v>45777</v>
      </c>
      <c r="D26" s="157" t="s">
        <v>94</v>
      </c>
      <c r="E26" s="157" t="s">
        <v>400</v>
      </c>
      <c r="F26" s="158" t="s">
        <v>95</v>
      </c>
      <c r="G26" s="157" t="s">
        <v>96</v>
      </c>
      <c r="H26" s="157" t="s">
        <v>401</v>
      </c>
      <c r="I26" s="158" t="s">
        <v>42</v>
      </c>
      <c r="J26" s="157" t="s">
        <v>76</v>
      </c>
      <c r="K26" s="157" t="s">
        <v>77</v>
      </c>
      <c r="L26" s="157" t="s">
        <v>402</v>
      </c>
      <c r="M26" s="157" t="s">
        <v>403</v>
      </c>
      <c r="N26" s="159">
        <v>984973095</v>
      </c>
      <c r="O26" s="160">
        <v>15</v>
      </c>
      <c r="P26" s="157" t="s">
        <v>81</v>
      </c>
      <c r="Q26" s="157" t="s">
        <v>76</v>
      </c>
      <c r="R26" s="157"/>
      <c r="S26" s="157" t="str">
        <f t="shared" si="0"/>
        <v>043-903-000070453</v>
      </c>
      <c r="T26" s="161">
        <v>10248888</v>
      </c>
      <c r="U26" s="190" t="s">
        <v>404</v>
      </c>
    </row>
    <row r="27" spans="1:21">
      <c r="A27">
        <v>23</v>
      </c>
      <c r="B27" s="157">
        <v>45789</v>
      </c>
      <c r="C27" s="157">
        <v>45780</v>
      </c>
      <c r="D27" s="157" t="s">
        <v>94</v>
      </c>
      <c r="E27" s="157" t="s">
        <v>408</v>
      </c>
      <c r="F27" s="158" t="s">
        <v>409</v>
      </c>
      <c r="G27" s="157" t="s">
        <v>410</v>
      </c>
      <c r="H27" s="157" t="s">
        <v>411</v>
      </c>
      <c r="I27" s="158" t="s">
        <v>42</v>
      </c>
      <c r="J27" s="157" t="s">
        <v>76</v>
      </c>
      <c r="K27" s="157" t="s">
        <v>77</v>
      </c>
      <c r="L27" s="157" t="s">
        <v>412</v>
      </c>
      <c r="M27" s="157" t="s">
        <v>413</v>
      </c>
      <c r="N27" s="159">
        <v>987948334</v>
      </c>
      <c r="O27" s="160">
        <v>36</v>
      </c>
      <c r="P27" s="157" t="s">
        <v>81</v>
      </c>
      <c r="Q27" s="157" t="s">
        <v>76</v>
      </c>
      <c r="R27" s="157"/>
      <c r="S27" s="157" t="str">
        <f t="shared" si="0"/>
        <v>043-902-000048777</v>
      </c>
      <c r="T27" s="161">
        <v>602764581</v>
      </c>
      <c r="U27" s="190" t="s">
        <v>414</v>
      </c>
    </row>
    <row r="28" spans="1:21">
      <c r="A28">
        <v>24</v>
      </c>
      <c r="B28" s="157">
        <v>45790</v>
      </c>
      <c r="C28" s="157">
        <v>45684</v>
      </c>
      <c r="D28" s="157" t="s">
        <v>415</v>
      </c>
      <c r="E28" s="157" t="s">
        <v>416</v>
      </c>
      <c r="F28" s="158" t="s">
        <v>417</v>
      </c>
      <c r="G28" s="157" t="s">
        <v>151</v>
      </c>
      <c r="H28" s="157" t="s">
        <v>418</v>
      </c>
      <c r="I28" s="158" t="s">
        <v>42</v>
      </c>
      <c r="J28" s="157" t="s">
        <v>76</v>
      </c>
      <c r="K28" s="157" t="s">
        <v>77</v>
      </c>
      <c r="L28" s="157" t="s">
        <v>419</v>
      </c>
      <c r="M28" s="157" t="s">
        <v>420</v>
      </c>
      <c r="N28" s="159">
        <v>995803623</v>
      </c>
      <c r="O28" s="160">
        <v>29</v>
      </c>
      <c r="P28" s="157" t="s">
        <v>81</v>
      </c>
      <c r="Q28" s="157" t="s">
        <v>76</v>
      </c>
      <c r="R28" s="157"/>
      <c r="S28" s="157" t="str">
        <f t="shared" si="0"/>
        <v>002-201-00004480</v>
      </c>
      <c r="T28" s="161">
        <v>104152160</v>
      </c>
      <c r="U28" s="190" t="s">
        <v>421</v>
      </c>
    </row>
    <row r="29" spans="1:21">
      <c r="A29">
        <v>25</v>
      </c>
      <c r="B29" s="157">
        <v>45790</v>
      </c>
      <c r="C29" s="157">
        <v>45785</v>
      </c>
      <c r="D29" s="157" t="s">
        <v>149</v>
      </c>
      <c r="E29" s="157" t="s">
        <v>422</v>
      </c>
      <c r="F29" s="158" t="s">
        <v>109</v>
      </c>
      <c r="G29" s="157" t="s">
        <v>423</v>
      </c>
      <c r="H29" s="157" t="s">
        <v>424</v>
      </c>
      <c r="I29" s="158" t="s">
        <v>42</v>
      </c>
      <c r="J29" s="157" t="s">
        <v>76</v>
      </c>
      <c r="K29" s="157" t="s">
        <v>77</v>
      </c>
      <c r="L29" s="157" t="s">
        <v>425</v>
      </c>
      <c r="M29" s="157" t="s">
        <v>426</v>
      </c>
      <c r="N29" s="159">
        <v>996981509</v>
      </c>
      <c r="O29" s="160">
        <v>15</v>
      </c>
      <c r="P29" s="157" t="s">
        <v>81</v>
      </c>
      <c r="Q29" s="157" t="s">
        <v>76</v>
      </c>
      <c r="R29" s="157"/>
      <c r="S29" s="157" t="str">
        <f t="shared" si="0"/>
        <v>001-500-000078171</v>
      </c>
      <c r="T29" s="161">
        <v>104064837</v>
      </c>
      <c r="U29" s="190" t="s">
        <v>427</v>
      </c>
    </row>
    <row r="30" spans="1:21">
      <c r="A30">
        <v>26</v>
      </c>
      <c r="B30" s="157">
        <v>45790</v>
      </c>
      <c r="C30" s="157">
        <v>45506</v>
      </c>
      <c r="D30" s="157" t="s">
        <v>149</v>
      </c>
      <c r="E30" s="157" t="s">
        <v>428</v>
      </c>
      <c r="F30" s="158" t="s">
        <v>429</v>
      </c>
      <c r="G30" s="157" t="s">
        <v>430</v>
      </c>
      <c r="H30" s="157" t="s">
        <v>431</v>
      </c>
      <c r="I30" s="158" t="s">
        <v>42</v>
      </c>
      <c r="J30" s="157" t="s">
        <v>76</v>
      </c>
      <c r="K30" s="157" t="s">
        <v>77</v>
      </c>
      <c r="L30" s="157" t="s">
        <v>432</v>
      </c>
      <c r="M30" s="157" t="s">
        <v>433</v>
      </c>
      <c r="N30" s="159">
        <v>995290004</v>
      </c>
      <c r="O30" s="160">
        <v>36</v>
      </c>
      <c r="P30" s="157" t="s">
        <v>81</v>
      </c>
      <c r="Q30" s="157" t="s">
        <v>76</v>
      </c>
      <c r="R30" s="157"/>
      <c r="S30" s="157" t="str">
        <f t="shared" si="0"/>
        <v>001-500-000065232</v>
      </c>
      <c r="T30" s="161">
        <v>112950019</v>
      </c>
      <c r="U30" s="190" t="s">
        <v>434</v>
      </c>
    </row>
    <row r="31" spans="1:21">
      <c r="A31">
        <v>27</v>
      </c>
      <c r="B31" s="157">
        <v>45791</v>
      </c>
      <c r="C31" s="157">
        <v>46284</v>
      </c>
      <c r="D31" s="157" t="s">
        <v>94</v>
      </c>
      <c r="E31" s="157" t="s">
        <v>441</v>
      </c>
      <c r="F31" s="158" t="s">
        <v>417</v>
      </c>
      <c r="G31" s="157" t="s">
        <v>151</v>
      </c>
      <c r="H31" s="157" t="s">
        <v>442</v>
      </c>
      <c r="I31" s="158" t="s">
        <v>42</v>
      </c>
      <c r="J31" s="157" t="s">
        <v>76</v>
      </c>
      <c r="K31" s="157" t="s">
        <v>77</v>
      </c>
      <c r="L31" s="157" t="s">
        <v>443</v>
      </c>
      <c r="M31" s="157" t="s">
        <v>444</v>
      </c>
      <c r="N31" s="159">
        <v>967514331</v>
      </c>
      <c r="O31" s="160">
        <v>29</v>
      </c>
      <c r="P31" s="157" t="s">
        <v>81</v>
      </c>
      <c r="Q31" s="157" t="s">
        <v>76</v>
      </c>
      <c r="R31" s="157"/>
      <c r="S31" s="157" t="str">
        <f t="shared" si="0"/>
        <v>016-901-000220257</v>
      </c>
      <c r="T31" s="161">
        <v>112570126</v>
      </c>
      <c r="U31" s="190" t="s">
        <v>445</v>
      </c>
    </row>
    <row r="32" spans="1:21">
      <c r="A32">
        <v>29</v>
      </c>
      <c r="B32" s="157">
        <v>45792</v>
      </c>
      <c r="C32" s="157">
        <v>45787</v>
      </c>
      <c r="D32" s="157" t="s">
        <v>94</v>
      </c>
      <c r="E32" s="157" t="s">
        <v>450</v>
      </c>
      <c r="F32" s="158" t="s">
        <v>451</v>
      </c>
      <c r="G32" s="157" t="s">
        <v>452</v>
      </c>
      <c r="H32" s="157" t="s">
        <v>453</v>
      </c>
      <c r="I32" s="158" t="s">
        <v>42</v>
      </c>
      <c r="J32" s="157" t="s">
        <v>76</v>
      </c>
      <c r="K32" s="157" t="s">
        <v>77</v>
      </c>
      <c r="L32" s="157" t="s">
        <v>454</v>
      </c>
      <c r="M32" s="157" t="s">
        <v>455</v>
      </c>
      <c r="N32" s="159">
        <v>999000600</v>
      </c>
      <c r="O32" s="160">
        <v>36</v>
      </c>
      <c r="P32" s="157" t="s">
        <v>81</v>
      </c>
      <c r="Q32" s="157" t="s">
        <v>76</v>
      </c>
      <c r="R32" s="157"/>
      <c r="S32" s="157" t="str">
        <f t="shared" si="0"/>
        <v>016-902-000508580</v>
      </c>
      <c r="T32" s="161">
        <v>1104818933</v>
      </c>
      <c r="U32" s="190" t="s">
        <v>456</v>
      </c>
    </row>
    <row r="33" spans="15:15">
      <c r="O33" s="130">
        <f>SUM(O5:O32)</f>
        <v>620</v>
      </c>
    </row>
  </sheetData>
  <hyperlinks>
    <hyperlink ref="U5" r:id="rId1" xr:uid="{F367B268-0CF9-E741-8F4A-B0ED3279DB82}"/>
    <hyperlink ref="U6" r:id="rId2" xr:uid="{EF5DA2ED-BC47-6A48-965B-050E00962C9C}"/>
    <hyperlink ref="U7" r:id="rId3" xr:uid="{797C9170-DB49-B745-A6C4-107CDDD7AC71}"/>
    <hyperlink ref="U8" r:id="rId4" xr:uid="{C6221346-5018-4348-B02B-ABBD10B5F678}"/>
    <hyperlink ref="U9" r:id="rId5" xr:uid="{99E536BA-E470-4449-8063-5532618402BF}"/>
    <hyperlink ref="U10" r:id="rId6" xr:uid="{8AD1E406-28E6-0345-9942-468B5F315DCB}"/>
    <hyperlink ref="U11" r:id="rId7" xr:uid="{6EAE73E2-5DA1-8C47-84BF-EA3A509385F1}"/>
    <hyperlink ref="U12" r:id="rId8" xr:uid="{E014B182-F206-6740-8756-2AE15E79DE19}"/>
    <hyperlink ref="U13" r:id="rId9" xr:uid="{087D63C7-3B08-884F-8259-BAE07C699B9B}"/>
    <hyperlink ref="U14" r:id="rId10" xr:uid="{2901B1E2-12C8-C644-9E67-43DA89DA4991}"/>
    <hyperlink ref="U15" r:id="rId11" xr:uid="{B7D37F99-927F-BF4F-BD9F-89200A367B1D}"/>
    <hyperlink ref="U16" r:id="rId12" xr:uid="{95A3F486-D782-1A45-A410-9554F71BABBF}"/>
    <hyperlink ref="U17" r:id="rId13" xr:uid="{DA0EFA5B-B42A-6C47-874B-97D2AEE3F787}"/>
    <hyperlink ref="U18" r:id="rId14" xr:uid="{8F8045B1-E5D6-DA4D-ABBB-C4CA257DBF4D}"/>
    <hyperlink ref="U19" r:id="rId15" xr:uid="{1C82DA10-DC5A-C644-A085-D6BB757579B7}"/>
    <hyperlink ref="U20" r:id="rId16" xr:uid="{2AE7663B-7B99-E844-AB63-7AECBEBB478C}"/>
    <hyperlink ref="U21" r:id="rId17" xr:uid="{17D3357E-3B3A-5942-96BC-8569BB817F58}"/>
    <hyperlink ref="U22" r:id="rId18" xr:uid="{AB43FB14-7DEE-6B4B-A928-DCCDC548FD06}"/>
    <hyperlink ref="U24" r:id="rId19" xr:uid="{BE7C77CF-11D0-8746-8ADD-08822CC4F4FE}"/>
    <hyperlink ref="U25" r:id="rId20" xr:uid="{2EDF7D63-1CAA-864F-B528-F665124D1CD1}"/>
    <hyperlink ref="U26" r:id="rId21" xr:uid="{01D26DDA-6118-994D-9A47-6E7E5DBB23F1}"/>
    <hyperlink ref="U27" r:id="rId22" xr:uid="{31E973EB-F9BD-6641-8A6A-FFF4736000F5}"/>
    <hyperlink ref="U28" r:id="rId23" xr:uid="{31225FEF-C850-E24C-A57F-3A00219CBD05}"/>
    <hyperlink ref="U29" r:id="rId24" xr:uid="{9CBD3FCB-228C-EA4A-A9DB-E898018AC483}"/>
    <hyperlink ref="U30" r:id="rId25" xr:uid="{63C684C6-9D6A-6B45-88E2-992DE420BF33}"/>
    <hyperlink ref="U31" r:id="rId26" xr:uid="{77C6BDCD-4A48-D040-8B42-1C7F9A1F1122}"/>
    <hyperlink ref="U32" r:id="rId27" xr:uid="{CFA1912C-329F-924E-BC47-6F00237792BA}"/>
  </hyperlinks>
  <pageMargins left="0.7" right="0.7" top="0.75" bottom="0.75" header="0.3" footer="0.3"/>
  <pageSetup paperSize="9" orientation="portrait" horizontalDpi="0" verticalDpi="0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PROMOCION</vt:lpstr>
      <vt:lpstr>GARANTIA</vt:lpstr>
      <vt:lpstr>BBQ</vt:lpstr>
      <vt:lpstr>ALMACENES </vt:lpstr>
      <vt:lpstr>PROYECTO </vt:lpstr>
      <vt:lpstr>1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Juani Pao Cardenas Quinde</cp:lastModifiedBy>
  <dcterms:created xsi:type="dcterms:W3CDTF">2024-01-22T20:29:31Z</dcterms:created>
  <dcterms:modified xsi:type="dcterms:W3CDTF">2025-06-02T20:29:21Z</dcterms:modified>
</cp:coreProperties>
</file>