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4 CONSOLIDADO/"/>
    </mc:Choice>
  </mc:AlternateContent>
  <xr:revisionPtr revIDLastSave="0" documentId="8_{2DB90789-208A-6249-B844-2B2013F9482A}" xr6:coauthVersionLast="47" xr6:coauthVersionMax="47" xr10:uidLastSave="{00000000-0000-0000-0000-000000000000}"/>
  <bookViews>
    <workbookView xWindow="0" yWindow="500" windowWidth="20740" windowHeight="11760" activeTab="5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3" l="1"/>
  <c r="N19" i="2" l="1"/>
  <c r="M19" i="2" l="1"/>
  <c r="M25" i="2" s="1"/>
  <c r="M84" i="1"/>
  <c r="M83" i="1"/>
  <c r="M85" i="1" s="1"/>
  <c r="O81" i="1"/>
  <c r="O37" i="6" l="1"/>
  <c r="N9" i="4" l="1"/>
</calcChain>
</file>

<file path=xl/sharedStrings.xml><?xml version="1.0" encoding="utf-8"?>
<sst xmlns="http://schemas.openxmlformats.org/spreadsheetml/2006/main" count="1620" uniqueCount="601">
  <si>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</si>
  <si>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</si>
  <si>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</si>
  <si>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</si>
  <si>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</si>
  <si>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</si>
  <si>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</si>
  <si>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</si>
  <si>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</si>
  <si>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</si>
  <si>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</si>
  <si>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</si>
  <si>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</si>
  <si>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</si>
  <si>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</si>
  <si>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</si>
  <si>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</si>
  <si>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</si>
  <si>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</si>
  <si>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</si>
  <si>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</si>
  <si>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</si>
  <si>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</si>
  <si>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</si>
  <si>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</si>
  <si>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</si>
  <si>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</si>
  <si>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</si>
  <si>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</si>
  <si>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</si>
  <si>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</si>
  <si>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</si>
  <si>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</si>
  <si>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</si>
  <si>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</si>
  <si>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</si>
  <si>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</si>
  <si>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</si>
  <si>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</si>
  <si>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</si>
  <si>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</si>
  <si>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</si>
  <si>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</si>
  <si>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</si>
  <si>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</si>
  <si>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</si>
  <si>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</si>
  <si>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</si>
  <si>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</si>
  <si>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</si>
  <si>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</si>
  <si>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Kywi s.a.</t>
  </si>
  <si>
    <t>Cliente Final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</si>
  <si>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</si>
  <si>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</si>
  <si>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</si>
  <si>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</si>
  <si>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</si>
  <si>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</si>
  <si>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</si>
  <si>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</si>
  <si>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</si>
  <si>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</si>
  <si>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</si>
  <si>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>STOCK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</si>
  <si>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</si>
  <si>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</si>
  <si>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</si>
  <si>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</si>
  <si>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</si>
  <si>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</si>
  <si>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</si>
  <si>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</si>
  <si>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</si>
  <si>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</si>
  <si>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</si>
  <si>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</si>
  <si>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</si>
  <si>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</si>
  <si>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Comercial Solis</t>
  </si>
  <si>
    <t>Cocina JZC 96324 ABB</t>
  </si>
  <si>
    <t>CAPELO</t>
  </si>
  <si>
    <t>CUENCA</t>
  </si>
  <si>
    <t>Av. Mariscal Lamar</t>
  </si>
  <si>
    <t>Barbacoa a Gas T-BBQ 4100 SS</t>
  </si>
  <si>
    <t>De Cristian Capelo</t>
  </si>
  <si>
    <t>UN SOLO PRODUCTO</t>
  </si>
  <si>
    <t>CLIENTE FINAL</t>
  </si>
  <si>
    <t>Cocina GBC 75030 KBB</t>
  </si>
  <si>
    <t>ABRIL 2024</t>
  </si>
  <si>
    <t>Cristian Capelo</t>
  </si>
  <si>
    <t>Llamada Cliente</t>
  </si>
  <si>
    <t>Cocina IZC 64010 MSS BK</t>
  </si>
  <si>
    <t>Campana DVN 94030 TCL BK</t>
  </si>
  <si>
    <t>Mercard</t>
  </si>
  <si>
    <t>Home Vega</t>
  </si>
  <si>
    <t>Almacenes España</t>
  </si>
  <si>
    <t>ventas@comercialsolis.com.ec</t>
  </si>
  <si>
    <t>kywi</t>
  </si>
  <si>
    <t>CAPELO JUNIO 2024</t>
  </si>
  <si>
    <t>JUNIO 2024</t>
  </si>
  <si>
    <t>Al 20 de JUNIO del 2024</t>
  </si>
  <si>
    <t>Capelo Junio 2024</t>
  </si>
  <si>
    <t xml:space="preserve">CAPELO JUNIO 2024 </t>
  </si>
  <si>
    <t>CAPELO - JUNIO 2024</t>
  </si>
  <si>
    <t>001-500-000052818</t>
  </si>
  <si>
    <t>Horno HSB750 G</t>
  </si>
  <si>
    <t>TZ229D13384</t>
  </si>
  <si>
    <t>Edgar Fernandez</t>
  </si>
  <si>
    <t>9 de Octubre 9-60</t>
  </si>
  <si>
    <t>edgars115@gmail.com</t>
  </si>
  <si>
    <t>Campana C7310 INOX</t>
  </si>
  <si>
    <t xml:space="preserve">Refrigeradora RFL 74920 </t>
  </si>
  <si>
    <t>ZP231P00594</t>
  </si>
  <si>
    <t>TP231508906</t>
  </si>
  <si>
    <t>MC232500026</t>
  </si>
  <si>
    <t>001-500-000054828</t>
  </si>
  <si>
    <t>Cocina JZC 95314 ABB</t>
  </si>
  <si>
    <t>ZP234J00226</t>
  </si>
  <si>
    <t>Vinicio Medez</t>
  </si>
  <si>
    <t>Pencas Y Berbena</t>
  </si>
  <si>
    <t>vviniciomendez@gmail.com</t>
  </si>
  <si>
    <t>043-906-000005540</t>
  </si>
  <si>
    <t>Horno HLB 760 G</t>
  </si>
  <si>
    <t>TZ238R08560</t>
  </si>
  <si>
    <t>001-500-000051455</t>
  </si>
  <si>
    <t>40197253</t>
  </si>
  <si>
    <t>Triturado TR 710.1</t>
  </si>
  <si>
    <t>221225AF0348</t>
  </si>
  <si>
    <t>0393378</t>
  </si>
  <si>
    <t>Vinicio Mendez</t>
  </si>
  <si>
    <t>Las Pencas y Bebena</t>
  </si>
  <si>
    <t>006-002-000155318</t>
  </si>
  <si>
    <t xml:space="preserve">Horno HLB 8416 </t>
  </si>
  <si>
    <t>TZ23BT25113</t>
  </si>
  <si>
    <t>Microondas ML 822 BIS L</t>
  </si>
  <si>
    <t>TP22C205634</t>
  </si>
  <si>
    <t>Ruth Abad</t>
  </si>
  <si>
    <t>Cornelio Merchan 4-39</t>
  </si>
  <si>
    <t>priscivazquez@hotmail.com</t>
  </si>
  <si>
    <t>001-500-000060813</t>
  </si>
  <si>
    <t>Cocina GBC 7561 GBA</t>
  </si>
  <si>
    <t>ZP228V00050</t>
  </si>
  <si>
    <t>Almacenes Chordeleg</t>
  </si>
  <si>
    <t>001-001-000019968</t>
  </si>
  <si>
    <t>Cocina GZC 95320 XBB</t>
  </si>
  <si>
    <t>Refrigeradora RFD 77820 GBK</t>
  </si>
  <si>
    <t>ZP239B00310</t>
  </si>
  <si>
    <t>MC22CF00168</t>
  </si>
  <si>
    <t>Santiago Lopez</t>
  </si>
  <si>
    <t xml:space="preserve">Pachacmac 5-14 </t>
  </si>
  <si>
    <t>slopezguillen@hotmail.com</t>
  </si>
  <si>
    <t>001-001-000019901</t>
  </si>
  <si>
    <t>Campana DVN 94030</t>
  </si>
  <si>
    <t>TZ234521196</t>
  </si>
  <si>
    <t>EK239J00018</t>
  </si>
  <si>
    <t>001-500-000060717</t>
  </si>
  <si>
    <t>Cocina JZC 96325 ABB</t>
  </si>
  <si>
    <t>ZP23C700661</t>
  </si>
  <si>
    <t>001-500-000061351</t>
  </si>
  <si>
    <t>Horno HLB 8510</t>
  </si>
  <si>
    <t>Campana DVF 97670 TBLBK</t>
  </si>
  <si>
    <t xml:space="preserve">Microondas ML 820 BIS </t>
  </si>
  <si>
    <t>TZ227V24051</t>
  </si>
  <si>
    <t>TP232A10296</t>
  </si>
  <si>
    <t>FB213500101</t>
  </si>
  <si>
    <t>Fernando Vasquez</t>
  </si>
  <si>
    <t>Misicata</t>
  </si>
  <si>
    <t>fervazcal@hotmail.com</t>
  </si>
  <si>
    <t>Cocina GBC 75030 GBK</t>
  </si>
  <si>
    <t>TZ234K16093</t>
  </si>
  <si>
    <t>ZP235B00112</t>
  </si>
  <si>
    <t>Norma Lojano</t>
  </si>
  <si>
    <t>12 de Octubre y Don Bosco</t>
  </si>
  <si>
    <t>carmitape1@hotmail.com</t>
  </si>
  <si>
    <t>001-501-000000414</t>
  </si>
  <si>
    <t>001-501-000000415</t>
  </si>
  <si>
    <t>MC234E00102</t>
  </si>
  <si>
    <t>001-501-000000416</t>
  </si>
  <si>
    <t>TP232N02349</t>
  </si>
  <si>
    <t>006-002-000154805</t>
  </si>
  <si>
    <t>Cocina JZC 96342 BBB</t>
  </si>
  <si>
    <t>ZP231H00064</t>
  </si>
  <si>
    <t>Ana Santos</t>
  </si>
  <si>
    <t>Chaullabamaba</t>
  </si>
  <si>
    <t>veronica.santos10@hotmail.com</t>
  </si>
  <si>
    <t>TP232A10302</t>
  </si>
  <si>
    <t>Horno HLB 840 SS</t>
  </si>
  <si>
    <t>TZ235K18552</t>
  </si>
  <si>
    <t>006-002-000155376</t>
  </si>
  <si>
    <t>Cocina GZC 75330 XBB</t>
  </si>
  <si>
    <t>ZP241J00281</t>
  </si>
  <si>
    <t>Lautaro Vanegas</t>
  </si>
  <si>
    <t>Calle de los Ladrilleros y los Adobes</t>
  </si>
  <si>
    <t>lautarovt46@hotmail.com</t>
  </si>
  <si>
    <t>Horno HLB 8416 BK</t>
  </si>
  <si>
    <t>TZ241K18349</t>
  </si>
  <si>
    <t>Refrigeradora RLF 74920 SS</t>
  </si>
  <si>
    <t>CM234K00039</t>
  </si>
  <si>
    <t>001-500-000060805</t>
  </si>
  <si>
    <t>Cocina GBC 75030 XBB</t>
  </si>
  <si>
    <t>ZP241R0027</t>
  </si>
  <si>
    <t>Fabian Abad</t>
  </si>
  <si>
    <t>Gonzalo Cordero 3-89</t>
  </si>
  <si>
    <t>abadfabian@hotmail.com</t>
  </si>
  <si>
    <t>Horno HSB 610 BK</t>
  </si>
  <si>
    <t>TZ23AW21295</t>
  </si>
  <si>
    <t>001-500-000059859</t>
  </si>
  <si>
    <t>TZ23BF14599</t>
  </si>
  <si>
    <t>Marcela Abad</t>
  </si>
  <si>
    <t>Londres y Amsterdam</t>
  </si>
  <si>
    <t>marceabad@hotmail.com</t>
  </si>
  <si>
    <t>Cocina GBC 95030 KBB</t>
  </si>
  <si>
    <t>ZP238V00689</t>
  </si>
  <si>
    <t>TP233M03034</t>
  </si>
  <si>
    <t>Domenica Alvarado</t>
  </si>
  <si>
    <t>Telemaco y Ramayana</t>
  </si>
  <si>
    <t>001-101-000002813</t>
  </si>
  <si>
    <t>ZP236700442</t>
  </si>
  <si>
    <t>dome_2407@hotmail.com</t>
  </si>
  <si>
    <t>008-501-000007492</t>
  </si>
  <si>
    <t>TZ234521206</t>
  </si>
  <si>
    <t xml:space="preserve">Campana CC 480 ISLA </t>
  </si>
  <si>
    <t>PX22BH00643</t>
  </si>
  <si>
    <t>043-903-000010801</t>
  </si>
  <si>
    <t>ZP239B00308</t>
  </si>
  <si>
    <t>Fabian Carpio</t>
  </si>
  <si>
    <t>San Juan Pamba</t>
  </si>
  <si>
    <t>juanpedrocg@gmail.com</t>
  </si>
  <si>
    <t>TP232N02000</t>
  </si>
  <si>
    <t>EK2300066</t>
  </si>
  <si>
    <t>TZ23BT25157</t>
  </si>
  <si>
    <t>Lavavajillas DFI 46950</t>
  </si>
  <si>
    <t>AW232800329</t>
  </si>
  <si>
    <t>001-500-000063236</t>
  </si>
  <si>
    <t>ZP23C101494</t>
  </si>
  <si>
    <t>Ruben Paucar</t>
  </si>
  <si>
    <t>Rayoloma</t>
  </si>
  <si>
    <t>rubenpaucarm@gmail.com</t>
  </si>
  <si>
    <t>Campana C 9310</t>
  </si>
  <si>
    <t>TP241H05552</t>
  </si>
  <si>
    <t>016-907-000200922</t>
  </si>
  <si>
    <t>TZ242505231</t>
  </si>
  <si>
    <t>Fernando Galvez</t>
  </si>
  <si>
    <t>Edf. Portico del Rio</t>
  </si>
  <si>
    <t>egalvez@etapanet.net</t>
  </si>
  <si>
    <t>016-904-000213114</t>
  </si>
  <si>
    <t>043-906-000012143</t>
  </si>
  <si>
    <t>ZP241A00059</t>
  </si>
  <si>
    <t>TP237R02120</t>
  </si>
  <si>
    <t>Campana C910</t>
  </si>
  <si>
    <t>043-902-000017381</t>
  </si>
  <si>
    <t>ZP23BQ00009</t>
  </si>
  <si>
    <t>Silvia Sempertegui</t>
  </si>
  <si>
    <t>Rio Palora 2-58</t>
  </si>
  <si>
    <t>540H9046305</t>
  </si>
  <si>
    <t>016-907-000206162</t>
  </si>
  <si>
    <t>TP241C06942</t>
  </si>
  <si>
    <t>Dimitri Shabiashvili</t>
  </si>
  <si>
    <t>Cocina HLB 64010 MSS BK</t>
  </si>
  <si>
    <t>ZP23C101420</t>
  </si>
  <si>
    <t xml:space="preserve">Horno HLB 830 </t>
  </si>
  <si>
    <t>TZ222M28455</t>
  </si>
  <si>
    <t>008-501-000007452</t>
  </si>
  <si>
    <t>001-500-000063313</t>
  </si>
  <si>
    <t>TP241Q04833</t>
  </si>
  <si>
    <t>Jessica Alvarado</t>
  </si>
  <si>
    <t>Puertas del Sol</t>
  </si>
  <si>
    <t>jessk_12alvarado@yahoo.es</t>
  </si>
  <si>
    <t>Horno HBB 535 SS</t>
  </si>
  <si>
    <t>TZ241N21023</t>
  </si>
  <si>
    <t>ZP241W00200</t>
  </si>
  <si>
    <t>006-000154857</t>
  </si>
  <si>
    <t>Campana DVT PRO 88660 TRL BK</t>
  </si>
  <si>
    <t>PX238M00009</t>
  </si>
  <si>
    <t>Felipe Bermeo</t>
  </si>
  <si>
    <t>Rafael Maria Arizaga y Miguel Heredia</t>
  </si>
  <si>
    <t>Horno HLB 7606 LPG</t>
  </si>
  <si>
    <t>ZP238V00499</t>
  </si>
  <si>
    <t>TZ238R08531</t>
  </si>
  <si>
    <t>TP232A10352</t>
  </si>
  <si>
    <t>006-002-000155467</t>
  </si>
  <si>
    <t xml:space="preserve">Cocina GSC 75330 </t>
  </si>
  <si>
    <t>ZP241B00146</t>
  </si>
  <si>
    <t xml:space="preserve">Vanessa Orellana </t>
  </si>
  <si>
    <t>Av. 24 de Mayo</t>
  </si>
  <si>
    <t>vane.1707@hotmail.com</t>
  </si>
  <si>
    <t>TP234H02282</t>
  </si>
  <si>
    <t>TZ241N20985</t>
  </si>
  <si>
    <t>felipebermeoq@hotmail.com</t>
  </si>
  <si>
    <t>silvia.sempertegui@ucuenca.edu.ec</t>
  </si>
  <si>
    <t>Luna Pazmiño</t>
  </si>
  <si>
    <t>002-101-000105062</t>
  </si>
  <si>
    <t>TP242L05018</t>
  </si>
  <si>
    <t>Raul Barreto</t>
  </si>
  <si>
    <t>Panamericana Sur Km. 3</t>
  </si>
  <si>
    <t>ZP238W00271</t>
  </si>
  <si>
    <t>016-902-000465969</t>
  </si>
  <si>
    <t>Calle Roma URB. Praga</t>
  </si>
  <si>
    <t>Conjunto Modulo Induccion Teka i200 (i248)</t>
  </si>
  <si>
    <t>Cocina IZF 80700 MSTBK</t>
  </si>
  <si>
    <t>ZP241B00497</t>
  </si>
  <si>
    <t>fcal1961@hotmail.com</t>
  </si>
  <si>
    <t>043-906-000011488</t>
  </si>
  <si>
    <t>Cocina IZF 99700 MST BK</t>
  </si>
  <si>
    <t>ZP235400076</t>
  </si>
  <si>
    <t>Fernando Calderon</t>
  </si>
  <si>
    <t xml:space="preserve">SUKASA WAYRA </t>
  </si>
  <si>
    <t>Cocina se apaga se reeplaza repuesto</t>
  </si>
  <si>
    <t>wwayra@sukasa.com</t>
  </si>
  <si>
    <t>ALMACEN</t>
  </si>
  <si>
    <t>Lavavajillas DW 57  FIM -D</t>
  </si>
  <si>
    <t>MD232L00150</t>
  </si>
  <si>
    <t>Cocinas</t>
  </si>
  <si>
    <t>Lavavajillas</t>
  </si>
  <si>
    <t>Gabriel Ledesma</t>
  </si>
  <si>
    <t>Se cambia Manguera de llenado</t>
  </si>
  <si>
    <t>gabrielledesma@hotmail.com</t>
  </si>
  <si>
    <t>002-103-000007787</t>
  </si>
  <si>
    <t xml:space="preserve">Horno HLF 8246 LPG </t>
  </si>
  <si>
    <t>TZ23B304198</t>
  </si>
  <si>
    <t>Fernanda Toral</t>
  </si>
  <si>
    <t>Ajuste sensor Termopar y calibracion de aire</t>
  </si>
  <si>
    <t>petatr@hotmail.com</t>
  </si>
  <si>
    <t>040-103-000005491</t>
  </si>
  <si>
    <t>horno Gas</t>
  </si>
  <si>
    <t>Micro-Campana MLH 845 SS</t>
  </si>
  <si>
    <t>0991172261</t>
  </si>
  <si>
    <t>CORREO ELECTRONICO</t>
  </si>
  <si>
    <t>Micro-Campana</t>
  </si>
  <si>
    <t>Cocina EX 70.1 5G AI DR CI</t>
  </si>
  <si>
    <t>ZP217R00020</t>
  </si>
  <si>
    <t>TP242L05039</t>
  </si>
  <si>
    <t>Maria Teresa Rojas</t>
  </si>
  <si>
    <t>Princesa Toa 1-73</t>
  </si>
  <si>
    <t>mariferojas-53@hotmail.com</t>
  </si>
  <si>
    <t>001-501-000049835</t>
  </si>
  <si>
    <t>Microondas MLC844</t>
  </si>
  <si>
    <t>TP22C908902</t>
  </si>
  <si>
    <t>Jorge Bustamante</t>
  </si>
  <si>
    <t>Los Capulies Edf. Alquamari</t>
  </si>
  <si>
    <t>jrbust@hotmail.com</t>
  </si>
  <si>
    <t>Cocina GBC 7561 GBA BM</t>
  </si>
  <si>
    <t>Horno HLB 866 IP BM</t>
  </si>
  <si>
    <t>TZ235F13859</t>
  </si>
  <si>
    <t>ZP23AH00378</t>
  </si>
  <si>
    <t>Placa Potencia i100 IZDA 2 BM 7 LAYOUT (IFX)</t>
  </si>
  <si>
    <t>Cocina IZC 86630</t>
  </si>
  <si>
    <t>ZP22BG00060</t>
  </si>
  <si>
    <t>Guillermo Chiriboga</t>
  </si>
  <si>
    <t>No enciende, se cambia tarjeta</t>
  </si>
  <si>
    <t>hiny2011@gmail.com</t>
  </si>
  <si>
    <t>001-101-000002699</t>
  </si>
  <si>
    <t>001-500-000039087</t>
  </si>
  <si>
    <t>001-500-000063768</t>
  </si>
  <si>
    <t>Piezas  Faltantes</t>
  </si>
  <si>
    <t>Fregadero TEKAWAY UNIVERSE 4 ST</t>
  </si>
  <si>
    <t>TK241N52416</t>
  </si>
  <si>
    <t>KYWI</t>
  </si>
  <si>
    <t>FALTA Griferia y Dispensador</t>
  </si>
  <si>
    <t>fregadero</t>
  </si>
  <si>
    <t>barreto.raul@hotmail.com</t>
  </si>
  <si>
    <t>dimitrishabiashvili@hotmail.com</t>
  </si>
  <si>
    <t>No enciende focos de induccion, se reemplaza repuesto</t>
  </si>
  <si>
    <t>CO225500831</t>
  </si>
  <si>
    <t>Kywi Miraflores</t>
  </si>
  <si>
    <t>Gil Ramirez Davalos</t>
  </si>
  <si>
    <t>ruizbrayan65@gmail.com</t>
  </si>
  <si>
    <t>001-500-000063450</t>
  </si>
  <si>
    <t xml:space="preserve">Campana DVN 74030 </t>
  </si>
  <si>
    <t>EK23B800012</t>
  </si>
  <si>
    <t>Andres Chillogalli</t>
  </si>
  <si>
    <t>willamandreschillogalli@gmail.com</t>
  </si>
  <si>
    <t>ZP241R00367</t>
  </si>
  <si>
    <t>001-500-000063531</t>
  </si>
  <si>
    <t>Cocina GBC 75030</t>
  </si>
  <si>
    <t>ZP242N00454</t>
  </si>
  <si>
    <t>Sara Jara</t>
  </si>
  <si>
    <t>gonzast.91@gmail.com</t>
  </si>
  <si>
    <t>043-904-000018932</t>
  </si>
  <si>
    <t>Horno HLB 8416</t>
  </si>
  <si>
    <t>Cocina GZC 96310</t>
  </si>
  <si>
    <t>TZ233A10153</t>
  </si>
  <si>
    <t>ZP242700288</t>
  </si>
  <si>
    <t>Pablo Quezada</t>
  </si>
  <si>
    <t>Urb. Las Colinas</t>
  </si>
  <si>
    <t>drpabloquezada@yahoo.es</t>
  </si>
  <si>
    <t>No enciende Luz</t>
  </si>
  <si>
    <t>Campana C 710</t>
  </si>
  <si>
    <t>TP236F06686</t>
  </si>
  <si>
    <t>TP232N04083</t>
  </si>
  <si>
    <t>Frank Ferreteria</t>
  </si>
  <si>
    <t>Terminal de la Boquilla desconectado</t>
  </si>
  <si>
    <t>Foco Quemado, se cambia foco</t>
  </si>
  <si>
    <t>jhaden0324@gmail.com</t>
  </si>
  <si>
    <t>Alm. Chordeleg</t>
  </si>
  <si>
    <t>001-001-000019930</t>
  </si>
  <si>
    <t>112570126</t>
  </si>
  <si>
    <t>Cocina JZC 96324</t>
  </si>
  <si>
    <t>ZP23C700666</t>
  </si>
  <si>
    <t>Esteban Cardoso</t>
  </si>
  <si>
    <t>Ricaurte</t>
  </si>
  <si>
    <t>001-001-0000199930</t>
  </si>
  <si>
    <t>mariapesantez19@yahoo.com</t>
  </si>
  <si>
    <t>016-907-000204117</t>
  </si>
  <si>
    <t>40466111</t>
  </si>
  <si>
    <t>TP241C06941</t>
  </si>
  <si>
    <t>0422408</t>
  </si>
  <si>
    <t>Carlos Morocho</t>
  </si>
  <si>
    <t>El Aguacate</t>
  </si>
  <si>
    <t>andrea123estef@gmail.com</t>
  </si>
  <si>
    <t>043-904-000021540</t>
  </si>
  <si>
    <t>112610069</t>
  </si>
  <si>
    <t>Cocina GSC 75330 SBA</t>
  </si>
  <si>
    <t>ZP241X00195</t>
  </si>
  <si>
    <t>0420657</t>
  </si>
  <si>
    <t>Victor Poma</t>
  </si>
  <si>
    <t>Totoracocha</t>
  </si>
  <si>
    <t>victorpoma203@gmail.com</t>
  </si>
  <si>
    <t>001-500-000063587</t>
  </si>
  <si>
    <t>112580058</t>
  </si>
  <si>
    <t>Cocina GBC 95030</t>
  </si>
  <si>
    <t>ZP241R00358</t>
  </si>
  <si>
    <t>0419106</t>
  </si>
  <si>
    <t>German Cantos</t>
  </si>
  <si>
    <t>Humbolt y Copernico</t>
  </si>
  <si>
    <t>gcantos@outlook.com</t>
  </si>
  <si>
    <t>Como Hogar</t>
  </si>
  <si>
    <t>040-104-000004388</t>
  </si>
  <si>
    <t>112580027</t>
  </si>
  <si>
    <t>ZP241900064</t>
  </si>
  <si>
    <t>0705028264</t>
  </si>
  <si>
    <t>Cristina Bustamante</t>
  </si>
  <si>
    <t>cristy.25.bus@gmail.com</t>
  </si>
  <si>
    <t>001-20182</t>
  </si>
  <si>
    <t>0405894</t>
  </si>
  <si>
    <t xml:space="preserve">Javier Reinoso </t>
  </si>
  <si>
    <t>Vicente Mideros y 10 de Agosto</t>
  </si>
  <si>
    <t>renerxs_01@hotmail.com</t>
  </si>
  <si>
    <t>Sukasa</t>
  </si>
  <si>
    <t>41596006</t>
  </si>
  <si>
    <t>Horno HLF 824 G LP</t>
  </si>
  <si>
    <t>TP236E05125</t>
  </si>
  <si>
    <t>TZ23B3004198</t>
  </si>
  <si>
    <t>0413516</t>
  </si>
  <si>
    <t>Fernanada Toral</t>
  </si>
  <si>
    <t>De la Vainilla</t>
  </si>
  <si>
    <t>040-103-000005511</t>
  </si>
  <si>
    <t>40297051</t>
  </si>
  <si>
    <t>Cocina FZ3RS966 GGX</t>
  </si>
  <si>
    <t>0374775</t>
  </si>
  <si>
    <t>Lourdes Jimenez</t>
  </si>
  <si>
    <t>Benigno Malo</t>
  </si>
  <si>
    <t>emilimuñoz2502@gmail.com</t>
  </si>
  <si>
    <t>043-903-000019503</t>
  </si>
  <si>
    <t>40466241</t>
  </si>
  <si>
    <t>Campana C9310</t>
  </si>
  <si>
    <t>TP241H05577</t>
  </si>
  <si>
    <t>0420827</t>
  </si>
  <si>
    <t>Azucen Crespo</t>
  </si>
  <si>
    <t>azucenacrespopalacios@hotmail.com</t>
  </si>
  <si>
    <t>Boyaca</t>
  </si>
  <si>
    <t>007-007-000031110</t>
  </si>
  <si>
    <t>40197155</t>
  </si>
  <si>
    <t>Triturador TR.510.1</t>
  </si>
  <si>
    <t>251115AF0749</t>
  </si>
  <si>
    <t>Juliana Montesinos</t>
  </si>
  <si>
    <t>Isabela Catolica</t>
  </si>
  <si>
    <t>julimontesinos@hotmail.com</t>
  </si>
  <si>
    <t>016-902-0004648807</t>
  </si>
  <si>
    <t>40467305</t>
  </si>
  <si>
    <t>Campana C710</t>
  </si>
  <si>
    <t>TP242N07974</t>
  </si>
  <si>
    <t>0422276</t>
  </si>
  <si>
    <t>Jorge Patiño</t>
  </si>
  <si>
    <t>Calle Yaupy y Graham Bell</t>
  </si>
  <si>
    <t>patinoj58@gmail.com</t>
  </si>
  <si>
    <t>043-902-000015569</t>
  </si>
  <si>
    <t>ZP23BP00161</t>
  </si>
  <si>
    <t>0415898</t>
  </si>
  <si>
    <t>Vilma Villavicencio</t>
  </si>
  <si>
    <t>Lomas de Machangara Ricaurte</t>
  </si>
  <si>
    <t>vavj69@gmail.co</t>
  </si>
  <si>
    <t>001-101-00003305</t>
  </si>
  <si>
    <t>112580017</t>
  </si>
  <si>
    <t>Cocina GBC 64000 KBB</t>
  </si>
  <si>
    <t>ZP233N00544</t>
  </si>
  <si>
    <t>Camile COOK</t>
  </si>
  <si>
    <t>Los Capulies</t>
  </si>
  <si>
    <t>camillekc@yahoo.com</t>
  </si>
  <si>
    <t>043-904-000025478</t>
  </si>
  <si>
    <t>ZP23BF01033</t>
  </si>
  <si>
    <t>0420027</t>
  </si>
  <si>
    <t>Ximene Farez</t>
  </si>
  <si>
    <t>Edf. Arknova</t>
  </si>
  <si>
    <t>ximenita-fa@hotmail.com</t>
  </si>
  <si>
    <t>043-904-000024454</t>
  </si>
  <si>
    <t>230215AF053</t>
  </si>
  <si>
    <t>0404119</t>
  </si>
  <si>
    <t>Sonia Talbot</t>
  </si>
  <si>
    <t>Edf. Vista Linda</t>
  </si>
  <si>
    <t>tableiros@hotmail.com</t>
  </si>
  <si>
    <t>016-907-000207439</t>
  </si>
  <si>
    <t>40467320</t>
  </si>
  <si>
    <t>Campana C7310</t>
  </si>
  <si>
    <t>TP242F03755</t>
  </si>
  <si>
    <t>Miriam Idrovo</t>
  </si>
  <si>
    <t>Manuel Arturo y Canton Joya</t>
  </si>
  <si>
    <t>006-002-000155951</t>
  </si>
  <si>
    <t>112570123</t>
  </si>
  <si>
    <t>Cocina JZC 63312 ABB</t>
  </si>
  <si>
    <t>ZP212F00013</t>
  </si>
  <si>
    <t>0419397</t>
  </si>
  <si>
    <t>Christian Salvador</t>
  </si>
  <si>
    <t>Torre de Almeria</t>
  </si>
  <si>
    <t>christiansalvador309@gmail.com</t>
  </si>
  <si>
    <t>014-004-000059883</t>
  </si>
  <si>
    <t>112930049</t>
  </si>
  <si>
    <t>Campana DVT PRO 68660</t>
  </si>
  <si>
    <t>PX23CL00004</t>
  </si>
  <si>
    <t>Valeria Freire</t>
  </si>
  <si>
    <t>El Cebollar</t>
  </si>
  <si>
    <t>valtodo@hotmail.com</t>
  </si>
  <si>
    <t>016-907-000180137</t>
  </si>
  <si>
    <t>TP237R02153</t>
  </si>
  <si>
    <t>0405278</t>
  </si>
  <si>
    <t>Elsa Cabrera</t>
  </si>
  <si>
    <t>Edf. Pablos</t>
  </si>
  <si>
    <t>evemo33@gmail.com</t>
  </si>
  <si>
    <t>isitamaria78@yahoo.com</t>
  </si>
  <si>
    <t>001-500-000055124</t>
  </si>
  <si>
    <t>ZP22B600135</t>
  </si>
  <si>
    <t>0390896</t>
  </si>
  <si>
    <t>Maria Jose Ramirez</t>
  </si>
  <si>
    <t>mjramirez29@gmail.com</t>
  </si>
  <si>
    <t>017-901-000100266</t>
  </si>
  <si>
    <t>Campanas</t>
  </si>
  <si>
    <t>006-002-000155299</t>
  </si>
  <si>
    <t>111000051</t>
  </si>
  <si>
    <t>TZ23BT2518</t>
  </si>
  <si>
    <t>Manolo Cardenas</t>
  </si>
  <si>
    <t>Urb Porton de Sevilla</t>
  </si>
  <si>
    <t>mcardenas8a@gmail.com</t>
  </si>
  <si>
    <t>016-907-000206917</t>
  </si>
  <si>
    <t>4046640</t>
  </si>
  <si>
    <t>TP241800186</t>
  </si>
  <si>
    <t>0418885</t>
  </si>
  <si>
    <t>Luis Guzman</t>
  </si>
  <si>
    <t>Miguel Cordero</t>
  </si>
  <si>
    <t>luisitoguzman13@yahoo.com</t>
  </si>
  <si>
    <t>001-500-000063864</t>
  </si>
  <si>
    <t>TP243109913</t>
  </si>
  <si>
    <t>Juliana Gonzalez</t>
  </si>
  <si>
    <t>Bemani</t>
  </si>
  <si>
    <t>juli.09.ia@hotmail.com</t>
  </si>
  <si>
    <t>006-002-000155550</t>
  </si>
  <si>
    <t>112570073</t>
  </si>
  <si>
    <t>Cocina GZC 96310 XBB</t>
  </si>
  <si>
    <t>ZP241K00340</t>
  </si>
  <si>
    <t>0419380</t>
  </si>
  <si>
    <t>Xavier Valverde</t>
  </si>
  <si>
    <t>001-500-000061437</t>
  </si>
  <si>
    <t>Cocina EX 90.1 5G AIDRCIBUT</t>
  </si>
  <si>
    <t>ZP20BN00021</t>
  </si>
  <si>
    <t>TP23AG00185</t>
  </si>
  <si>
    <t>Nancy Paguay</t>
  </si>
  <si>
    <t>Aguilan</t>
  </si>
  <si>
    <t>nancymo91@hotmail.com</t>
  </si>
  <si>
    <t>043-901-000003248</t>
  </si>
  <si>
    <t>MC234E00072</t>
  </si>
  <si>
    <t>Santiago Amaña</t>
  </si>
  <si>
    <t>santiago2217@icloud.com</t>
  </si>
  <si>
    <t>Refrigeradora</t>
  </si>
  <si>
    <t xml:space="preserve">Fregadero </t>
  </si>
  <si>
    <t>Rayado</t>
  </si>
  <si>
    <t>043-901-000008321</t>
  </si>
  <si>
    <t>CO225R00640</t>
  </si>
  <si>
    <t>Martha Crespo</t>
  </si>
  <si>
    <t>Nulti</t>
  </si>
  <si>
    <t>marthabcrespo@yahoo.com</t>
  </si>
  <si>
    <t>Refrigerador no enfria</t>
  </si>
  <si>
    <t>Placa Electronica</t>
  </si>
  <si>
    <t>freddyn@kywi.com.ec</t>
  </si>
  <si>
    <t>043-903-000021336</t>
  </si>
  <si>
    <t>112580050</t>
  </si>
  <si>
    <t>ZP241R00335</t>
  </si>
  <si>
    <t>Carla Bravo</t>
  </si>
  <si>
    <t>Tungurahua 3-91</t>
  </si>
  <si>
    <t>cbravoor@gmail.com</t>
  </si>
  <si>
    <t>001-501-000001756</t>
  </si>
  <si>
    <t>TP243M06171</t>
  </si>
  <si>
    <t>Javier Valdiviezo</t>
  </si>
  <si>
    <t>Edf. Margaritas</t>
  </si>
  <si>
    <t>carmenugaldec@hotmail.com</t>
  </si>
  <si>
    <t>Alm. España</t>
  </si>
  <si>
    <t>008-501-000007594</t>
  </si>
  <si>
    <t>ZP23BP00100</t>
  </si>
  <si>
    <t>0417278</t>
  </si>
  <si>
    <t>Carla Sempertegui</t>
  </si>
  <si>
    <t>fcameney2@gmail.com</t>
  </si>
  <si>
    <t>xavi3131@hotmail.com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</si>
</sst>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</numFmts>
  <fonts count="6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u/>
      <sz val="13"/>
      <color theme="4"/>
      <name val="Aptos Narrow"/>
      <family val="2"/>
      <scheme val="minor"/>
    </font>
    <font>
      <u/>
      <sz val="13"/>
      <color theme="1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13"/>
      <name val="Arial"/>
      <family val="2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2">
    <xf numFmtId="0" fontId="0" fillId="0" borderId="0"/>
    <xf numFmtId="0" fontId="9" fillId="0" borderId="0"/>
    <xf numFmtId="0" fontId="9" fillId="2" borderId="0">
      <alignment horizontal="left"/>
    </xf>
    <xf numFmtId="0" fontId="1" fillId="0" borderId="0"/>
    <xf numFmtId="0" fontId="2" fillId="0" borderId="0" applyNumberFormat="0" applyFill="0" applyBorder="0" applyAlignment="0" applyProtection="0"/>
    <xf numFmtId="0" fontId="20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167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1" fillId="0" borderId="0"/>
    <xf numFmtId="43" fontId="24" fillId="0" borderId="0" applyFont="0" applyFill="0" applyBorder="0" applyAlignment="0" applyProtection="0"/>
    <xf numFmtId="0" fontId="47" fillId="0" borderId="0"/>
    <xf numFmtId="0" fontId="24" fillId="0" borderId="0"/>
    <xf numFmtId="0" fontId="1" fillId="0" borderId="0"/>
    <xf numFmtId="0" fontId="2" fillId="0" borderId="0" applyNumberFormat="0" applyFill="0" applyBorder="0" applyAlignment="0" applyProtection="0"/>
    <xf numFmtId="0" fontId="24" fillId="0" borderId="0"/>
    <xf numFmtId="0" fontId="9" fillId="0" borderId="0"/>
  </cellStyleXfs>
  <cellXfs count="212">
    <xf numFmtId="0" fontId="0" fillId="0" borderId="0" xfId="0"/>
    <xf numFmtId="0" fontId="3" fillId="0" borderId="0" xfId="0" applyFont="1" applyAlignment="1">
      <alignment horizontal="right"/>
    </xf>
    <xf numFmtId="4" fontId="4" fillId="0" borderId="0" xfId="0" applyNumberFormat="1" applyFont="1"/>
    <xf numFmtId="0" fontId="5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left"/>
    </xf>
    <xf numFmtId="1" fontId="0" fillId="0" borderId="0" xfId="0" applyNumberFormat="1"/>
    <xf numFmtId="2" fontId="7" fillId="0" borderId="0" xfId="0" applyNumberFormat="1" applyFont="1" applyAlignment="1">
      <alignment horizontal="right" indent="1"/>
    </xf>
    <xf numFmtId="4" fontId="8" fillId="0" borderId="0" xfId="0" applyNumberFormat="1" applyFont="1" applyAlignment="1">
      <alignment horizontal="left" vertical="center"/>
    </xf>
    <xf numFmtId="0" fontId="10" fillId="0" borderId="0" xfId="1" applyFont="1"/>
    <xf numFmtId="0" fontId="11" fillId="2" borderId="0" xfId="2" applyFont="1" applyAlignment="1">
      <alignment horizontal="center" vertical="center"/>
    </xf>
    <xf numFmtId="1" fontId="11" fillId="2" borderId="0" xfId="2" applyNumberFormat="1" applyFont="1" applyAlignment="1">
      <alignment horizontal="right" vertical="center"/>
    </xf>
    <xf numFmtId="1" fontId="11" fillId="2" borderId="0" xfId="2" applyNumberFormat="1" applyFont="1" applyAlignment="1">
      <alignment horizontal="center" vertical="center"/>
    </xf>
    <xf numFmtId="2" fontId="11" fillId="2" borderId="0" xfId="2" applyNumberFormat="1" applyFont="1" applyAlignment="1">
      <alignment vertical="center"/>
    </xf>
    <xf numFmtId="49" fontId="0" fillId="0" borderId="0" xfId="0" quotePrefix="1" applyNumberFormat="1"/>
    <xf numFmtId="17" fontId="7" fillId="0" borderId="0" xfId="0" quotePrefix="1" applyNumberFormat="1" applyFont="1" applyAlignment="1">
      <alignment horizontal="left"/>
    </xf>
    <xf numFmtId="0" fontId="12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" fontId="13" fillId="3" borderId="1" xfId="0" applyNumberFormat="1" applyFont="1" applyFill="1" applyBorder="1" applyAlignment="1">
      <alignment horizontal="center" vertical="center" wrapText="1"/>
    </xf>
    <xf numFmtId="2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4" fillId="0" borderId="0" xfId="3" applyFont="1" applyAlignment="1">
      <alignment horizontal="right"/>
    </xf>
    <xf numFmtId="164" fontId="14" fillId="5" borderId="2" xfId="3" applyNumberFormat="1" applyFont="1" applyFill="1" applyBorder="1" applyAlignment="1">
      <alignment horizontal="left"/>
    </xf>
    <xf numFmtId="0" fontId="14" fillId="5" borderId="2" xfId="3" applyFont="1" applyFill="1" applyBorder="1"/>
    <xf numFmtId="0" fontId="14" fillId="0" borderId="2" xfId="3" applyFont="1" applyBorder="1" applyAlignment="1">
      <alignment horizontal="center" vertical="center"/>
    </xf>
    <xf numFmtId="0" fontId="14" fillId="0" borderId="2" xfId="3" applyFont="1" applyBorder="1"/>
    <xf numFmtId="0" fontId="14" fillId="5" borderId="2" xfId="3" applyFont="1" applyFill="1" applyBorder="1" applyAlignment="1">
      <alignment horizontal="left"/>
    </xf>
    <xf numFmtId="0" fontId="14" fillId="5" borderId="2" xfId="3" applyFont="1" applyFill="1" applyBorder="1" applyAlignment="1">
      <alignment horizontal="left" vertical="center"/>
    </xf>
    <xf numFmtId="14" fontId="14" fillId="5" borderId="2" xfId="3" applyNumberFormat="1" applyFont="1" applyFill="1" applyBorder="1" applyAlignment="1">
      <alignment horizontal="left"/>
    </xf>
    <xf numFmtId="1" fontId="14" fillId="5" borderId="2" xfId="3" applyNumberFormat="1" applyFont="1" applyFill="1" applyBorder="1"/>
    <xf numFmtId="2" fontId="14" fillId="5" borderId="2" xfId="3" applyNumberFormat="1" applyFont="1" applyFill="1" applyBorder="1" applyAlignment="1">
      <alignment horizontal="center"/>
    </xf>
    <xf numFmtId="165" fontId="14" fillId="5" borderId="2" xfId="3" applyNumberFormat="1" applyFont="1" applyFill="1" applyBorder="1" applyAlignment="1">
      <alignment horizontal="center"/>
    </xf>
    <xf numFmtId="0" fontId="14" fillId="5" borderId="2" xfId="3" applyFont="1" applyFill="1" applyBorder="1" applyAlignment="1">
      <alignment horizontal="center" vertical="center"/>
    </xf>
    <xf numFmtId="0" fontId="15" fillId="5" borderId="2" xfId="4" applyNumberFormat="1" applyFont="1" applyFill="1" applyBorder="1"/>
    <xf numFmtId="0" fontId="16" fillId="5" borderId="2" xfId="4" applyNumberFormat="1" applyFont="1" applyFill="1" applyBorder="1"/>
    <xf numFmtId="0" fontId="17" fillId="0" borderId="3" xfId="3" applyFont="1" applyBorder="1"/>
    <xf numFmtId="0" fontId="17" fillId="0" borderId="0" xfId="0" applyFont="1"/>
    <xf numFmtId="0" fontId="18" fillId="0" borderId="0" xfId="0" applyFont="1"/>
    <xf numFmtId="0" fontId="0" fillId="0" borderId="0" xfId="0" applyAlignment="1">
      <alignment horizontal="left" vertical="top"/>
    </xf>
    <xf numFmtId="0" fontId="19" fillId="6" borderId="0" xfId="0" applyFont="1" applyFill="1" applyAlignment="1">
      <alignment horizontal="left"/>
    </xf>
    <xf numFmtId="0" fontId="21" fillId="0" borderId="0" xfId="5" applyFont="1"/>
    <xf numFmtId="0" fontId="20" fillId="0" borderId="0" xfId="5" applyAlignment="1">
      <alignment horizontal="right"/>
    </xf>
    <xf numFmtId="4" fontId="8" fillId="0" borderId="0" xfId="6" applyNumberFormat="1" applyFont="1" applyAlignment="1">
      <alignment horizontal="left"/>
    </xf>
    <xf numFmtId="0" fontId="22" fillId="0" borderId="0" xfId="6" applyFont="1" applyAlignment="1">
      <alignment horizontal="center"/>
    </xf>
    <xf numFmtId="0" fontId="23" fillId="0" borderId="0" xfId="6" applyFont="1" applyAlignment="1">
      <alignment vertical="center"/>
    </xf>
    <xf numFmtId="0" fontId="22" fillId="0" borderId="0" xfId="6" applyFont="1"/>
    <xf numFmtId="2" fontId="24" fillId="0" borderId="0" xfId="6" applyNumberFormat="1" applyFont="1" applyAlignment="1">
      <alignment horizontal="left"/>
    </xf>
    <xf numFmtId="0" fontId="20" fillId="0" borderId="0" xfId="5"/>
    <xf numFmtId="0" fontId="25" fillId="0" borderId="0" xfId="5" applyFont="1"/>
    <xf numFmtId="4" fontId="8" fillId="0" borderId="0" xfId="6" applyNumberFormat="1" applyFont="1" applyAlignment="1">
      <alignment horizontal="left" vertical="center"/>
    </xf>
    <xf numFmtId="0" fontId="24" fillId="0" borderId="0" xfId="6" applyFont="1" applyAlignment="1">
      <alignment horizontal="center"/>
    </xf>
    <xf numFmtId="0" fontId="24" fillId="0" borderId="0" xfId="6" applyFont="1"/>
    <xf numFmtId="166" fontId="26" fillId="0" borderId="4" xfId="7" applyNumberFormat="1" applyFont="1" applyBorder="1" applyAlignment="1">
      <alignment horizontal="left"/>
    </xf>
    <xf numFmtId="0" fontId="26" fillId="0" borderId="5" xfId="7" applyFont="1" applyBorder="1" applyAlignment="1">
      <alignment horizontal="left"/>
    </xf>
    <xf numFmtId="0" fontId="25" fillId="0" borderId="5" xfId="7" applyFont="1" applyBorder="1" applyAlignment="1">
      <alignment horizontal="left"/>
    </xf>
    <xf numFmtId="0" fontId="27" fillId="0" borderId="5" xfId="7" applyFont="1" applyBorder="1" applyAlignment="1">
      <alignment horizontal="left"/>
    </xf>
    <xf numFmtId="0" fontId="28" fillId="0" borderId="5" xfId="7" applyFont="1" applyBorder="1" applyAlignment="1">
      <alignment horizontal="left" wrapText="1" readingOrder="1"/>
    </xf>
    <xf numFmtId="0" fontId="27" fillId="0" borderId="5" xfId="7" applyFont="1" applyBorder="1" applyAlignment="1">
      <alignment horizontal="left" wrapText="1"/>
    </xf>
    <xf numFmtId="0" fontId="29" fillId="0" borderId="5" xfId="7" applyFont="1" applyBorder="1" applyAlignment="1">
      <alignment horizontal="left" wrapText="1"/>
    </xf>
    <xf numFmtId="17" fontId="30" fillId="0" borderId="5" xfId="7" quotePrefix="1" applyNumberFormat="1" applyFont="1" applyBorder="1" applyAlignment="1">
      <alignment horizontal="left"/>
    </xf>
    <xf numFmtId="0" fontId="24" fillId="0" borderId="5" xfId="7" applyFont="1" applyBorder="1" applyAlignment="1">
      <alignment horizontal="left"/>
    </xf>
    <xf numFmtId="49" fontId="31" fillId="0" borderId="6" xfId="7" quotePrefix="1" applyNumberFormat="1" applyFont="1" applyBorder="1" applyAlignment="1">
      <alignment horizontal="left"/>
    </xf>
    <xf numFmtId="0" fontId="21" fillId="0" borderId="0" xfId="0" applyFont="1"/>
    <xf numFmtId="166" fontId="26" fillId="0" borderId="7" xfId="7" applyNumberFormat="1" applyFont="1" applyBorder="1" applyAlignment="1">
      <alignment horizontal="left"/>
    </xf>
    <xf numFmtId="0" fontId="26" fillId="0" borderId="0" xfId="7" applyFont="1" applyAlignment="1">
      <alignment horizontal="left"/>
    </xf>
    <xf numFmtId="0" fontId="25" fillId="0" borderId="0" xfId="7" applyFont="1" applyAlignment="1">
      <alignment horizontal="left"/>
    </xf>
    <xf numFmtId="0" fontId="25" fillId="0" borderId="8" xfId="7" applyFont="1" applyBorder="1" applyAlignment="1">
      <alignment horizontal="left"/>
    </xf>
    <xf numFmtId="166" fontId="32" fillId="0" borderId="9" xfId="7" applyNumberFormat="1" applyFont="1" applyBorder="1" applyAlignment="1">
      <alignment horizontal="left"/>
    </xf>
    <xf numFmtId="0" fontId="25" fillId="0" borderId="10" xfId="7" applyFont="1" applyBorder="1" applyAlignment="1">
      <alignment horizontal="left"/>
    </xf>
    <xf numFmtId="0" fontId="25" fillId="0" borderId="11" xfId="7" applyFont="1" applyBorder="1" applyAlignment="1">
      <alignment horizontal="left"/>
    </xf>
    <xf numFmtId="0" fontId="34" fillId="5" borderId="2" xfId="4" applyNumberFormat="1" applyFont="1" applyFill="1" applyBorder="1"/>
    <xf numFmtId="0" fontId="35" fillId="0" borderId="3" xfId="3" applyFont="1" applyBorder="1"/>
    <xf numFmtId="0" fontId="35" fillId="0" borderId="0" xfId="0" applyFont="1"/>
    <xf numFmtId="0" fontId="14" fillId="0" borderId="0" xfId="0" applyFont="1" applyAlignment="1">
      <alignment horizontal="right"/>
    </xf>
    <xf numFmtId="0" fontId="37" fillId="0" borderId="0" xfId="9" applyFont="1"/>
    <xf numFmtId="0" fontId="1" fillId="0" borderId="0" xfId="14"/>
    <xf numFmtId="4" fontId="4" fillId="0" borderId="0" xfId="14" applyNumberFormat="1" applyFont="1"/>
    <xf numFmtId="0" fontId="5" fillId="0" borderId="0" xfId="14" applyFont="1" applyAlignment="1">
      <alignment vertical="center"/>
    </xf>
    <xf numFmtId="2" fontId="1" fillId="0" borderId="0" xfId="14" applyNumberFormat="1" applyAlignment="1">
      <alignment horizontal="left"/>
    </xf>
    <xf numFmtId="0" fontId="1" fillId="0" borderId="0" xfId="14" applyAlignment="1">
      <alignment horizontal="left"/>
    </xf>
    <xf numFmtId="43" fontId="1" fillId="0" borderId="0" xfId="15" applyFont="1" applyFill="1"/>
    <xf numFmtId="0" fontId="38" fillId="0" borderId="0" xfId="14" applyFont="1"/>
    <xf numFmtId="4" fontId="8" fillId="0" borderId="0" xfId="14" applyNumberFormat="1" applyFont="1" applyAlignment="1">
      <alignment horizontal="left" vertical="center"/>
    </xf>
    <xf numFmtId="0" fontId="24" fillId="0" borderId="0" xfId="9"/>
    <xf numFmtId="17" fontId="1" fillId="0" borderId="0" xfId="14" quotePrefix="1" applyNumberFormat="1"/>
    <xf numFmtId="17" fontId="38" fillId="0" borderId="0" xfId="14" quotePrefix="1" applyNumberFormat="1" applyFont="1"/>
    <xf numFmtId="0" fontId="39" fillId="7" borderId="14" xfId="14" applyFont="1" applyFill="1" applyBorder="1" applyAlignment="1">
      <alignment horizontal="center" wrapText="1"/>
    </xf>
    <xf numFmtId="0" fontId="40" fillId="7" borderId="14" xfId="9" applyFont="1" applyFill="1" applyBorder="1" applyAlignment="1">
      <alignment horizontal="left" wrapText="1"/>
    </xf>
    <xf numFmtId="43" fontId="40" fillId="7" borderId="14" xfId="15" applyFont="1" applyFill="1" applyBorder="1" applyAlignment="1">
      <alignment horizontal="left" wrapText="1"/>
    </xf>
    <xf numFmtId="0" fontId="40" fillId="7" borderId="14" xfId="9" applyFont="1" applyFill="1" applyBorder="1" applyAlignment="1">
      <alignment horizontal="center" wrapText="1"/>
    </xf>
    <xf numFmtId="0" fontId="40" fillId="7" borderId="0" xfId="9" applyFont="1" applyFill="1" applyAlignment="1">
      <alignment horizontal="left" wrapText="1"/>
    </xf>
    <xf numFmtId="0" fontId="39" fillId="7" borderId="14" xfId="9" applyFont="1" applyFill="1" applyBorder="1" applyAlignment="1">
      <alignment horizontal="left" wrapText="1"/>
    </xf>
    <xf numFmtId="0" fontId="17" fillId="0" borderId="0" xfId="14" applyFont="1" applyAlignment="1">
      <alignment horizontal="right"/>
    </xf>
    <xf numFmtId="0" fontId="41" fillId="0" borderId="0" xfId="9" applyFont="1"/>
    <xf numFmtId="0" fontId="17" fillId="0" borderId="10" xfId="14" applyFont="1" applyBorder="1" applyAlignment="1">
      <alignment horizontal="left"/>
    </xf>
    <xf numFmtId="0" fontId="17" fillId="0" borderId="16" xfId="14" applyFont="1" applyBorder="1" applyAlignment="1">
      <alignment horizontal="left"/>
    </xf>
    <xf numFmtId="0" fontId="17" fillId="0" borderId="16" xfId="14" applyFont="1" applyBorder="1"/>
    <xf numFmtId="0" fontId="17" fillId="0" borderId="10" xfId="14" applyFont="1" applyBorder="1" applyAlignment="1">
      <alignment horizontal="left" vertical="center"/>
    </xf>
    <xf numFmtId="14" fontId="17" fillId="0" borderId="15" xfId="14" applyNumberFormat="1" applyFont="1" applyBorder="1" applyAlignment="1">
      <alignment horizontal="left"/>
    </xf>
    <xf numFmtId="0" fontId="17" fillId="0" borderId="15" xfId="14" applyFont="1" applyBorder="1" applyAlignment="1">
      <alignment horizontal="left" vertical="center"/>
    </xf>
    <xf numFmtId="0" fontId="17" fillId="0" borderId="15" xfId="14" applyFont="1" applyBorder="1" applyAlignment="1">
      <alignment horizontal="left"/>
    </xf>
    <xf numFmtId="0" fontId="17" fillId="0" borderId="15" xfId="14" quotePrefix="1" applyFont="1" applyBorder="1" applyAlignment="1">
      <alignment horizontal="left"/>
    </xf>
    <xf numFmtId="14" fontId="17" fillId="0" borderId="15" xfId="14" applyNumberFormat="1" applyFont="1" applyBorder="1" applyAlignment="1">
      <alignment horizontal="left" vertical="center"/>
    </xf>
    <xf numFmtId="43" fontId="17" fillId="0" borderId="15" xfId="15" applyFont="1" applyBorder="1"/>
    <xf numFmtId="43" fontId="17" fillId="0" borderId="15" xfId="15" applyFont="1" applyBorder="1" applyAlignment="1">
      <alignment horizontal="left" vertical="center"/>
    </xf>
    <xf numFmtId="0" fontId="17" fillId="0" borderId="15" xfId="14" quotePrefix="1" applyFont="1" applyBorder="1" applyAlignment="1">
      <alignment horizontal="left" vertical="center"/>
    </xf>
    <xf numFmtId="0" fontId="42" fillId="0" borderId="0" xfId="0" applyFont="1" applyAlignment="1">
      <alignment vertical="center"/>
    </xf>
    <xf numFmtId="0" fontId="43" fillId="0" borderId="0" xfId="0" applyFont="1"/>
    <xf numFmtId="0" fontId="44" fillId="0" borderId="17" xfId="0" applyFont="1" applyBorder="1" applyAlignment="1">
      <alignment vertical="center"/>
    </xf>
    <xf numFmtId="43" fontId="0" fillId="0" borderId="0" xfId="0" applyNumberFormat="1"/>
    <xf numFmtId="0" fontId="12" fillId="0" borderId="0" xfId="0" quotePrefix="1" applyFont="1"/>
    <xf numFmtId="0" fontId="46" fillId="7" borderId="14" xfId="0" applyFont="1" applyFill="1" applyBorder="1" applyAlignment="1">
      <alignment horizontal="center" wrapText="1"/>
    </xf>
    <xf numFmtId="0" fontId="46" fillId="7" borderId="14" xfId="0" applyFont="1" applyFill="1" applyBorder="1" applyAlignment="1">
      <alignment wrapText="1"/>
    </xf>
    <xf numFmtId="0" fontId="46" fillId="7" borderId="14" xfId="0" applyFont="1" applyFill="1" applyBorder="1" applyAlignment="1">
      <alignment horizontal="center" vertical="center" wrapText="1"/>
    </xf>
    <xf numFmtId="0" fontId="46" fillId="7" borderId="18" xfId="0" applyFont="1" applyFill="1" applyBorder="1" applyAlignment="1">
      <alignment wrapText="1"/>
    </xf>
    <xf numFmtId="0" fontId="46" fillId="7" borderId="18" xfId="0" applyFont="1" applyFill="1" applyBorder="1" applyAlignment="1">
      <alignment horizontal="center" wrapText="1"/>
    </xf>
    <xf numFmtId="17" fontId="45" fillId="0" borderId="0" xfId="0" quotePrefix="1" applyNumberFormat="1" applyFont="1" applyAlignment="1">
      <alignment horizontal="left"/>
    </xf>
    <xf numFmtId="0" fontId="37" fillId="0" borderId="0" xfId="0" applyFont="1"/>
    <xf numFmtId="0" fontId="30" fillId="0" borderId="0" xfId="17" applyFont="1"/>
    <xf numFmtId="4" fontId="30" fillId="0" borderId="0" xfId="17" applyNumberFormat="1" applyFont="1"/>
    <xf numFmtId="0" fontId="25" fillId="0" borderId="0" xfId="17" applyFont="1"/>
    <xf numFmtId="0" fontId="24" fillId="0" borderId="0" xfId="17"/>
    <xf numFmtId="49" fontId="24" fillId="0" borderId="0" xfId="17" applyNumberFormat="1"/>
    <xf numFmtId="17" fontId="30" fillId="0" borderId="0" xfId="17" quotePrefix="1" applyNumberFormat="1" applyFont="1"/>
    <xf numFmtId="4" fontId="25" fillId="0" borderId="0" xfId="17" applyNumberFormat="1" applyFont="1"/>
    <xf numFmtId="0" fontId="37" fillId="0" borderId="0" xfId="17" applyFont="1"/>
    <xf numFmtId="4" fontId="4" fillId="0" borderId="0" xfId="17" applyNumberFormat="1" applyFont="1"/>
    <xf numFmtId="0" fontId="38" fillId="0" borderId="0" xfId="8" applyFont="1"/>
    <xf numFmtId="49" fontId="38" fillId="0" borderId="0" xfId="8" applyNumberFormat="1" applyFont="1"/>
    <xf numFmtId="0" fontId="5" fillId="0" borderId="0" xfId="17" applyFont="1" applyAlignment="1">
      <alignment vertical="center"/>
    </xf>
    <xf numFmtId="2" fontId="24" fillId="0" borderId="0" xfId="17" applyNumberFormat="1" applyAlignment="1">
      <alignment horizontal="left"/>
    </xf>
    <xf numFmtId="4" fontId="8" fillId="0" borderId="0" xfId="17" applyNumberFormat="1" applyFont="1" applyAlignment="1">
      <alignment horizontal="left" vertical="center"/>
    </xf>
    <xf numFmtId="0" fontId="39" fillId="7" borderId="14" xfId="18" applyFont="1" applyFill="1" applyBorder="1" applyAlignment="1">
      <alignment wrapText="1"/>
    </xf>
    <xf numFmtId="0" fontId="48" fillId="7" borderId="14" xfId="18" applyFont="1" applyFill="1" applyBorder="1" applyAlignment="1">
      <alignment wrapText="1"/>
    </xf>
    <xf numFmtId="49" fontId="39" fillId="7" borderId="14" xfId="18" applyNumberFormat="1" applyFont="1" applyFill="1" applyBorder="1" applyAlignment="1">
      <alignment wrapText="1"/>
    </xf>
    <xf numFmtId="164" fontId="49" fillId="0" borderId="2" xfId="0" applyNumberFormat="1" applyFont="1" applyBorder="1" applyAlignment="1">
      <alignment horizontal="left"/>
    </xf>
    <xf numFmtId="0" fontId="49" fillId="0" borderId="2" xfId="0" applyFont="1" applyBorder="1"/>
    <xf numFmtId="0" fontId="49" fillId="0" borderId="2" xfId="0" applyFont="1" applyBorder="1" applyAlignment="1">
      <alignment horizontal="center" vertical="center"/>
    </xf>
    <xf numFmtId="2" fontId="49" fillId="0" borderId="2" xfId="0" applyNumberFormat="1" applyFont="1" applyBorder="1" applyAlignment="1">
      <alignment horizontal="left"/>
    </xf>
    <xf numFmtId="0" fontId="49" fillId="0" borderId="2" xfId="0" quotePrefix="1" applyFont="1" applyBorder="1" applyAlignment="1">
      <alignment horizontal="left" vertical="center"/>
    </xf>
    <xf numFmtId="49" fontId="49" fillId="0" borderId="2" xfId="0" applyNumberFormat="1" applyFont="1" applyBorder="1" applyAlignment="1">
      <alignment horizontal="left"/>
    </xf>
    <xf numFmtId="14" fontId="49" fillId="0" borderId="2" xfId="0" applyNumberFormat="1" applyFont="1" applyBorder="1" applyAlignment="1">
      <alignment horizontal="left"/>
    </xf>
    <xf numFmtId="1" fontId="49" fillId="0" borderId="2" xfId="0" applyNumberFormat="1" applyFont="1" applyBorder="1"/>
    <xf numFmtId="2" fontId="49" fillId="8" borderId="2" xfId="0" applyNumberFormat="1" applyFont="1" applyFill="1" applyBorder="1" applyAlignment="1">
      <alignment horizontal="right"/>
    </xf>
    <xf numFmtId="2" fontId="49" fillId="0" borderId="2" xfId="0" applyNumberFormat="1" applyFont="1" applyBorder="1" applyAlignment="1">
      <alignment horizontal="center"/>
    </xf>
    <xf numFmtId="49" fontId="49" fillId="0" borderId="2" xfId="0" applyNumberFormat="1" applyFont="1" applyBorder="1"/>
    <xf numFmtId="165" fontId="49" fillId="0" borderId="2" xfId="0" applyNumberFormat="1" applyFont="1" applyBorder="1" applyAlignment="1">
      <alignment horizontal="center"/>
    </xf>
    <xf numFmtId="2" fontId="0" fillId="0" borderId="0" xfId="0" applyNumberFormat="1"/>
    <xf numFmtId="0" fontId="50" fillId="7" borderId="1" xfId="8" applyFont="1" applyFill="1" applyBorder="1" applyAlignment="1">
      <alignment horizontal="center" wrapText="1"/>
    </xf>
    <xf numFmtId="0" fontId="51" fillId="7" borderId="1" xfId="0" applyFont="1" applyFill="1" applyBorder="1" applyAlignment="1">
      <alignment horizontal="center" vertical="center" wrapText="1"/>
    </xf>
    <xf numFmtId="0" fontId="51" fillId="7" borderId="1" xfId="0" applyFont="1" applyFill="1" applyBorder="1" applyAlignment="1">
      <alignment vertical="center" wrapText="1"/>
    </xf>
    <xf numFmtId="0" fontId="2" fillId="5" borderId="2" xfId="19" applyNumberFormat="1" applyFill="1" applyBorder="1"/>
    <xf numFmtId="0" fontId="35" fillId="0" borderId="0" xfId="3" applyFont="1"/>
    <xf numFmtId="0" fontId="2" fillId="0" borderId="15" xfId="19" applyBorder="1" applyAlignment="1">
      <alignment horizontal="left" vertical="center"/>
    </xf>
    <xf numFmtId="0" fontId="0" fillId="0" borderId="0" xfId="14" applyFont="1"/>
    <xf numFmtId="0" fontId="52" fillId="0" borderId="0" xfId="0" applyFont="1" applyAlignment="1">
      <alignment horizontal="left"/>
    </xf>
    <xf numFmtId="4" fontId="53" fillId="0" borderId="0" xfId="0" applyNumberFormat="1" applyFont="1"/>
    <xf numFmtId="0" fontId="54" fillId="0" borderId="0" xfId="0" applyFont="1" applyAlignment="1">
      <alignment horizontal="left" vertical="center"/>
    </xf>
    <xf numFmtId="0" fontId="55" fillId="0" borderId="0" xfId="0" applyFont="1"/>
    <xf numFmtId="2" fontId="52" fillId="0" borderId="0" xfId="0" applyNumberFormat="1" applyFont="1" applyAlignment="1">
      <alignment horizontal="left"/>
    </xf>
    <xf numFmtId="0" fontId="52" fillId="0" borderId="0" xfId="0" applyFont="1" applyAlignment="1">
      <alignment horizontal="right"/>
    </xf>
    <xf numFmtId="0" fontId="56" fillId="0" borderId="0" xfId="0" applyFont="1"/>
    <xf numFmtId="49" fontId="56" fillId="0" borderId="0" xfId="0" applyNumberFormat="1" applyFont="1" applyAlignment="1">
      <alignment horizontal="left"/>
    </xf>
    <xf numFmtId="1" fontId="52" fillId="0" borderId="0" xfId="0" applyNumberFormat="1" applyFont="1"/>
    <xf numFmtId="2" fontId="57" fillId="0" borderId="0" xfId="0" applyNumberFormat="1" applyFont="1" applyAlignment="1">
      <alignment horizontal="right"/>
    </xf>
    <xf numFmtId="0" fontId="52" fillId="0" borderId="0" xfId="0" applyFont="1" applyAlignment="1">
      <alignment horizontal="center"/>
    </xf>
    <xf numFmtId="4" fontId="58" fillId="0" borderId="0" xfId="0" applyNumberFormat="1" applyFont="1" applyAlignment="1">
      <alignment horizontal="left" vertical="center"/>
    </xf>
    <xf numFmtId="0" fontId="54" fillId="0" borderId="0" xfId="0" applyFont="1" applyAlignment="1">
      <alignment horizontal="left"/>
    </xf>
    <xf numFmtId="49" fontId="52" fillId="0" borderId="0" xfId="0" applyNumberFormat="1" applyFont="1"/>
    <xf numFmtId="0" fontId="59" fillId="0" borderId="0" xfId="0" applyFont="1" applyAlignment="1">
      <alignment horizontal="left"/>
    </xf>
    <xf numFmtId="17" fontId="57" fillId="0" borderId="0" xfId="0" applyNumberFormat="1" applyFont="1" applyAlignment="1">
      <alignment horizontal="left"/>
    </xf>
    <xf numFmtId="0" fontId="60" fillId="3" borderId="19" xfId="0" applyFont="1" applyFill="1" applyBorder="1" applyAlignment="1">
      <alignment horizontal="left" vertical="center" wrapText="1"/>
    </xf>
    <xf numFmtId="1" fontId="60" fillId="3" borderId="19" xfId="0" applyNumberFormat="1" applyFont="1" applyFill="1" applyBorder="1" applyAlignment="1">
      <alignment horizontal="left" vertical="center" wrapText="1"/>
    </xf>
    <xf numFmtId="2" fontId="60" fillId="3" borderId="19" xfId="0" applyNumberFormat="1" applyFont="1" applyFill="1" applyBorder="1" applyAlignment="1">
      <alignment horizontal="left" vertical="center" wrapText="1"/>
    </xf>
    <xf numFmtId="0" fontId="60" fillId="3" borderId="20" xfId="0" applyFont="1" applyFill="1" applyBorder="1" applyAlignment="1">
      <alignment horizontal="left" vertical="center" wrapText="1"/>
    </xf>
    <xf numFmtId="0" fontId="60" fillId="3" borderId="21" xfId="0" applyFont="1" applyFill="1" applyBorder="1" applyAlignment="1">
      <alignment horizontal="left" vertical="center" wrapText="1"/>
    </xf>
    <xf numFmtId="14" fontId="61" fillId="9" borderId="22" xfId="0" applyNumberFormat="1" applyFont="1" applyFill="1" applyBorder="1" applyAlignment="1">
      <alignment horizontal="left" vertical="center"/>
    </xf>
    <xf numFmtId="49" fontId="61" fillId="9" borderId="22" xfId="0" applyNumberFormat="1" applyFont="1" applyFill="1" applyBorder="1" applyAlignment="1">
      <alignment horizontal="left" vertical="center"/>
    </xf>
    <xf numFmtId="0" fontId="61" fillId="9" borderId="22" xfId="0" applyFont="1" applyFill="1" applyBorder="1" applyAlignment="1">
      <alignment horizontal="left" vertical="center"/>
    </xf>
    <xf numFmtId="2" fontId="61" fillId="9" borderId="22" xfId="0" applyNumberFormat="1" applyFont="1" applyFill="1" applyBorder="1" applyAlignment="1">
      <alignment horizontal="left" vertical="center"/>
    </xf>
    <xf numFmtId="0" fontId="61" fillId="10" borderId="22" xfId="0" applyFont="1" applyFill="1" applyBorder="1" applyAlignment="1">
      <alignment horizontal="left" vertical="center"/>
    </xf>
    <xf numFmtId="14" fontId="2" fillId="9" borderId="22" xfId="19" applyNumberFormat="1" applyFill="1" applyBorder="1" applyAlignment="1">
      <alignment horizontal="left" vertical="center"/>
    </xf>
    <xf numFmtId="0" fontId="49" fillId="5" borderId="15" xfId="0" applyFont="1" applyFill="1" applyBorder="1" applyAlignment="1">
      <alignment horizontal="center" vertical="center"/>
    </xf>
    <xf numFmtId="0" fontId="36" fillId="0" borderId="0" xfId="9" applyFont="1" applyAlignment="1">
      <alignment vertical="center"/>
    </xf>
    <xf numFmtId="0" fontId="35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5" fillId="8" borderId="1" xfId="0" applyFont="1" applyFill="1" applyBorder="1" applyAlignment="1">
      <alignment vertical="center"/>
    </xf>
    <xf numFmtId="49" fontId="18" fillId="8" borderId="1" xfId="0" applyNumberFormat="1" applyFont="1" applyFill="1" applyBorder="1" applyAlignment="1">
      <alignment horizontal="center"/>
    </xf>
    <xf numFmtId="49" fontId="2" fillId="0" borderId="2" xfId="19" applyNumberFormat="1" applyBorder="1"/>
    <xf numFmtId="0" fontId="62" fillId="8" borderId="15" xfId="21" applyFont="1" applyFill="1" applyBorder="1" applyAlignment="1">
      <alignment horizontal="left"/>
    </xf>
    <xf numFmtId="165" fontId="2" fillId="5" borderId="2" xfId="19" applyNumberFormat="1" applyFill="1" applyBorder="1" applyAlignment="1">
      <alignment horizontal="left"/>
    </xf>
    <xf numFmtId="0" fontId="36" fillId="8" borderId="0" xfId="9" applyFont="1" applyFill="1" applyAlignment="1">
      <alignment vertical="center"/>
    </xf>
    <xf numFmtId="14" fontId="36" fillId="8" borderId="2" xfId="10" applyNumberFormat="1" applyFont="1" applyFill="1" applyBorder="1" applyAlignment="1">
      <alignment vertical="center" wrapText="1"/>
    </xf>
    <xf numFmtId="14" fontId="36" fillId="8" borderId="2" xfId="10" applyNumberFormat="1" applyFont="1" applyFill="1" applyBorder="1" applyAlignment="1">
      <alignment horizontal="left" vertical="center" wrapText="1"/>
    </xf>
    <xf numFmtId="0" fontId="36" fillId="8" borderId="2" xfId="10" applyFont="1" applyFill="1" applyBorder="1" applyAlignment="1">
      <alignment horizontal="center" vertical="center" wrapText="1"/>
    </xf>
    <xf numFmtId="0" fontId="35" fillId="8" borderId="2" xfId="0" applyFont="1" applyFill="1" applyBorder="1" applyAlignment="1">
      <alignment horizontal="left" vertical="center" wrapText="1"/>
    </xf>
    <xf numFmtId="0" fontId="36" fillId="8" borderId="2" xfId="10" applyFont="1" applyFill="1" applyBorder="1" applyAlignment="1">
      <alignment horizontal="left" vertical="center" wrapText="1"/>
    </xf>
    <xf numFmtId="0" fontId="36" fillId="8" borderId="12" xfId="10" applyFont="1" applyFill="1" applyBorder="1" applyAlignment="1">
      <alignment vertical="center" wrapText="1"/>
    </xf>
    <xf numFmtId="0" fontId="36" fillId="8" borderId="2" xfId="10" quotePrefix="1" applyFont="1" applyFill="1" applyBorder="1" applyAlignment="1">
      <alignment horizontal="left" vertical="center" wrapText="1"/>
    </xf>
    <xf numFmtId="1" fontId="36" fillId="8" borderId="2" xfId="11" quotePrefix="1" applyNumberFormat="1" applyFont="1" applyFill="1" applyBorder="1" applyAlignment="1">
      <alignment horizontal="left" vertical="center"/>
    </xf>
    <xf numFmtId="43" fontId="36" fillId="8" borderId="2" xfId="12" applyFont="1" applyFill="1" applyBorder="1" applyAlignment="1">
      <alignment vertical="center"/>
    </xf>
    <xf numFmtId="43" fontId="36" fillId="8" borderId="2" xfId="12" quotePrefix="1" applyFont="1" applyFill="1" applyBorder="1" applyAlignment="1">
      <alignment horizontal="left" vertical="center"/>
    </xf>
    <xf numFmtId="43" fontId="2" fillId="8" borderId="13" xfId="19" applyNumberFormat="1" applyFill="1" applyBorder="1" applyAlignment="1">
      <alignment horizontal="left" vertical="center"/>
    </xf>
    <xf numFmtId="0" fontId="2" fillId="8" borderId="0" xfId="19" applyFill="1" applyAlignment="1">
      <alignment vertical="center"/>
    </xf>
    <xf numFmtId="0" fontId="35" fillId="8" borderId="0" xfId="0" applyFont="1" applyFill="1" applyAlignment="1">
      <alignment vertical="center"/>
    </xf>
    <xf numFmtId="0" fontId="36" fillId="8" borderId="0" xfId="10" applyFont="1" applyFill="1" applyAlignment="1">
      <alignment horizontal="left" vertical="center" wrapText="1"/>
    </xf>
    <xf numFmtId="0" fontId="14" fillId="8" borderId="2" xfId="3" applyFont="1" applyFill="1" applyBorder="1" applyAlignment="1">
      <alignment horizontal="center" vertical="center"/>
    </xf>
    <xf numFmtId="1" fontId="36" fillId="8" borderId="0" xfId="11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veronica.santos10@hotmail.com" TargetMode="External"/><Relationship Id="rId21" Type="http://schemas.openxmlformats.org/officeDocument/2006/relationships/hyperlink" Target="mailto:carmitape1@hotmail.com" TargetMode="External"/><Relationship Id="rId42" Type="http://schemas.openxmlformats.org/officeDocument/2006/relationships/hyperlink" Target="mailto:juanpedrocg@gmail.com" TargetMode="External"/><Relationship Id="rId47" Type="http://schemas.openxmlformats.org/officeDocument/2006/relationships/hyperlink" Target="mailto:egalvez@etapanet.net" TargetMode="External"/><Relationship Id="rId63" Type="http://schemas.openxmlformats.org/officeDocument/2006/relationships/hyperlink" Target="mailto:jrbust@hotmail.com" TargetMode="External"/><Relationship Id="rId68" Type="http://schemas.openxmlformats.org/officeDocument/2006/relationships/hyperlink" Target="mailto:dimitrishabiashvili@hotmail.com" TargetMode="External"/><Relationship Id="rId16" Type="http://schemas.openxmlformats.org/officeDocument/2006/relationships/hyperlink" Target="mailto:fervazcal@hotmail.com" TargetMode="External"/><Relationship Id="rId11" Type="http://schemas.openxmlformats.org/officeDocument/2006/relationships/hyperlink" Target="mailto:priscivazquez@hotmail.com" TargetMode="External"/><Relationship Id="rId24" Type="http://schemas.openxmlformats.org/officeDocument/2006/relationships/hyperlink" Target="mailto:veronica.santos10@hotmail.com" TargetMode="External"/><Relationship Id="rId32" Type="http://schemas.openxmlformats.org/officeDocument/2006/relationships/hyperlink" Target="mailto:marceabad@hotmail.com" TargetMode="External"/><Relationship Id="rId37" Type="http://schemas.openxmlformats.org/officeDocument/2006/relationships/hyperlink" Target="mailto:dome_2407@hotmail.com" TargetMode="External"/><Relationship Id="rId40" Type="http://schemas.openxmlformats.org/officeDocument/2006/relationships/hyperlink" Target="mailto:juanpedrocg@gmail.com" TargetMode="External"/><Relationship Id="rId45" Type="http://schemas.openxmlformats.org/officeDocument/2006/relationships/hyperlink" Target="mailto:egalvez@etapanet.net" TargetMode="External"/><Relationship Id="rId53" Type="http://schemas.openxmlformats.org/officeDocument/2006/relationships/hyperlink" Target="mailto:vane.1707@hotmail.com" TargetMode="External"/><Relationship Id="rId58" Type="http://schemas.openxmlformats.org/officeDocument/2006/relationships/hyperlink" Target="mailto:silvia.sempertegui@ucuenca.edu.ec" TargetMode="External"/><Relationship Id="rId66" Type="http://schemas.openxmlformats.org/officeDocument/2006/relationships/hyperlink" Target="mailto:barreto.raul@hotmail.com" TargetMode="External"/><Relationship Id="rId74" Type="http://schemas.openxmlformats.org/officeDocument/2006/relationships/hyperlink" Target="mailto:drpabloquezada@yahoo.es" TargetMode="External"/><Relationship Id="rId79" Type="http://schemas.openxmlformats.org/officeDocument/2006/relationships/drawing" Target="../drawings/drawing1.xml"/><Relationship Id="rId5" Type="http://schemas.openxmlformats.org/officeDocument/2006/relationships/hyperlink" Target="mailto:vviniciomendez@gmail.com" TargetMode="External"/><Relationship Id="rId61" Type="http://schemas.openxmlformats.org/officeDocument/2006/relationships/hyperlink" Target="mailto:mariferojas-53@hotmail.com" TargetMode="External"/><Relationship Id="rId19" Type="http://schemas.openxmlformats.org/officeDocument/2006/relationships/hyperlink" Target="mailto:fervazcal@hotmail.com" TargetMode="External"/><Relationship Id="rId14" Type="http://schemas.openxmlformats.org/officeDocument/2006/relationships/hyperlink" Target="mailto:slopezguillen@hotmail.com" TargetMode="External"/><Relationship Id="rId22" Type="http://schemas.openxmlformats.org/officeDocument/2006/relationships/hyperlink" Target="mailto:carmitape1@hotmail.com" TargetMode="External"/><Relationship Id="rId27" Type="http://schemas.openxmlformats.org/officeDocument/2006/relationships/hyperlink" Target="mailto:lautarovt46@hotmail.com" TargetMode="External"/><Relationship Id="rId30" Type="http://schemas.openxmlformats.org/officeDocument/2006/relationships/hyperlink" Target="mailto:abadfabian@hotmail.com" TargetMode="External"/><Relationship Id="rId35" Type="http://schemas.openxmlformats.org/officeDocument/2006/relationships/hyperlink" Target="mailto:dome_2407@hotmail.com" TargetMode="External"/><Relationship Id="rId43" Type="http://schemas.openxmlformats.org/officeDocument/2006/relationships/hyperlink" Target="mailto:rubenpaucarm@gmail.com" TargetMode="External"/><Relationship Id="rId48" Type="http://schemas.openxmlformats.org/officeDocument/2006/relationships/hyperlink" Target="mailto:jessk_12alvarado@yahoo.es" TargetMode="External"/><Relationship Id="rId56" Type="http://schemas.openxmlformats.org/officeDocument/2006/relationships/hyperlink" Target="mailto:felipebermeoq@hotmail.com" TargetMode="External"/><Relationship Id="rId64" Type="http://schemas.openxmlformats.org/officeDocument/2006/relationships/hyperlink" Target="mailto:jrbust@hotmail.com" TargetMode="External"/><Relationship Id="rId69" Type="http://schemas.openxmlformats.org/officeDocument/2006/relationships/hyperlink" Target="mailto:dimitrishabiashvili@hotmail.com" TargetMode="External"/><Relationship Id="rId77" Type="http://schemas.openxmlformats.org/officeDocument/2006/relationships/hyperlink" Target="mailto:nancymo91@hotmail.com" TargetMode="External"/><Relationship Id="rId8" Type="http://schemas.openxmlformats.org/officeDocument/2006/relationships/hyperlink" Target="mailto:vviniciomendez@gmail.com" TargetMode="External"/><Relationship Id="rId51" Type="http://schemas.openxmlformats.org/officeDocument/2006/relationships/hyperlink" Target="mailto:vane.1707@hotmail.com" TargetMode="External"/><Relationship Id="rId72" Type="http://schemas.openxmlformats.org/officeDocument/2006/relationships/hyperlink" Target="mailto:gonzast.91@gmail.com" TargetMode="External"/><Relationship Id="rId3" Type="http://schemas.openxmlformats.org/officeDocument/2006/relationships/hyperlink" Target="mailto:edgars115@gmail.com" TargetMode="External"/><Relationship Id="rId12" Type="http://schemas.openxmlformats.org/officeDocument/2006/relationships/hyperlink" Target="mailto:slopezguillen@hotmail.com" TargetMode="External"/><Relationship Id="rId17" Type="http://schemas.openxmlformats.org/officeDocument/2006/relationships/hyperlink" Target="mailto:fervazcal@hotmail.com" TargetMode="External"/><Relationship Id="rId25" Type="http://schemas.openxmlformats.org/officeDocument/2006/relationships/hyperlink" Target="mailto:veronica.santos10@hotmail.com" TargetMode="External"/><Relationship Id="rId33" Type="http://schemas.openxmlformats.org/officeDocument/2006/relationships/hyperlink" Target="mailto:marceabad@hotmail.com" TargetMode="External"/><Relationship Id="rId38" Type="http://schemas.openxmlformats.org/officeDocument/2006/relationships/hyperlink" Target="mailto:juanpedrocg@gmail.com" TargetMode="External"/><Relationship Id="rId46" Type="http://schemas.openxmlformats.org/officeDocument/2006/relationships/hyperlink" Target="mailto:egalvez@etapanet.net" TargetMode="External"/><Relationship Id="rId59" Type="http://schemas.openxmlformats.org/officeDocument/2006/relationships/hyperlink" Target="mailto:silvia.sempertegui@ucuenca.edu.ec" TargetMode="External"/><Relationship Id="rId67" Type="http://schemas.openxmlformats.org/officeDocument/2006/relationships/hyperlink" Target="mailto:dimitrishabiashvili@hotmail.com" TargetMode="External"/><Relationship Id="rId20" Type="http://schemas.openxmlformats.org/officeDocument/2006/relationships/hyperlink" Target="mailto:carmitape1@hotmail.com" TargetMode="External"/><Relationship Id="rId41" Type="http://schemas.openxmlformats.org/officeDocument/2006/relationships/hyperlink" Target="mailto:juanpedrocg@gmail.com" TargetMode="External"/><Relationship Id="rId54" Type="http://schemas.openxmlformats.org/officeDocument/2006/relationships/hyperlink" Target="mailto:felipebermeoq@hotmail.com" TargetMode="External"/><Relationship Id="rId62" Type="http://schemas.openxmlformats.org/officeDocument/2006/relationships/hyperlink" Target="mailto:jrbust@hotmail.com" TargetMode="External"/><Relationship Id="rId70" Type="http://schemas.openxmlformats.org/officeDocument/2006/relationships/hyperlink" Target="mailto:willamandreschillogalli@gmail.com" TargetMode="External"/><Relationship Id="rId75" Type="http://schemas.openxmlformats.org/officeDocument/2006/relationships/hyperlink" Target="mailto:drpabloquezada@yahoo.es" TargetMode="External"/><Relationship Id="rId1" Type="http://schemas.openxmlformats.org/officeDocument/2006/relationships/hyperlink" Target="mailto:edgars115@gmail.com" TargetMode="External"/><Relationship Id="rId6" Type="http://schemas.openxmlformats.org/officeDocument/2006/relationships/hyperlink" Target="mailto:vviniciomendez@gmail.com" TargetMode="External"/><Relationship Id="rId15" Type="http://schemas.openxmlformats.org/officeDocument/2006/relationships/hyperlink" Target="mailto:slopezguillen@hotmail.com" TargetMode="External"/><Relationship Id="rId23" Type="http://schemas.openxmlformats.org/officeDocument/2006/relationships/hyperlink" Target="mailto:carmitape1@hotmail.com" TargetMode="External"/><Relationship Id="rId28" Type="http://schemas.openxmlformats.org/officeDocument/2006/relationships/hyperlink" Target="mailto:lautarovt46@hotmail.com" TargetMode="External"/><Relationship Id="rId36" Type="http://schemas.openxmlformats.org/officeDocument/2006/relationships/hyperlink" Target="mailto:dome_2407@hotmail.com" TargetMode="External"/><Relationship Id="rId49" Type="http://schemas.openxmlformats.org/officeDocument/2006/relationships/hyperlink" Target="mailto:jessk_12alvarado@yahoo.es" TargetMode="External"/><Relationship Id="rId57" Type="http://schemas.openxmlformats.org/officeDocument/2006/relationships/hyperlink" Target="mailto:felipebermeoq@hotmail.com" TargetMode="External"/><Relationship Id="rId10" Type="http://schemas.openxmlformats.org/officeDocument/2006/relationships/hyperlink" Target="mailto:priscivazquez@hotmail.com" TargetMode="External"/><Relationship Id="rId31" Type="http://schemas.openxmlformats.org/officeDocument/2006/relationships/hyperlink" Target="mailto:abadfabian@hotmail.com" TargetMode="External"/><Relationship Id="rId44" Type="http://schemas.openxmlformats.org/officeDocument/2006/relationships/hyperlink" Target="mailto:rubenpaucarm@gmail.com" TargetMode="External"/><Relationship Id="rId52" Type="http://schemas.openxmlformats.org/officeDocument/2006/relationships/hyperlink" Target="mailto:vane.1707@hotmail.com" TargetMode="External"/><Relationship Id="rId60" Type="http://schemas.openxmlformats.org/officeDocument/2006/relationships/hyperlink" Target="mailto:mariferojas-53@hotmail.com" TargetMode="External"/><Relationship Id="rId65" Type="http://schemas.openxmlformats.org/officeDocument/2006/relationships/hyperlink" Target="mailto:barreto.raul@hotmail.com" TargetMode="External"/><Relationship Id="rId73" Type="http://schemas.openxmlformats.org/officeDocument/2006/relationships/hyperlink" Target="mailto:gonzast.91@gmail.com" TargetMode="External"/><Relationship Id="rId78" Type="http://schemas.openxmlformats.org/officeDocument/2006/relationships/printerSettings" Target="../printerSettings/printerSettings1.bin"/><Relationship Id="rId4" Type="http://schemas.openxmlformats.org/officeDocument/2006/relationships/hyperlink" Target="mailto:edgars115@gmail.com" TargetMode="External"/><Relationship Id="rId9" Type="http://schemas.openxmlformats.org/officeDocument/2006/relationships/hyperlink" Target="mailto:priscivazquez@hotmail.com" TargetMode="External"/><Relationship Id="rId13" Type="http://schemas.openxmlformats.org/officeDocument/2006/relationships/hyperlink" Target="mailto:slopezguillen@hotmail.com" TargetMode="External"/><Relationship Id="rId18" Type="http://schemas.openxmlformats.org/officeDocument/2006/relationships/hyperlink" Target="mailto:fervazcal@hotmail.com" TargetMode="External"/><Relationship Id="rId39" Type="http://schemas.openxmlformats.org/officeDocument/2006/relationships/hyperlink" Target="mailto:juanpedrocg@gmail.com" TargetMode="External"/><Relationship Id="rId34" Type="http://schemas.openxmlformats.org/officeDocument/2006/relationships/hyperlink" Target="mailto:dome_2407@hotmail.com" TargetMode="External"/><Relationship Id="rId50" Type="http://schemas.openxmlformats.org/officeDocument/2006/relationships/hyperlink" Target="mailto:jessk_12alvarado@yahoo.es" TargetMode="External"/><Relationship Id="rId55" Type="http://schemas.openxmlformats.org/officeDocument/2006/relationships/hyperlink" Target="mailto:felipebermeoq@hotmail.com" TargetMode="External"/><Relationship Id="rId76" Type="http://schemas.openxmlformats.org/officeDocument/2006/relationships/hyperlink" Target="mailto:nancymo91@hotmail.com" TargetMode="External"/><Relationship Id="rId7" Type="http://schemas.openxmlformats.org/officeDocument/2006/relationships/hyperlink" Target="mailto:vviniciomendez@gmail.com" TargetMode="External"/><Relationship Id="rId71" Type="http://schemas.openxmlformats.org/officeDocument/2006/relationships/hyperlink" Target="mailto:willamandreschillogalli@gmail.com" TargetMode="External"/><Relationship Id="rId2" Type="http://schemas.openxmlformats.org/officeDocument/2006/relationships/hyperlink" Target="mailto:edgars115@gmail.com" TargetMode="External"/><Relationship Id="rId29" Type="http://schemas.openxmlformats.org/officeDocument/2006/relationships/hyperlink" Target="mailto:lautarovt46@hot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antiago2217@icloud.com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mailto:gabrielledesma@hotmail.com" TargetMode="External"/><Relationship Id="rId7" Type="http://schemas.openxmlformats.org/officeDocument/2006/relationships/hyperlink" Target="mailto:jhaden0324@gmail.com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mailto:wwayra@sukasa.com" TargetMode="External"/><Relationship Id="rId1" Type="http://schemas.openxmlformats.org/officeDocument/2006/relationships/hyperlink" Target="mailto:fcal1961@hotmail.com" TargetMode="External"/><Relationship Id="rId6" Type="http://schemas.openxmlformats.org/officeDocument/2006/relationships/hyperlink" Target="mailto:jhaden0324@gmail.com" TargetMode="External"/><Relationship Id="rId11" Type="http://schemas.openxmlformats.org/officeDocument/2006/relationships/hyperlink" Target="mailto:freddyn@kywi.com.ec" TargetMode="External"/><Relationship Id="rId5" Type="http://schemas.openxmlformats.org/officeDocument/2006/relationships/hyperlink" Target="mailto:hiny2011@gmail.com" TargetMode="External"/><Relationship Id="rId10" Type="http://schemas.openxmlformats.org/officeDocument/2006/relationships/hyperlink" Target="mailto:ventas@comercialsolis.com.ec" TargetMode="External"/><Relationship Id="rId4" Type="http://schemas.openxmlformats.org/officeDocument/2006/relationships/hyperlink" Target="mailto:petatr@hotmail.com" TargetMode="External"/><Relationship Id="rId9" Type="http://schemas.openxmlformats.org/officeDocument/2006/relationships/hyperlink" Target="mailto:santiago2217@icloud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mailto:marthabcrespo@yahoo.com" TargetMode="External"/><Relationship Id="rId1" Type="http://schemas.openxmlformats.org/officeDocument/2006/relationships/hyperlink" Target="mailto:ruizbrayan65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ventas@comercialsolis.com.ec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petatr@hotmail.com" TargetMode="External"/><Relationship Id="rId13" Type="http://schemas.openxmlformats.org/officeDocument/2006/relationships/hyperlink" Target="mailto:vavj69@gmail.co" TargetMode="External"/><Relationship Id="rId18" Type="http://schemas.openxmlformats.org/officeDocument/2006/relationships/hyperlink" Target="mailto:valtodo@hotmail.com" TargetMode="External"/><Relationship Id="rId26" Type="http://schemas.openxmlformats.org/officeDocument/2006/relationships/hyperlink" Target="mailto:carmenugaldec@hotmail.com" TargetMode="External"/><Relationship Id="rId3" Type="http://schemas.openxmlformats.org/officeDocument/2006/relationships/hyperlink" Target="mailto:andrea123estef@gmail.com" TargetMode="External"/><Relationship Id="rId21" Type="http://schemas.openxmlformats.org/officeDocument/2006/relationships/hyperlink" Target="mailto:mjramirez29@gmail.com" TargetMode="External"/><Relationship Id="rId7" Type="http://schemas.openxmlformats.org/officeDocument/2006/relationships/hyperlink" Target="mailto:renerxs_01@hotmail.com" TargetMode="External"/><Relationship Id="rId12" Type="http://schemas.openxmlformats.org/officeDocument/2006/relationships/hyperlink" Target="mailto:patinoj58@gmail.com" TargetMode="External"/><Relationship Id="rId17" Type="http://schemas.openxmlformats.org/officeDocument/2006/relationships/hyperlink" Target="mailto:christiansalvador309@gmail.com" TargetMode="External"/><Relationship Id="rId25" Type="http://schemas.openxmlformats.org/officeDocument/2006/relationships/hyperlink" Target="mailto:cbravoor@gmail.com" TargetMode="External"/><Relationship Id="rId2" Type="http://schemas.openxmlformats.org/officeDocument/2006/relationships/hyperlink" Target="mailto:mariapesantez19@yahoo.com" TargetMode="External"/><Relationship Id="rId16" Type="http://schemas.openxmlformats.org/officeDocument/2006/relationships/hyperlink" Target="mailto:tableiros@hotmail.com" TargetMode="External"/><Relationship Id="rId20" Type="http://schemas.openxmlformats.org/officeDocument/2006/relationships/hyperlink" Target="mailto:isitamaria78@yahoo.com" TargetMode="External"/><Relationship Id="rId1" Type="http://schemas.openxmlformats.org/officeDocument/2006/relationships/hyperlink" Target="mailto:vviniciomendez@gmail.com" TargetMode="External"/><Relationship Id="rId6" Type="http://schemas.openxmlformats.org/officeDocument/2006/relationships/hyperlink" Target="mailto:cristy.25.bus@gmail.com" TargetMode="External"/><Relationship Id="rId11" Type="http://schemas.openxmlformats.org/officeDocument/2006/relationships/hyperlink" Target="mailto:julimontesinos@hotmail.com" TargetMode="External"/><Relationship Id="rId24" Type="http://schemas.openxmlformats.org/officeDocument/2006/relationships/hyperlink" Target="mailto:juli.09.ia@hotmail.com" TargetMode="External"/><Relationship Id="rId5" Type="http://schemas.openxmlformats.org/officeDocument/2006/relationships/hyperlink" Target="mailto:gcantos@outlook.com" TargetMode="External"/><Relationship Id="rId15" Type="http://schemas.openxmlformats.org/officeDocument/2006/relationships/hyperlink" Target="mailto:ximenita-fa@hotmail.com" TargetMode="External"/><Relationship Id="rId23" Type="http://schemas.openxmlformats.org/officeDocument/2006/relationships/hyperlink" Target="mailto:luisitoguzman13@yahoo.com" TargetMode="External"/><Relationship Id="rId28" Type="http://schemas.openxmlformats.org/officeDocument/2006/relationships/hyperlink" Target="mailto:xavi3131@hotmail.com" TargetMode="External"/><Relationship Id="rId10" Type="http://schemas.openxmlformats.org/officeDocument/2006/relationships/hyperlink" Target="mailto:azucenacrespopalacios@hotmail.com" TargetMode="External"/><Relationship Id="rId19" Type="http://schemas.openxmlformats.org/officeDocument/2006/relationships/hyperlink" Target="mailto:evemo33@gmail.com" TargetMode="External"/><Relationship Id="rId4" Type="http://schemas.openxmlformats.org/officeDocument/2006/relationships/hyperlink" Target="mailto:victorpoma203@gmail.com" TargetMode="External"/><Relationship Id="rId9" Type="http://schemas.openxmlformats.org/officeDocument/2006/relationships/hyperlink" Target="mailto:emilimu&#241;oz2502@gmail.com" TargetMode="External"/><Relationship Id="rId14" Type="http://schemas.openxmlformats.org/officeDocument/2006/relationships/hyperlink" Target="mailto:camillekc@yahoo.com" TargetMode="External"/><Relationship Id="rId22" Type="http://schemas.openxmlformats.org/officeDocument/2006/relationships/hyperlink" Target="mailto:mcardenas8a@gmail.com" TargetMode="External"/><Relationship Id="rId27" Type="http://schemas.openxmlformats.org/officeDocument/2006/relationships/hyperlink" Target="mailto:fcameney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V120"/>
  <sheetViews>
    <sheetView topLeftCell="A73" zoomScale="80" zoomScaleNormal="80" workbookViewId="0">
      <selection activeCell="L46" sqref="L46"/>
    </sheetView>
  </sheetViews>
  <sheetFormatPr baseColWidth="10" defaultRowHeight="15"/>
  <cols>
    <col min="1" max="2" width="11.6640625" bestFit="1" customWidth="1"/>
    <col min="4" max="4" width="11.6640625" bestFit="1" customWidth="1"/>
    <col min="5" max="5" width="18" customWidth="1"/>
    <col min="6" max="6" width="15.1640625" customWidth="1"/>
    <col min="7" max="7" width="11.1640625" bestFit="1" customWidth="1"/>
    <col min="8" max="8" width="11.6640625" bestFit="1" customWidth="1"/>
    <col min="11" max="11" width="14.5" customWidth="1"/>
    <col min="12" max="12" width="17.1640625" customWidth="1"/>
    <col min="13" max="13" width="11.6640625" bestFit="1" customWidth="1"/>
    <col min="14" max="14" width="12.83203125" bestFit="1" customWidth="1"/>
    <col min="15" max="15" width="11.6640625" bestFit="1" customWidth="1"/>
    <col min="16" max="16" width="23.1640625" customWidth="1"/>
    <col min="18" max="18" width="11.6640625" bestFit="1" customWidth="1"/>
    <col min="19" max="19" width="11.1640625" bestFit="1" customWidth="1"/>
    <col min="20" max="20" width="16.6640625" customWidth="1"/>
  </cols>
  <sheetData>
    <row r="3" spans="1:22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2" ht="16">
      <c r="A4" s="1"/>
      <c r="C4" s="10" t="s">
        <v>1</v>
      </c>
      <c r="E4" s="5"/>
      <c r="G4" s="11"/>
      <c r="H4" s="12"/>
      <c r="I4" s="13"/>
      <c r="J4" s="14" t="s">
        <v>23</v>
      </c>
      <c r="K4" s="12"/>
      <c r="L4" s="15"/>
      <c r="M4" s="16"/>
      <c r="N4" s="5" t="s">
        <v>99</v>
      </c>
      <c r="O4" s="9"/>
      <c r="P4" s="17"/>
    </row>
    <row r="5" spans="1:22" s="23" customFormat="1" ht="45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2" s="75" customFormat="1" ht="33" customHeight="1">
      <c r="A6" s="24">
        <v>1</v>
      </c>
      <c r="B6" s="25">
        <v>45439</v>
      </c>
      <c r="C6" s="26" t="s">
        <v>79</v>
      </c>
      <c r="D6" s="26" t="s">
        <v>105</v>
      </c>
      <c r="E6" s="27">
        <v>11104006</v>
      </c>
      <c r="F6" s="28" t="s">
        <v>106</v>
      </c>
      <c r="G6" s="29" t="s">
        <v>107</v>
      </c>
      <c r="H6" s="30" t="s">
        <v>42</v>
      </c>
      <c r="I6" s="26" t="s">
        <v>77</v>
      </c>
      <c r="J6" s="29" t="s">
        <v>78</v>
      </c>
      <c r="K6" s="31">
        <v>45434</v>
      </c>
      <c r="L6" s="32" t="s">
        <v>108</v>
      </c>
      <c r="M6" s="32" t="s">
        <v>109</v>
      </c>
      <c r="N6" s="29">
        <v>72255898</v>
      </c>
      <c r="O6" s="33">
        <v>15</v>
      </c>
      <c r="P6" s="26" t="s">
        <v>22</v>
      </c>
      <c r="Q6" s="26" t="s">
        <v>77</v>
      </c>
      <c r="R6" s="34"/>
      <c r="S6" s="26" t="s">
        <v>105</v>
      </c>
      <c r="T6" s="73">
        <v>102686839</v>
      </c>
      <c r="U6" s="154" t="s">
        <v>110</v>
      </c>
      <c r="V6" s="74"/>
    </row>
    <row r="7" spans="1:22" s="75" customFormat="1" ht="33" customHeight="1">
      <c r="A7" s="24">
        <v>2</v>
      </c>
      <c r="B7" s="25">
        <v>45439</v>
      </c>
      <c r="C7" s="26" t="s">
        <v>79</v>
      </c>
      <c r="D7" s="26" t="s">
        <v>105</v>
      </c>
      <c r="E7" s="27">
        <v>112580027</v>
      </c>
      <c r="F7" s="28" t="s">
        <v>88</v>
      </c>
      <c r="G7" s="29" t="s">
        <v>113</v>
      </c>
      <c r="H7" s="30" t="s">
        <v>42</v>
      </c>
      <c r="I7" s="26" t="s">
        <v>77</v>
      </c>
      <c r="J7" s="29" t="s">
        <v>78</v>
      </c>
      <c r="K7" s="31">
        <v>45434</v>
      </c>
      <c r="L7" s="32" t="s">
        <v>108</v>
      </c>
      <c r="M7" s="32" t="s">
        <v>109</v>
      </c>
      <c r="N7" s="29">
        <v>72255898</v>
      </c>
      <c r="O7" s="33">
        <v>15</v>
      </c>
      <c r="P7" s="26" t="s">
        <v>22</v>
      </c>
      <c r="Q7" s="26" t="s">
        <v>77</v>
      </c>
      <c r="R7" s="34"/>
      <c r="S7" s="26" t="s">
        <v>105</v>
      </c>
      <c r="T7" s="73">
        <v>102686839</v>
      </c>
      <c r="U7" s="154" t="s">
        <v>110</v>
      </c>
      <c r="V7" s="155"/>
    </row>
    <row r="8" spans="1:22" s="75" customFormat="1" ht="33" customHeight="1">
      <c r="A8" s="24">
        <v>3</v>
      </c>
      <c r="B8" s="25">
        <v>45439</v>
      </c>
      <c r="C8" s="26" t="s">
        <v>79</v>
      </c>
      <c r="D8" s="26" t="s">
        <v>105</v>
      </c>
      <c r="E8" s="27">
        <v>40467320</v>
      </c>
      <c r="F8" s="28" t="s">
        <v>111</v>
      </c>
      <c r="G8" s="29" t="s">
        <v>114</v>
      </c>
      <c r="H8" s="30" t="s">
        <v>42</v>
      </c>
      <c r="I8" s="26" t="s">
        <v>77</v>
      </c>
      <c r="J8" s="29" t="s">
        <v>78</v>
      </c>
      <c r="K8" s="31">
        <v>45434</v>
      </c>
      <c r="L8" s="32" t="s">
        <v>108</v>
      </c>
      <c r="M8" s="32" t="s">
        <v>109</v>
      </c>
      <c r="N8" s="29">
        <v>72255898</v>
      </c>
      <c r="O8" s="33">
        <v>15</v>
      </c>
      <c r="P8" s="26" t="s">
        <v>22</v>
      </c>
      <c r="Q8" s="26" t="s">
        <v>77</v>
      </c>
      <c r="R8" s="34"/>
      <c r="S8" s="26" t="s">
        <v>105</v>
      </c>
      <c r="T8" s="73">
        <v>102686839</v>
      </c>
      <c r="U8" s="154" t="s">
        <v>110</v>
      </c>
      <c r="V8" s="155"/>
    </row>
    <row r="9" spans="1:22" s="75" customFormat="1" ht="33" customHeight="1">
      <c r="A9" s="24">
        <v>4</v>
      </c>
      <c r="B9" s="25">
        <v>45439</v>
      </c>
      <c r="C9" s="26" t="s">
        <v>79</v>
      </c>
      <c r="D9" s="26" t="s">
        <v>105</v>
      </c>
      <c r="E9" s="27">
        <v>113430018</v>
      </c>
      <c r="F9" s="28" t="s">
        <v>112</v>
      </c>
      <c r="G9" s="29" t="s">
        <v>115</v>
      </c>
      <c r="H9" s="30" t="s">
        <v>42</v>
      </c>
      <c r="I9" s="26" t="s">
        <v>77</v>
      </c>
      <c r="J9" s="29" t="s">
        <v>78</v>
      </c>
      <c r="K9" s="31">
        <v>45434</v>
      </c>
      <c r="L9" s="32" t="s">
        <v>108</v>
      </c>
      <c r="M9" s="32" t="s">
        <v>109</v>
      </c>
      <c r="N9" s="29">
        <v>72255898</v>
      </c>
      <c r="O9" s="33">
        <v>15</v>
      </c>
      <c r="P9" s="26" t="s">
        <v>22</v>
      </c>
      <c r="Q9" s="26" t="s">
        <v>77</v>
      </c>
      <c r="R9" s="34"/>
      <c r="S9" s="26" t="s">
        <v>105</v>
      </c>
      <c r="T9" s="73">
        <v>102686839</v>
      </c>
      <c r="U9" s="154" t="s">
        <v>110</v>
      </c>
      <c r="V9" s="155"/>
    </row>
    <row r="10" spans="1:22" s="75" customFormat="1" ht="33" customHeight="1">
      <c r="A10" s="24">
        <v>5</v>
      </c>
      <c r="B10" s="25">
        <v>45148</v>
      </c>
      <c r="C10" s="26" t="s">
        <v>79</v>
      </c>
      <c r="D10" s="26" t="s">
        <v>116</v>
      </c>
      <c r="E10" s="27">
        <v>112570125</v>
      </c>
      <c r="F10" s="28" t="s">
        <v>117</v>
      </c>
      <c r="G10" s="29" t="s">
        <v>118</v>
      </c>
      <c r="H10" s="30">
        <v>398061</v>
      </c>
      <c r="I10" s="26" t="s">
        <v>77</v>
      </c>
      <c r="J10" s="29" t="s">
        <v>78</v>
      </c>
      <c r="K10" s="31">
        <v>45434</v>
      </c>
      <c r="L10" s="32" t="s">
        <v>119</v>
      </c>
      <c r="M10" s="32" t="s">
        <v>120</v>
      </c>
      <c r="N10" s="29">
        <v>992524121</v>
      </c>
      <c r="O10" s="33">
        <v>20</v>
      </c>
      <c r="P10" s="26" t="s">
        <v>22</v>
      </c>
      <c r="Q10" s="26" t="s">
        <v>77</v>
      </c>
      <c r="R10" s="34"/>
      <c r="S10" s="26" t="s">
        <v>116</v>
      </c>
      <c r="T10" s="154">
        <v>101219202</v>
      </c>
      <c r="U10" s="154" t="s">
        <v>121</v>
      </c>
      <c r="V10" s="155"/>
    </row>
    <row r="11" spans="1:22" s="75" customFormat="1" ht="33" customHeight="1">
      <c r="A11" s="24">
        <v>6</v>
      </c>
      <c r="B11" s="25">
        <v>45296</v>
      </c>
      <c r="C11" s="26" t="s">
        <v>98</v>
      </c>
      <c r="D11" s="26" t="s">
        <v>122</v>
      </c>
      <c r="E11" s="27">
        <v>111030002</v>
      </c>
      <c r="F11" s="28" t="s">
        <v>123</v>
      </c>
      <c r="G11" s="29" t="s">
        <v>124</v>
      </c>
      <c r="H11" s="30">
        <v>412215</v>
      </c>
      <c r="I11" s="26" t="s">
        <v>77</v>
      </c>
      <c r="J11" s="29" t="s">
        <v>78</v>
      </c>
      <c r="K11" s="31">
        <v>45434</v>
      </c>
      <c r="L11" s="32" t="s">
        <v>119</v>
      </c>
      <c r="M11" s="32" t="s">
        <v>120</v>
      </c>
      <c r="N11" s="29">
        <v>992524121</v>
      </c>
      <c r="O11" s="33">
        <v>20</v>
      </c>
      <c r="P11" s="26" t="s">
        <v>22</v>
      </c>
      <c r="Q11" s="26" t="s">
        <v>77</v>
      </c>
      <c r="R11" s="34"/>
      <c r="S11" s="26" t="s">
        <v>122</v>
      </c>
      <c r="T11" s="154">
        <v>101219202</v>
      </c>
      <c r="U11" s="154" t="s">
        <v>121</v>
      </c>
      <c r="V11" s="155"/>
    </row>
    <row r="12" spans="1:22" s="75" customFormat="1" ht="33" customHeight="1">
      <c r="A12" s="24">
        <v>7</v>
      </c>
      <c r="B12" s="25">
        <v>45322</v>
      </c>
      <c r="C12" s="26" t="s">
        <v>95</v>
      </c>
      <c r="D12" s="26" t="s">
        <v>132</v>
      </c>
      <c r="E12" s="27">
        <v>111000051</v>
      </c>
      <c r="F12" s="28" t="s">
        <v>133</v>
      </c>
      <c r="G12" s="29" t="s">
        <v>134</v>
      </c>
      <c r="H12" s="30">
        <v>416228</v>
      </c>
      <c r="I12" s="26" t="s">
        <v>77</v>
      </c>
      <c r="J12" s="29" t="s">
        <v>78</v>
      </c>
      <c r="K12" s="31">
        <v>45435</v>
      </c>
      <c r="L12" s="32" t="s">
        <v>137</v>
      </c>
      <c r="M12" s="32" t="s">
        <v>138</v>
      </c>
      <c r="N12" s="29">
        <v>2887920</v>
      </c>
      <c r="O12" s="33">
        <v>15</v>
      </c>
      <c r="P12" s="26" t="s">
        <v>22</v>
      </c>
      <c r="Q12" s="26" t="s">
        <v>77</v>
      </c>
      <c r="R12" s="34"/>
      <c r="S12" s="26" t="s">
        <v>132</v>
      </c>
      <c r="T12" s="73">
        <v>104080577</v>
      </c>
      <c r="U12" s="154" t="s">
        <v>139</v>
      </c>
      <c r="V12" s="155"/>
    </row>
    <row r="13" spans="1:22" s="75" customFormat="1" ht="33" customHeight="1">
      <c r="A13" s="24">
        <v>8</v>
      </c>
      <c r="B13" s="25">
        <v>45322</v>
      </c>
      <c r="C13" s="26" t="s">
        <v>95</v>
      </c>
      <c r="D13" s="26" t="s">
        <v>132</v>
      </c>
      <c r="E13" s="27">
        <v>40584305</v>
      </c>
      <c r="F13" s="28" t="s">
        <v>135</v>
      </c>
      <c r="G13" s="29" t="s">
        <v>136</v>
      </c>
      <c r="H13" s="30">
        <v>416233</v>
      </c>
      <c r="I13" s="26" t="s">
        <v>77</v>
      </c>
      <c r="J13" s="29" t="s">
        <v>78</v>
      </c>
      <c r="K13" s="31">
        <v>45435</v>
      </c>
      <c r="L13" s="32" t="s">
        <v>137</v>
      </c>
      <c r="M13" s="32" t="s">
        <v>138</v>
      </c>
      <c r="N13" s="29">
        <v>2887920</v>
      </c>
      <c r="O13" s="33">
        <v>15</v>
      </c>
      <c r="P13" s="26" t="s">
        <v>22</v>
      </c>
      <c r="Q13" s="26" t="s">
        <v>77</v>
      </c>
      <c r="R13" s="34"/>
      <c r="S13" s="26" t="s">
        <v>132</v>
      </c>
      <c r="T13" s="73">
        <v>104080577</v>
      </c>
      <c r="U13" s="154" t="s">
        <v>139</v>
      </c>
      <c r="V13" s="155"/>
    </row>
    <row r="14" spans="1:22" s="75" customFormat="1" ht="33" customHeight="1">
      <c r="A14" s="24">
        <v>9</v>
      </c>
      <c r="B14" s="25">
        <v>45357</v>
      </c>
      <c r="C14" s="26" t="s">
        <v>79</v>
      </c>
      <c r="D14" s="26" t="s">
        <v>140</v>
      </c>
      <c r="E14" s="27">
        <v>112570211</v>
      </c>
      <c r="F14" s="28" t="s">
        <v>141</v>
      </c>
      <c r="G14" s="29" t="s">
        <v>142</v>
      </c>
      <c r="H14" s="30" t="s">
        <v>42</v>
      </c>
      <c r="I14" s="26" t="s">
        <v>77</v>
      </c>
      <c r="J14" s="29" t="s">
        <v>78</v>
      </c>
      <c r="K14" s="31">
        <v>45435</v>
      </c>
      <c r="L14" s="32" t="s">
        <v>137</v>
      </c>
      <c r="M14" s="32" t="s">
        <v>138</v>
      </c>
      <c r="N14" s="29">
        <v>2887920</v>
      </c>
      <c r="O14" s="33">
        <v>15</v>
      </c>
      <c r="P14" s="26" t="s">
        <v>22</v>
      </c>
      <c r="Q14" s="26" t="s">
        <v>77</v>
      </c>
      <c r="R14" s="34"/>
      <c r="S14" s="26" t="s">
        <v>140</v>
      </c>
      <c r="T14" s="73">
        <v>104080577</v>
      </c>
      <c r="U14" s="154" t="s">
        <v>139</v>
      </c>
      <c r="V14" s="155"/>
    </row>
    <row r="15" spans="1:22" s="75" customFormat="1" ht="33" customHeight="1">
      <c r="A15" s="24">
        <v>10</v>
      </c>
      <c r="B15" s="25">
        <v>45392</v>
      </c>
      <c r="C15" s="26" t="s">
        <v>143</v>
      </c>
      <c r="D15" s="26" t="s">
        <v>152</v>
      </c>
      <c r="E15" s="27">
        <v>112570068</v>
      </c>
      <c r="F15" s="28" t="s">
        <v>145</v>
      </c>
      <c r="G15" s="29" t="s">
        <v>147</v>
      </c>
      <c r="H15" s="30" t="s">
        <v>42</v>
      </c>
      <c r="I15" s="26" t="s">
        <v>77</v>
      </c>
      <c r="J15" s="29" t="s">
        <v>78</v>
      </c>
      <c r="K15" s="31">
        <v>45435</v>
      </c>
      <c r="L15" s="32" t="s">
        <v>149</v>
      </c>
      <c r="M15" s="32" t="s">
        <v>150</v>
      </c>
      <c r="N15" s="29">
        <v>992819130</v>
      </c>
      <c r="O15" s="33">
        <v>15</v>
      </c>
      <c r="P15" s="26" t="s">
        <v>22</v>
      </c>
      <c r="Q15" s="26" t="s">
        <v>77</v>
      </c>
      <c r="R15" s="34"/>
      <c r="S15" s="26" t="s">
        <v>152</v>
      </c>
      <c r="T15" s="73">
        <v>100820992</v>
      </c>
      <c r="U15" s="154" t="s">
        <v>151</v>
      </c>
      <c r="V15" s="155"/>
    </row>
    <row r="16" spans="1:22" s="75" customFormat="1" ht="33" customHeight="1">
      <c r="A16" s="24">
        <v>11</v>
      </c>
      <c r="B16" s="25">
        <v>45392</v>
      </c>
      <c r="C16" s="26" t="s">
        <v>143</v>
      </c>
      <c r="D16" s="26" t="s">
        <v>152</v>
      </c>
      <c r="E16" s="27">
        <v>113430016</v>
      </c>
      <c r="F16" s="28" t="s">
        <v>146</v>
      </c>
      <c r="G16" s="29" t="s">
        <v>148</v>
      </c>
      <c r="H16" s="30" t="s">
        <v>42</v>
      </c>
      <c r="I16" s="26" t="s">
        <v>77</v>
      </c>
      <c r="J16" s="29" t="s">
        <v>78</v>
      </c>
      <c r="K16" s="31">
        <v>45435</v>
      </c>
      <c r="L16" s="32" t="s">
        <v>149</v>
      </c>
      <c r="M16" s="32" t="s">
        <v>150</v>
      </c>
      <c r="N16" s="29">
        <v>992819130</v>
      </c>
      <c r="O16" s="33">
        <v>15</v>
      </c>
      <c r="P16" s="26" t="s">
        <v>22</v>
      </c>
      <c r="Q16" s="26" t="s">
        <v>77</v>
      </c>
      <c r="R16" s="34"/>
      <c r="S16" s="26" t="s">
        <v>152</v>
      </c>
      <c r="T16" s="73">
        <v>100820992</v>
      </c>
      <c r="U16" s="154" t="s">
        <v>151</v>
      </c>
      <c r="V16" s="155"/>
    </row>
    <row r="17" spans="1:22" s="75" customFormat="1" ht="33" customHeight="1">
      <c r="A17" s="24">
        <v>12</v>
      </c>
      <c r="B17" s="25">
        <v>45379</v>
      </c>
      <c r="C17" s="26" t="s">
        <v>143</v>
      </c>
      <c r="D17" s="26" t="s">
        <v>144</v>
      </c>
      <c r="E17" s="27">
        <v>111000051</v>
      </c>
      <c r="F17" s="28" t="s">
        <v>133</v>
      </c>
      <c r="G17" s="29" t="s">
        <v>154</v>
      </c>
      <c r="H17" s="30" t="s">
        <v>42</v>
      </c>
      <c r="I17" s="26" t="s">
        <v>77</v>
      </c>
      <c r="J17" s="29" t="s">
        <v>78</v>
      </c>
      <c r="K17" s="31">
        <v>45435</v>
      </c>
      <c r="L17" s="32" t="s">
        <v>149</v>
      </c>
      <c r="M17" s="32" t="s">
        <v>150</v>
      </c>
      <c r="N17" s="29">
        <v>992819130</v>
      </c>
      <c r="O17" s="33">
        <v>15</v>
      </c>
      <c r="P17" s="26" t="s">
        <v>22</v>
      </c>
      <c r="Q17" s="26" t="s">
        <v>77</v>
      </c>
      <c r="R17" s="34"/>
      <c r="S17" s="26" t="s">
        <v>144</v>
      </c>
      <c r="T17" s="73">
        <v>100820992</v>
      </c>
      <c r="U17" s="154" t="s">
        <v>151</v>
      </c>
      <c r="V17" s="155"/>
    </row>
    <row r="18" spans="1:22" s="75" customFormat="1" ht="33" customHeight="1">
      <c r="A18" s="24">
        <v>13</v>
      </c>
      <c r="B18" s="25">
        <v>45379</v>
      </c>
      <c r="C18" s="26" t="s">
        <v>143</v>
      </c>
      <c r="D18" s="26" t="s">
        <v>144</v>
      </c>
      <c r="E18" s="27">
        <v>112950021</v>
      </c>
      <c r="F18" s="28" t="s">
        <v>153</v>
      </c>
      <c r="G18" s="29" t="s">
        <v>155</v>
      </c>
      <c r="H18" s="30" t="s">
        <v>42</v>
      </c>
      <c r="I18" s="26" t="s">
        <v>77</v>
      </c>
      <c r="J18" s="29" t="s">
        <v>78</v>
      </c>
      <c r="K18" s="31">
        <v>45435</v>
      </c>
      <c r="L18" s="32" t="s">
        <v>149</v>
      </c>
      <c r="M18" s="32" t="s">
        <v>150</v>
      </c>
      <c r="N18" s="29">
        <v>992819130</v>
      </c>
      <c r="O18" s="33">
        <v>15</v>
      </c>
      <c r="P18" s="26" t="s">
        <v>22</v>
      </c>
      <c r="Q18" s="26" t="s">
        <v>77</v>
      </c>
      <c r="R18" s="34"/>
      <c r="S18" s="26" t="s">
        <v>144</v>
      </c>
      <c r="T18" s="73">
        <v>100820992</v>
      </c>
      <c r="U18" s="154" t="s">
        <v>151</v>
      </c>
      <c r="V18" s="155"/>
    </row>
    <row r="19" spans="1:22" s="75" customFormat="1" ht="33" customHeight="1">
      <c r="A19" s="24">
        <v>14</v>
      </c>
      <c r="B19" s="25">
        <v>45353</v>
      </c>
      <c r="C19" s="26" t="s">
        <v>79</v>
      </c>
      <c r="D19" s="26" t="s">
        <v>156</v>
      </c>
      <c r="E19" s="27">
        <v>112570126</v>
      </c>
      <c r="F19" s="28" t="s">
        <v>157</v>
      </c>
      <c r="G19" s="29" t="s">
        <v>158</v>
      </c>
      <c r="H19" s="30">
        <v>421600</v>
      </c>
      <c r="I19" s="26" t="s">
        <v>77</v>
      </c>
      <c r="J19" s="29" t="s">
        <v>78</v>
      </c>
      <c r="K19" s="31">
        <v>45436</v>
      </c>
      <c r="L19" s="32" t="s">
        <v>166</v>
      </c>
      <c r="M19" s="32" t="s">
        <v>167</v>
      </c>
      <c r="N19" s="29">
        <v>993096851</v>
      </c>
      <c r="O19" s="33">
        <v>15</v>
      </c>
      <c r="P19" s="26" t="s">
        <v>22</v>
      </c>
      <c r="Q19" s="26" t="s">
        <v>77</v>
      </c>
      <c r="R19" s="34"/>
      <c r="S19" s="26" t="s">
        <v>156</v>
      </c>
      <c r="T19" s="73">
        <v>102298866</v>
      </c>
      <c r="U19" s="154" t="s">
        <v>168</v>
      </c>
      <c r="V19" s="155"/>
    </row>
    <row r="20" spans="1:22" s="75" customFormat="1" ht="33" customHeight="1">
      <c r="A20" s="24">
        <v>15</v>
      </c>
      <c r="B20" s="25">
        <v>45353</v>
      </c>
      <c r="C20" s="26" t="s">
        <v>79</v>
      </c>
      <c r="D20" s="26" t="s">
        <v>156</v>
      </c>
      <c r="E20" s="27">
        <v>111000050</v>
      </c>
      <c r="F20" s="28" t="s">
        <v>160</v>
      </c>
      <c r="G20" s="29" t="s">
        <v>163</v>
      </c>
      <c r="H20" s="30">
        <v>380598</v>
      </c>
      <c r="I20" s="26" t="s">
        <v>77</v>
      </c>
      <c r="J20" s="29" t="s">
        <v>78</v>
      </c>
      <c r="K20" s="31">
        <v>45436</v>
      </c>
      <c r="L20" s="32" t="s">
        <v>166</v>
      </c>
      <c r="M20" s="32" t="s">
        <v>167</v>
      </c>
      <c r="N20" s="29">
        <v>993096851</v>
      </c>
      <c r="O20" s="33">
        <v>15</v>
      </c>
      <c r="P20" s="26" t="s">
        <v>22</v>
      </c>
      <c r="Q20" s="26" t="s">
        <v>77</v>
      </c>
      <c r="R20" s="34"/>
      <c r="S20" s="26" t="s">
        <v>156</v>
      </c>
      <c r="T20" s="73">
        <v>102298866</v>
      </c>
      <c r="U20" s="154" t="s">
        <v>168</v>
      </c>
      <c r="V20" s="155"/>
    </row>
    <row r="21" spans="1:22" s="75" customFormat="1" ht="33" customHeight="1">
      <c r="A21" s="24">
        <v>16</v>
      </c>
      <c r="B21" s="25">
        <v>45353</v>
      </c>
      <c r="C21" s="26" t="s">
        <v>79</v>
      </c>
      <c r="D21" s="26" t="s">
        <v>156</v>
      </c>
      <c r="E21" s="27">
        <v>112930023</v>
      </c>
      <c r="F21" s="28" t="s">
        <v>161</v>
      </c>
      <c r="G21" s="29" t="s">
        <v>165</v>
      </c>
      <c r="H21" s="30" t="s">
        <v>42</v>
      </c>
      <c r="I21" s="26" t="s">
        <v>77</v>
      </c>
      <c r="J21" s="29" t="s">
        <v>78</v>
      </c>
      <c r="K21" s="31">
        <v>45436</v>
      </c>
      <c r="L21" s="32" t="s">
        <v>166</v>
      </c>
      <c r="M21" s="32" t="s">
        <v>167</v>
      </c>
      <c r="N21" s="29">
        <v>993096851</v>
      </c>
      <c r="O21" s="33">
        <v>15</v>
      </c>
      <c r="P21" s="26" t="s">
        <v>22</v>
      </c>
      <c r="Q21" s="26" t="s">
        <v>77</v>
      </c>
      <c r="R21" s="34"/>
      <c r="S21" s="26" t="s">
        <v>156</v>
      </c>
      <c r="T21" s="73">
        <v>102298866</v>
      </c>
      <c r="U21" s="154" t="s">
        <v>168</v>
      </c>
      <c r="V21" s="155"/>
    </row>
    <row r="22" spans="1:22" s="75" customFormat="1" ht="33" customHeight="1">
      <c r="A22" s="24">
        <v>17</v>
      </c>
      <c r="B22" s="25">
        <v>45372</v>
      </c>
      <c r="C22" s="26" t="s">
        <v>79</v>
      </c>
      <c r="D22" s="26" t="s">
        <v>159</v>
      </c>
      <c r="E22" s="27">
        <v>40584202</v>
      </c>
      <c r="F22" s="28" t="s">
        <v>162</v>
      </c>
      <c r="G22" s="29" t="s">
        <v>164</v>
      </c>
      <c r="H22" s="30">
        <v>408328</v>
      </c>
      <c r="I22" s="26" t="s">
        <v>77</v>
      </c>
      <c r="J22" s="29" t="s">
        <v>78</v>
      </c>
      <c r="K22" s="31">
        <v>45436</v>
      </c>
      <c r="L22" s="32" t="s">
        <v>166</v>
      </c>
      <c r="M22" s="32" t="s">
        <v>167</v>
      </c>
      <c r="N22" s="29">
        <v>993096851</v>
      </c>
      <c r="O22" s="33">
        <v>15</v>
      </c>
      <c r="P22" s="26" t="s">
        <v>22</v>
      </c>
      <c r="Q22" s="26" t="s">
        <v>77</v>
      </c>
      <c r="R22" s="34"/>
      <c r="S22" s="26" t="s">
        <v>159</v>
      </c>
      <c r="T22" s="73">
        <v>102298866</v>
      </c>
      <c r="U22" s="154" t="s">
        <v>168</v>
      </c>
      <c r="V22" s="155"/>
    </row>
    <row r="23" spans="1:22" s="75" customFormat="1" ht="33" customHeight="1">
      <c r="A23" s="24">
        <v>18</v>
      </c>
      <c r="B23" s="25">
        <v>45183</v>
      </c>
      <c r="C23" s="26" t="s">
        <v>79</v>
      </c>
      <c r="D23" s="26" t="s">
        <v>175</v>
      </c>
      <c r="E23" s="27">
        <v>111000051</v>
      </c>
      <c r="F23" s="28" t="s">
        <v>133</v>
      </c>
      <c r="G23" s="29" t="s">
        <v>170</v>
      </c>
      <c r="H23" s="30" t="s">
        <v>42</v>
      </c>
      <c r="I23" s="26" t="s">
        <v>77</v>
      </c>
      <c r="J23" s="29" t="s">
        <v>78</v>
      </c>
      <c r="K23" s="31">
        <v>45438</v>
      </c>
      <c r="L23" s="32" t="s">
        <v>172</v>
      </c>
      <c r="M23" s="32" t="s">
        <v>173</v>
      </c>
      <c r="N23" s="29">
        <v>998676831</v>
      </c>
      <c r="O23" s="33">
        <v>15</v>
      </c>
      <c r="P23" s="26" t="s">
        <v>22</v>
      </c>
      <c r="Q23" s="26" t="s">
        <v>77</v>
      </c>
      <c r="R23" s="34"/>
      <c r="S23" s="26" t="s">
        <v>175</v>
      </c>
      <c r="T23" s="73">
        <v>100799238</v>
      </c>
      <c r="U23" s="154" t="s">
        <v>174</v>
      </c>
      <c r="V23" s="155"/>
    </row>
    <row r="24" spans="1:22" s="75" customFormat="1" ht="33" customHeight="1">
      <c r="A24" s="24">
        <v>19</v>
      </c>
      <c r="B24" s="25">
        <v>45183</v>
      </c>
      <c r="C24" s="26" t="s">
        <v>79</v>
      </c>
      <c r="D24" s="26" t="s">
        <v>175</v>
      </c>
      <c r="E24" s="27">
        <v>112580027</v>
      </c>
      <c r="F24" s="28" t="s">
        <v>169</v>
      </c>
      <c r="G24" s="29" t="s">
        <v>171</v>
      </c>
      <c r="H24" s="30" t="s">
        <v>42</v>
      </c>
      <c r="I24" s="26" t="s">
        <v>77</v>
      </c>
      <c r="J24" s="29" t="s">
        <v>78</v>
      </c>
      <c r="K24" s="31">
        <v>45438</v>
      </c>
      <c r="L24" s="32" t="s">
        <v>172</v>
      </c>
      <c r="M24" s="32" t="s">
        <v>173</v>
      </c>
      <c r="N24" s="29">
        <v>998676831</v>
      </c>
      <c r="O24" s="33">
        <v>15</v>
      </c>
      <c r="P24" s="26" t="s">
        <v>22</v>
      </c>
      <c r="Q24" s="26" t="s">
        <v>77</v>
      </c>
      <c r="R24" s="34"/>
      <c r="S24" s="26" t="s">
        <v>175</v>
      </c>
      <c r="T24" s="73">
        <v>100799238</v>
      </c>
      <c r="U24" s="154" t="s">
        <v>174</v>
      </c>
      <c r="V24" s="155"/>
    </row>
    <row r="25" spans="1:22" s="75" customFormat="1" ht="33" customHeight="1">
      <c r="A25" s="24">
        <v>20</v>
      </c>
      <c r="B25" s="25">
        <v>45183</v>
      </c>
      <c r="C25" s="26" t="s">
        <v>79</v>
      </c>
      <c r="D25" s="26" t="s">
        <v>176</v>
      </c>
      <c r="E25" s="27">
        <v>113430016</v>
      </c>
      <c r="F25" s="28" t="s">
        <v>146</v>
      </c>
      <c r="G25" s="29" t="s">
        <v>177</v>
      </c>
      <c r="H25" s="30" t="s">
        <v>42</v>
      </c>
      <c r="I25" s="26" t="s">
        <v>77</v>
      </c>
      <c r="J25" s="29" t="s">
        <v>78</v>
      </c>
      <c r="K25" s="31">
        <v>45438</v>
      </c>
      <c r="L25" s="32" t="s">
        <v>172</v>
      </c>
      <c r="M25" s="32" t="s">
        <v>173</v>
      </c>
      <c r="N25" s="29">
        <v>998676831</v>
      </c>
      <c r="O25" s="33">
        <v>15</v>
      </c>
      <c r="P25" s="26" t="s">
        <v>22</v>
      </c>
      <c r="Q25" s="26" t="s">
        <v>77</v>
      </c>
      <c r="R25" s="34"/>
      <c r="S25" s="26" t="s">
        <v>176</v>
      </c>
      <c r="T25" s="73">
        <v>100799238</v>
      </c>
      <c r="U25" s="154" t="s">
        <v>174</v>
      </c>
      <c r="V25" s="155"/>
    </row>
    <row r="26" spans="1:22" s="75" customFormat="1" ht="33" customHeight="1">
      <c r="A26" s="24">
        <v>21</v>
      </c>
      <c r="B26" s="25">
        <v>45183</v>
      </c>
      <c r="C26" s="26" t="s">
        <v>79</v>
      </c>
      <c r="D26" s="26" t="s">
        <v>178</v>
      </c>
      <c r="E26" s="27">
        <v>40584202</v>
      </c>
      <c r="F26" s="28" t="s">
        <v>162</v>
      </c>
      <c r="G26" s="29" t="s">
        <v>179</v>
      </c>
      <c r="H26" s="30" t="s">
        <v>42</v>
      </c>
      <c r="I26" s="26" t="s">
        <v>77</v>
      </c>
      <c r="J26" s="29" t="s">
        <v>78</v>
      </c>
      <c r="K26" s="31">
        <v>45438</v>
      </c>
      <c r="L26" s="32" t="s">
        <v>172</v>
      </c>
      <c r="M26" s="32" t="s">
        <v>173</v>
      </c>
      <c r="N26" s="29">
        <v>998676831</v>
      </c>
      <c r="O26" s="33">
        <v>15</v>
      </c>
      <c r="P26" s="26" t="s">
        <v>22</v>
      </c>
      <c r="Q26" s="26" t="s">
        <v>77</v>
      </c>
      <c r="R26" s="34"/>
      <c r="S26" s="26" t="s">
        <v>178</v>
      </c>
      <c r="T26" s="73">
        <v>100799238</v>
      </c>
      <c r="U26" s="154" t="s">
        <v>174</v>
      </c>
      <c r="V26" s="155"/>
    </row>
    <row r="27" spans="1:22" s="75" customFormat="1" ht="33" customHeight="1">
      <c r="A27" s="24">
        <v>22</v>
      </c>
      <c r="B27" s="25">
        <v>45254</v>
      </c>
      <c r="C27" s="26" t="s">
        <v>95</v>
      </c>
      <c r="D27" s="26" t="s">
        <v>180</v>
      </c>
      <c r="E27" s="27">
        <v>112570128</v>
      </c>
      <c r="F27" s="28" t="s">
        <v>181</v>
      </c>
      <c r="G27" s="29" t="s">
        <v>182</v>
      </c>
      <c r="H27" s="30" t="s">
        <v>42</v>
      </c>
      <c r="I27" s="26" t="s">
        <v>77</v>
      </c>
      <c r="J27" s="29" t="s">
        <v>78</v>
      </c>
      <c r="K27" s="31">
        <v>45439</v>
      </c>
      <c r="L27" s="32" t="s">
        <v>183</v>
      </c>
      <c r="M27" s="32" t="s">
        <v>184</v>
      </c>
      <c r="N27" s="29">
        <v>958651182</v>
      </c>
      <c r="O27" s="33">
        <v>15</v>
      </c>
      <c r="P27" s="26" t="s">
        <v>22</v>
      </c>
      <c r="Q27" s="26" t="s">
        <v>77</v>
      </c>
      <c r="R27" s="34"/>
      <c r="S27" s="26" t="s">
        <v>180</v>
      </c>
      <c r="T27" s="73">
        <v>152122867</v>
      </c>
      <c r="U27" s="154" t="s">
        <v>185</v>
      </c>
      <c r="V27" s="155"/>
    </row>
    <row r="28" spans="1:22" s="75" customFormat="1" ht="33" customHeight="1">
      <c r="A28" s="24">
        <v>23</v>
      </c>
      <c r="B28" s="25">
        <v>45254</v>
      </c>
      <c r="C28" s="26" t="s">
        <v>95</v>
      </c>
      <c r="D28" s="26" t="s">
        <v>180</v>
      </c>
      <c r="E28" s="27">
        <v>40584202</v>
      </c>
      <c r="F28" s="28" t="s">
        <v>162</v>
      </c>
      <c r="G28" s="29" t="s">
        <v>186</v>
      </c>
      <c r="H28" s="30" t="s">
        <v>42</v>
      </c>
      <c r="I28" s="26" t="s">
        <v>77</v>
      </c>
      <c r="J28" s="29" t="s">
        <v>78</v>
      </c>
      <c r="K28" s="31">
        <v>45439</v>
      </c>
      <c r="L28" s="32" t="s">
        <v>183</v>
      </c>
      <c r="M28" s="32" t="s">
        <v>184</v>
      </c>
      <c r="N28" s="29">
        <v>958651182</v>
      </c>
      <c r="O28" s="33">
        <v>15</v>
      </c>
      <c r="P28" s="26" t="s">
        <v>22</v>
      </c>
      <c r="Q28" s="26" t="s">
        <v>77</v>
      </c>
      <c r="R28" s="34"/>
      <c r="S28" s="26" t="s">
        <v>180</v>
      </c>
      <c r="T28" s="73">
        <v>152122867</v>
      </c>
      <c r="U28" s="154" t="s">
        <v>185</v>
      </c>
      <c r="V28" s="155"/>
    </row>
    <row r="29" spans="1:22" s="75" customFormat="1" ht="33" customHeight="1">
      <c r="A29" s="24">
        <v>24</v>
      </c>
      <c r="B29" s="25">
        <v>45254</v>
      </c>
      <c r="C29" s="26" t="s">
        <v>95</v>
      </c>
      <c r="D29" s="26" t="s">
        <v>180</v>
      </c>
      <c r="E29" s="27">
        <v>41560074</v>
      </c>
      <c r="F29" s="28" t="s">
        <v>187</v>
      </c>
      <c r="G29" s="29" t="s">
        <v>188</v>
      </c>
      <c r="H29" s="30" t="s">
        <v>42</v>
      </c>
      <c r="I29" s="26" t="s">
        <v>77</v>
      </c>
      <c r="J29" s="29" t="s">
        <v>78</v>
      </c>
      <c r="K29" s="31">
        <v>45439</v>
      </c>
      <c r="L29" s="32" t="s">
        <v>183</v>
      </c>
      <c r="M29" s="32" t="s">
        <v>184</v>
      </c>
      <c r="N29" s="29">
        <v>958651182</v>
      </c>
      <c r="O29" s="33">
        <v>15</v>
      </c>
      <c r="P29" s="26" t="s">
        <v>22</v>
      </c>
      <c r="Q29" s="26" t="s">
        <v>77</v>
      </c>
      <c r="R29" s="34"/>
      <c r="S29" s="26" t="s">
        <v>180</v>
      </c>
      <c r="T29" s="73">
        <v>152122867</v>
      </c>
      <c r="U29" s="154" t="s">
        <v>185</v>
      </c>
      <c r="V29" s="155"/>
    </row>
    <row r="30" spans="1:22" s="75" customFormat="1" ht="33" customHeight="1">
      <c r="A30" s="24">
        <v>25</v>
      </c>
      <c r="B30" s="25">
        <v>45339</v>
      </c>
      <c r="C30" s="26" t="s">
        <v>95</v>
      </c>
      <c r="D30" s="26" t="s">
        <v>189</v>
      </c>
      <c r="E30" s="27">
        <v>112570093</v>
      </c>
      <c r="F30" s="28" t="s">
        <v>190</v>
      </c>
      <c r="G30" s="29" t="s">
        <v>191</v>
      </c>
      <c r="H30" s="30" t="s">
        <v>42</v>
      </c>
      <c r="I30" s="26" t="s">
        <v>77</v>
      </c>
      <c r="J30" s="29" t="s">
        <v>78</v>
      </c>
      <c r="K30" s="31">
        <v>45439</v>
      </c>
      <c r="L30" s="32" t="s">
        <v>192</v>
      </c>
      <c r="M30" s="32" t="s">
        <v>193</v>
      </c>
      <c r="N30" s="29">
        <v>9940055418</v>
      </c>
      <c r="O30" s="33">
        <v>15</v>
      </c>
      <c r="P30" s="26" t="s">
        <v>22</v>
      </c>
      <c r="Q30" s="26" t="s">
        <v>77</v>
      </c>
      <c r="R30" s="34"/>
      <c r="S30" s="26" t="s">
        <v>189</v>
      </c>
      <c r="T30" s="73">
        <v>100025261</v>
      </c>
      <c r="U30" s="154" t="s">
        <v>194</v>
      </c>
      <c r="V30" s="155"/>
    </row>
    <row r="31" spans="1:22" s="75" customFormat="1" ht="33" customHeight="1">
      <c r="A31" s="24">
        <v>26</v>
      </c>
      <c r="B31" s="25">
        <v>45339</v>
      </c>
      <c r="C31" s="26" t="s">
        <v>95</v>
      </c>
      <c r="D31" s="26" t="s">
        <v>189</v>
      </c>
      <c r="E31" s="27">
        <v>111000051</v>
      </c>
      <c r="F31" s="28" t="s">
        <v>195</v>
      </c>
      <c r="G31" s="29" t="s">
        <v>196</v>
      </c>
      <c r="H31" s="30" t="s">
        <v>42</v>
      </c>
      <c r="I31" s="26" t="s">
        <v>77</v>
      </c>
      <c r="J31" s="29" t="s">
        <v>78</v>
      </c>
      <c r="K31" s="31">
        <v>45439</v>
      </c>
      <c r="L31" s="32" t="s">
        <v>192</v>
      </c>
      <c r="M31" s="32" t="s">
        <v>193</v>
      </c>
      <c r="N31" s="29">
        <v>9940055418</v>
      </c>
      <c r="O31" s="33">
        <v>15</v>
      </c>
      <c r="P31" s="26" t="s">
        <v>22</v>
      </c>
      <c r="Q31" s="26" t="s">
        <v>77</v>
      </c>
      <c r="R31" s="34"/>
      <c r="S31" s="26" t="s">
        <v>189</v>
      </c>
      <c r="T31" s="73">
        <v>100025261</v>
      </c>
      <c r="U31" s="154" t="s">
        <v>194</v>
      </c>
      <c r="V31" s="155"/>
    </row>
    <row r="32" spans="1:22" s="75" customFormat="1" ht="33" customHeight="1">
      <c r="A32" s="24">
        <v>27</v>
      </c>
      <c r="B32" s="25">
        <v>45339</v>
      </c>
      <c r="C32" s="26" t="s">
        <v>95</v>
      </c>
      <c r="D32" s="26" t="s">
        <v>189</v>
      </c>
      <c r="E32" s="27">
        <v>113430018</v>
      </c>
      <c r="F32" s="28" t="s">
        <v>197</v>
      </c>
      <c r="G32" s="29" t="s">
        <v>198</v>
      </c>
      <c r="H32" s="30" t="s">
        <v>42</v>
      </c>
      <c r="I32" s="26" t="s">
        <v>77</v>
      </c>
      <c r="J32" s="29" t="s">
        <v>78</v>
      </c>
      <c r="K32" s="31">
        <v>45439</v>
      </c>
      <c r="L32" s="32" t="s">
        <v>192</v>
      </c>
      <c r="M32" s="32" t="s">
        <v>193</v>
      </c>
      <c r="N32" s="29">
        <v>9940055418</v>
      </c>
      <c r="O32" s="33">
        <v>15</v>
      </c>
      <c r="P32" s="26" t="s">
        <v>22</v>
      </c>
      <c r="Q32" s="26" t="s">
        <v>77</v>
      </c>
      <c r="R32" s="34"/>
      <c r="S32" s="26" t="s">
        <v>189</v>
      </c>
      <c r="T32" s="73">
        <v>100025261</v>
      </c>
      <c r="U32" s="154" t="s">
        <v>194</v>
      </c>
      <c r="V32" s="155"/>
    </row>
    <row r="33" spans="1:22" s="75" customFormat="1" ht="33" customHeight="1">
      <c r="A33" s="24">
        <v>28</v>
      </c>
      <c r="B33" s="25">
        <v>45356</v>
      </c>
      <c r="C33" s="26" t="s">
        <v>79</v>
      </c>
      <c r="D33" s="26" t="s">
        <v>199</v>
      </c>
      <c r="E33" s="27">
        <v>112580027</v>
      </c>
      <c r="F33" s="28" t="s">
        <v>200</v>
      </c>
      <c r="G33" s="29" t="s">
        <v>201</v>
      </c>
      <c r="H33" s="30">
        <v>419116</v>
      </c>
      <c r="I33" s="26" t="s">
        <v>77</v>
      </c>
      <c r="J33" s="29" t="s">
        <v>78</v>
      </c>
      <c r="K33" s="31">
        <v>45439</v>
      </c>
      <c r="L33" s="32" t="s">
        <v>202</v>
      </c>
      <c r="M33" s="32" t="s">
        <v>203</v>
      </c>
      <c r="N33" s="29">
        <v>995886121</v>
      </c>
      <c r="O33" s="33">
        <v>20</v>
      </c>
      <c r="P33" s="26" t="s">
        <v>22</v>
      </c>
      <c r="Q33" s="26" t="s">
        <v>77</v>
      </c>
      <c r="R33" s="34"/>
      <c r="S33" s="26" t="s">
        <v>199</v>
      </c>
      <c r="T33" s="73">
        <v>102379245</v>
      </c>
      <c r="U33" s="154" t="s">
        <v>204</v>
      </c>
      <c r="V33" s="155"/>
    </row>
    <row r="34" spans="1:22" s="75" customFormat="1" ht="33" customHeight="1">
      <c r="A34" s="24">
        <v>29</v>
      </c>
      <c r="B34" s="25">
        <v>45356</v>
      </c>
      <c r="C34" s="26" t="s">
        <v>79</v>
      </c>
      <c r="D34" s="26" t="s">
        <v>199</v>
      </c>
      <c r="E34" s="27">
        <v>111010040</v>
      </c>
      <c r="F34" s="28" t="s">
        <v>205</v>
      </c>
      <c r="G34" s="29" t="s">
        <v>206</v>
      </c>
      <c r="H34" s="30">
        <v>414176</v>
      </c>
      <c r="I34" s="26" t="s">
        <v>77</v>
      </c>
      <c r="J34" s="29" t="s">
        <v>78</v>
      </c>
      <c r="K34" s="31">
        <v>45439</v>
      </c>
      <c r="L34" s="32" t="s">
        <v>202</v>
      </c>
      <c r="M34" s="32" t="s">
        <v>203</v>
      </c>
      <c r="N34" s="29">
        <v>995886121</v>
      </c>
      <c r="O34" s="33">
        <v>20</v>
      </c>
      <c r="P34" s="26" t="s">
        <v>22</v>
      </c>
      <c r="Q34" s="26" t="s">
        <v>77</v>
      </c>
      <c r="R34" s="34"/>
      <c r="S34" s="26" t="s">
        <v>199</v>
      </c>
      <c r="T34" s="73">
        <v>102379245</v>
      </c>
      <c r="U34" s="154" t="s">
        <v>204</v>
      </c>
      <c r="V34" s="155"/>
    </row>
    <row r="35" spans="1:22" s="75" customFormat="1" ht="33" customHeight="1">
      <c r="A35" s="24">
        <v>30</v>
      </c>
      <c r="B35" s="25">
        <v>45323</v>
      </c>
      <c r="C35" s="26" t="s">
        <v>79</v>
      </c>
      <c r="D35" s="26" t="s">
        <v>207</v>
      </c>
      <c r="E35" s="27">
        <v>111000051</v>
      </c>
      <c r="F35" s="28" t="s">
        <v>195</v>
      </c>
      <c r="G35" s="29" t="s">
        <v>208</v>
      </c>
      <c r="H35" s="30">
        <v>414180</v>
      </c>
      <c r="I35" s="26" t="s">
        <v>77</v>
      </c>
      <c r="J35" s="29" t="s">
        <v>78</v>
      </c>
      <c r="K35" s="31">
        <v>45440</v>
      </c>
      <c r="L35" s="32" t="s">
        <v>209</v>
      </c>
      <c r="M35" s="32" t="s">
        <v>210</v>
      </c>
      <c r="N35" s="29">
        <v>9923378529</v>
      </c>
      <c r="O35" s="33">
        <v>20</v>
      </c>
      <c r="P35" s="26" t="s">
        <v>22</v>
      </c>
      <c r="Q35" s="26" t="s">
        <v>77</v>
      </c>
      <c r="R35" s="34"/>
      <c r="S35" s="26" t="s">
        <v>207</v>
      </c>
      <c r="T35" s="73">
        <v>105296123</v>
      </c>
      <c r="U35" s="154" t="s">
        <v>211</v>
      </c>
      <c r="V35" s="155"/>
    </row>
    <row r="36" spans="1:22" s="75" customFormat="1" ht="33" customHeight="1">
      <c r="A36" s="24">
        <v>31</v>
      </c>
      <c r="B36" s="25">
        <v>45323</v>
      </c>
      <c r="C36" s="26" t="s">
        <v>79</v>
      </c>
      <c r="D36" s="26" t="s">
        <v>207</v>
      </c>
      <c r="E36" s="27">
        <v>112580058</v>
      </c>
      <c r="F36" s="28" t="s">
        <v>212</v>
      </c>
      <c r="G36" s="29" t="s">
        <v>213</v>
      </c>
      <c r="H36" s="30" t="s">
        <v>42</v>
      </c>
      <c r="I36" s="26" t="s">
        <v>77</v>
      </c>
      <c r="J36" s="29" t="s">
        <v>78</v>
      </c>
      <c r="K36" s="31">
        <v>45440</v>
      </c>
      <c r="L36" s="32" t="s">
        <v>209</v>
      </c>
      <c r="M36" s="32" t="s">
        <v>210</v>
      </c>
      <c r="N36" s="29">
        <v>9923378529</v>
      </c>
      <c r="O36" s="33">
        <v>20</v>
      </c>
      <c r="P36" s="26" t="s">
        <v>22</v>
      </c>
      <c r="Q36" s="26" t="s">
        <v>77</v>
      </c>
      <c r="R36" s="34"/>
      <c r="S36" s="26" t="s">
        <v>207</v>
      </c>
      <c r="T36" s="73">
        <v>105296123</v>
      </c>
      <c r="U36" s="154" t="s">
        <v>211</v>
      </c>
      <c r="V36" s="155"/>
    </row>
    <row r="37" spans="1:22" s="75" customFormat="1" ht="33" customHeight="1">
      <c r="A37" s="24">
        <v>32</v>
      </c>
      <c r="B37" s="25">
        <v>45247</v>
      </c>
      <c r="C37" s="26" t="s">
        <v>94</v>
      </c>
      <c r="D37" s="26" t="s">
        <v>217</v>
      </c>
      <c r="E37" s="27">
        <v>40589305</v>
      </c>
      <c r="F37" s="28" t="s">
        <v>135</v>
      </c>
      <c r="G37" s="29" t="s">
        <v>214</v>
      </c>
      <c r="H37" s="30">
        <v>411216</v>
      </c>
      <c r="I37" s="26" t="s">
        <v>77</v>
      </c>
      <c r="J37" s="29" t="s">
        <v>78</v>
      </c>
      <c r="K37" s="31">
        <v>45440</v>
      </c>
      <c r="L37" s="32" t="s">
        <v>215</v>
      </c>
      <c r="M37" s="32" t="s">
        <v>216</v>
      </c>
      <c r="N37" s="29">
        <v>74102131</v>
      </c>
      <c r="O37" s="33">
        <v>15</v>
      </c>
      <c r="P37" s="26" t="s">
        <v>22</v>
      </c>
      <c r="Q37" s="26" t="s">
        <v>77</v>
      </c>
      <c r="R37" s="34"/>
      <c r="S37" s="26" t="s">
        <v>217</v>
      </c>
      <c r="T37" s="73">
        <v>106138555</v>
      </c>
      <c r="U37" s="154" t="s">
        <v>219</v>
      </c>
      <c r="V37" s="155"/>
    </row>
    <row r="38" spans="1:22" s="75" customFormat="1" ht="33" customHeight="1">
      <c r="A38" s="24">
        <v>33</v>
      </c>
      <c r="B38" s="25">
        <v>45248</v>
      </c>
      <c r="C38" s="26" t="s">
        <v>96</v>
      </c>
      <c r="D38" s="26" t="s">
        <v>220</v>
      </c>
      <c r="E38" s="27">
        <v>112570126</v>
      </c>
      <c r="F38" s="28" t="s">
        <v>80</v>
      </c>
      <c r="G38" s="29" t="s">
        <v>218</v>
      </c>
      <c r="H38" s="30">
        <v>403153</v>
      </c>
      <c r="I38" s="26" t="s">
        <v>77</v>
      </c>
      <c r="J38" s="29" t="s">
        <v>78</v>
      </c>
      <c r="K38" s="31">
        <v>45440</v>
      </c>
      <c r="L38" s="32" t="s">
        <v>215</v>
      </c>
      <c r="M38" s="32" t="s">
        <v>216</v>
      </c>
      <c r="N38" s="29">
        <v>74102131</v>
      </c>
      <c r="O38" s="33">
        <v>15</v>
      </c>
      <c r="P38" s="26" t="s">
        <v>22</v>
      </c>
      <c r="Q38" s="26" t="s">
        <v>77</v>
      </c>
      <c r="R38" s="34"/>
      <c r="S38" s="26" t="s">
        <v>220</v>
      </c>
      <c r="T38" s="73">
        <v>106138555</v>
      </c>
      <c r="U38" s="154" t="s">
        <v>219</v>
      </c>
      <c r="V38" s="155"/>
    </row>
    <row r="39" spans="1:22" s="75" customFormat="1" ht="33" customHeight="1">
      <c r="A39" s="24">
        <v>34</v>
      </c>
      <c r="B39" s="25">
        <v>45248</v>
      </c>
      <c r="C39" s="26" t="s">
        <v>96</v>
      </c>
      <c r="D39" s="26" t="s">
        <v>220</v>
      </c>
      <c r="E39" s="27">
        <v>111000051</v>
      </c>
      <c r="F39" s="28" t="s">
        <v>195</v>
      </c>
      <c r="G39" s="29" t="s">
        <v>221</v>
      </c>
      <c r="H39" s="30">
        <v>399289</v>
      </c>
      <c r="I39" s="26" t="s">
        <v>77</v>
      </c>
      <c r="J39" s="29" t="s">
        <v>78</v>
      </c>
      <c r="K39" s="31">
        <v>45440</v>
      </c>
      <c r="L39" s="32" t="s">
        <v>215</v>
      </c>
      <c r="M39" s="32" t="s">
        <v>216</v>
      </c>
      <c r="N39" s="29">
        <v>74102131</v>
      </c>
      <c r="O39" s="33">
        <v>15</v>
      </c>
      <c r="P39" s="26" t="s">
        <v>22</v>
      </c>
      <c r="Q39" s="26" t="s">
        <v>77</v>
      </c>
      <c r="R39" s="34"/>
      <c r="S39" s="26" t="s">
        <v>220</v>
      </c>
      <c r="T39" s="73">
        <v>106138555</v>
      </c>
      <c r="U39" s="154" t="s">
        <v>219</v>
      </c>
      <c r="V39" s="155"/>
    </row>
    <row r="40" spans="1:22" s="75" customFormat="1" ht="33" customHeight="1">
      <c r="A40" s="24">
        <v>35</v>
      </c>
      <c r="B40" s="25">
        <v>45248</v>
      </c>
      <c r="C40" s="26" t="s">
        <v>96</v>
      </c>
      <c r="D40" s="26" t="s">
        <v>263</v>
      </c>
      <c r="E40" s="209">
        <v>40480321</v>
      </c>
      <c r="F40" s="28" t="s">
        <v>222</v>
      </c>
      <c r="G40" s="29" t="s">
        <v>223</v>
      </c>
      <c r="H40" s="30" t="s">
        <v>42</v>
      </c>
      <c r="I40" s="26" t="s">
        <v>77</v>
      </c>
      <c r="J40" s="29" t="s">
        <v>78</v>
      </c>
      <c r="K40" s="31">
        <v>45440</v>
      </c>
      <c r="L40" s="32" t="s">
        <v>215</v>
      </c>
      <c r="M40" s="32" t="s">
        <v>216</v>
      </c>
      <c r="N40" s="29">
        <v>74102131</v>
      </c>
      <c r="O40" s="33">
        <v>30</v>
      </c>
      <c r="P40" s="26" t="s">
        <v>22</v>
      </c>
      <c r="Q40" s="26" t="s">
        <v>77</v>
      </c>
      <c r="R40" s="34"/>
      <c r="S40" s="26"/>
      <c r="T40" s="73">
        <v>106138555</v>
      </c>
      <c r="U40" s="154" t="s">
        <v>219</v>
      </c>
      <c r="V40" s="155"/>
    </row>
    <row r="41" spans="1:22" s="75" customFormat="1" ht="33" customHeight="1">
      <c r="A41" s="24">
        <v>36</v>
      </c>
      <c r="B41" s="25">
        <v>45351</v>
      </c>
      <c r="C41" s="26" t="s">
        <v>98</v>
      </c>
      <c r="D41" s="26" t="s">
        <v>224</v>
      </c>
      <c r="E41" s="27">
        <v>112570068</v>
      </c>
      <c r="F41" s="28" t="s">
        <v>145</v>
      </c>
      <c r="G41" s="29" t="s">
        <v>225</v>
      </c>
      <c r="H41" s="30">
        <v>409722</v>
      </c>
      <c r="I41" s="26" t="s">
        <v>77</v>
      </c>
      <c r="J41" s="29" t="s">
        <v>78</v>
      </c>
      <c r="K41" s="31">
        <v>45442</v>
      </c>
      <c r="L41" s="32" t="s">
        <v>226</v>
      </c>
      <c r="M41" s="32" t="s">
        <v>227</v>
      </c>
      <c r="N41" s="29">
        <v>2459211</v>
      </c>
      <c r="O41" s="33">
        <v>15</v>
      </c>
      <c r="P41" s="26" t="s">
        <v>22</v>
      </c>
      <c r="Q41" s="26" t="s">
        <v>77</v>
      </c>
      <c r="R41" s="34"/>
      <c r="S41" s="26" t="s">
        <v>224</v>
      </c>
      <c r="T41" s="73">
        <v>105288286</v>
      </c>
      <c r="U41" s="154" t="s">
        <v>228</v>
      </c>
      <c r="V41" s="155"/>
    </row>
    <row r="42" spans="1:22" s="75" customFormat="1" ht="33" customHeight="1">
      <c r="A42" s="24">
        <v>37</v>
      </c>
      <c r="B42" s="25">
        <v>45351</v>
      </c>
      <c r="C42" s="26" t="s">
        <v>98</v>
      </c>
      <c r="D42" s="26" t="s">
        <v>224</v>
      </c>
      <c r="E42" s="27">
        <v>40584202</v>
      </c>
      <c r="F42" s="28" t="s">
        <v>162</v>
      </c>
      <c r="G42" s="29" t="s">
        <v>229</v>
      </c>
      <c r="H42" s="30">
        <v>397696</v>
      </c>
      <c r="I42" s="26" t="s">
        <v>77</v>
      </c>
      <c r="J42" s="29" t="s">
        <v>78</v>
      </c>
      <c r="K42" s="31">
        <v>45442</v>
      </c>
      <c r="L42" s="32" t="s">
        <v>226</v>
      </c>
      <c r="M42" s="32" t="s">
        <v>227</v>
      </c>
      <c r="N42" s="29">
        <v>2459211</v>
      </c>
      <c r="O42" s="33">
        <v>15</v>
      </c>
      <c r="P42" s="26" t="s">
        <v>22</v>
      </c>
      <c r="Q42" s="26" t="s">
        <v>77</v>
      </c>
      <c r="R42" s="34"/>
      <c r="S42" s="26" t="s">
        <v>224</v>
      </c>
      <c r="T42" s="73">
        <v>105288286</v>
      </c>
      <c r="U42" s="154" t="s">
        <v>228</v>
      </c>
      <c r="V42" s="155"/>
    </row>
    <row r="43" spans="1:22" s="75" customFormat="1" ht="33" customHeight="1">
      <c r="A43" s="24">
        <v>38</v>
      </c>
      <c r="B43" s="25">
        <v>45351</v>
      </c>
      <c r="C43" s="26" t="s">
        <v>98</v>
      </c>
      <c r="D43" s="26" t="s">
        <v>224</v>
      </c>
      <c r="E43" s="27">
        <v>112950021</v>
      </c>
      <c r="F43" s="28" t="s">
        <v>93</v>
      </c>
      <c r="G43" s="29" t="s">
        <v>230</v>
      </c>
      <c r="H43" s="30">
        <v>411922</v>
      </c>
      <c r="I43" s="26" t="s">
        <v>77</v>
      </c>
      <c r="J43" s="29" t="s">
        <v>78</v>
      </c>
      <c r="K43" s="31">
        <v>45442</v>
      </c>
      <c r="L43" s="32" t="s">
        <v>226</v>
      </c>
      <c r="M43" s="32" t="s">
        <v>227</v>
      </c>
      <c r="N43" s="29">
        <v>2459211</v>
      </c>
      <c r="O43" s="33">
        <v>15</v>
      </c>
      <c r="P43" s="26" t="s">
        <v>22</v>
      </c>
      <c r="Q43" s="26" t="s">
        <v>77</v>
      </c>
      <c r="R43" s="34"/>
      <c r="S43" s="26" t="s">
        <v>224</v>
      </c>
      <c r="T43" s="73">
        <v>105288286</v>
      </c>
      <c r="U43" s="154" t="s">
        <v>228</v>
      </c>
      <c r="V43" s="155"/>
    </row>
    <row r="44" spans="1:22" s="75" customFormat="1" ht="33" customHeight="1">
      <c r="A44" s="24">
        <v>39</v>
      </c>
      <c r="B44" s="25">
        <v>45351</v>
      </c>
      <c r="C44" s="26" t="s">
        <v>98</v>
      </c>
      <c r="D44" s="26" t="s">
        <v>224</v>
      </c>
      <c r="E44" s="27">
        <v>111000051</v>
      </c>
      <c r="F44" s="28" t="s">
        <v>195</v>
      </c>
      <c r="G44" s="29" t="s">
        <v>231</v>
      </c>
      <c r="H44" s="30">
        <v>402440</v>
      </c>
      <c r="I44" s="26" t="s">
        <v>77</v>
      </c>
      <c r="J44" s="29" t="s">
        <v>78</v>
      </c>
      <c r="K44" s="31">
        <v>45442</v>
      </c>
      <c r="L44" s="32" t="s">
        <v>226</v>
      </c>
      <c r="M44" s="32" t="s">
        <v>227</v>
      </c>
      <c r="N44" s="29">
        <v>2459211</v>
      </c>
      <c r="O44" s="33">
        <v>15</v>
      </c>
      <c r="P44" s="26" t="s">
        <v>22</v>
      </c>
      <c r="Q44" s="26" t="s">
        <v>77</v>
      </c>
      <c r="R44" s="34"/>
      <c r="S44" s="26" t="s">
        <v>224</v>
      </c>
      <c r="T44" s="73">
        <v>105288286</v>
      </c>
      <c r="U44" s="154" t="s">
        <v>228</v>
      </c>
      <c r="V44" s="155"/>
    </row>
    <row r="45" spans="1:22" s="75" customFormat="1" ht="33" customHeight="1">
      <c r="A45" s="24">
        <v>40</v>
      </c>
      <c r="B45" s="25">
        <v>45351</v>
      </c>
      <c r="C45" s="26" t="s">
        <v>98</v>
      </c>
      <c r="D45" s="26" t="s">
        <v>224</v>
      </c>
      <c r="E45" s="27">
        <v>114270004</v>
      </c>
      <c r="F45" s="28" t="s">
        <v>232</v>
      </c>
      <c r="G45" s="29" t="s">
        <v>233</v>
      </c>
      <c r="H45" s="30">
        <v>402440</v>
      </c>
      <c r="I45" s="26" t="s">
        <v>77</v>
      </c>
      <c r="J45" s="29" t="s">
        <v>78</v>
      </c>
      <c r="K45" s="31">
        <v>45442</v>
      </c>
      <c r="L45" s="32" t="s">
        <v>226</v>
      </c>
      <c r="M45" s="32" t="s">
        <v>227</v>
      </c>
      <c r="N45" s="29">
        <v>2459211</v>
      </c>
      <c r="O45" s="33">
        <v>15</v>
      </c>
      <c r="P45" s="26" t="s">
        <v>22</v>
      </c>
      <c r="Q45" s="26" t="s">
        <v>77</v>
      </c>
      <c r="R45" s="34"/>
      <c r="S45" s="26" t="s">
        <v>224</v>
      </c>
      <c r="T45" s="73">
        <v>105288286</v>
      </c>
      <c r="U45" s="154" t="s">
        <v>228</v>
      </c>
      <c r="V45" s="155"/>
    </row>
    <row r="46" spans="1:22" s="75" customFormat="1" ht="33" customHeight="1">
      <c r="A46" s="24">
        <v>41</v>
      </c>
      <c r="B46" s="25">
        <v>45427</v>
      </c>
      <c r="C46" s="26" t="s">
        <v>79</v>
      </c>
      <c r="D46" s="26" t="s">
        <v>234</v>
      </c>
      <c r="E46" s="27">
        <v>112520025</v>
      </c>
      <c r="F46" s="28" t="s">
        <v>92</v>
      </c>
      <c r="G46" s="29" t="s">
        <v>235</v>
      </c>
      <c r="H46" s="30">
        <v>420264</v>
      </c>
      <c r="I46" s="26" t="s">
        <v>77</v>
      </c>
      <c r="J46" s="29" t="s">
        <v>78</v>
      </c>
      <c r="K46" s="31">
        <v>45442</v>
      </c>
      <c r="L46" s="32" t="s">
        <v>236</v>
      </c>
      <c r="M46" s="32" t="s">
        <v>237</v>
      </c>
      <c r="N46" s="29">
        <v>992557399</v>
      </c>
      <c r="O46" s="33">
        <v>20</v>
      </c>
      <c r="P46" s="26" t="s">
        <v>22</v>
      </c>
      <c r="Q46" s="26" t="s">
        <v>77</v>
      </c>
      <c r="R46" s="34"/>
      <c r="S46" s="26" t="s">
        <v>234</v>
      </c>
      <c r="T46" s="73">
        <v>1103654859</v>
      </c>
      <c r="U46" s="154" t="s">
        <v>238</v>
      </c>
      <c r="V46" s="155"/>
    </row>
    <row r="47" spans="1:22" s="75" customFormat="1" ht="33" customHeight="1">
      <c r="A47" s="24">
        <v>42</v>
      </c>
      <c r="B47" s="25">
        <v>45427</v>
      </c>
      <c r="C47" s="26" t="s">
        <v>79</v>
      </c>
      <c r="D47" s="26" t="s">
        <v>234</v>
      </c>
      <c r="E47" s="27">
        <v>40466241</v>
      </c>
      <c r="F47" s="28" t="s">
        <v>239</v>
      </c>
      <c r="G47" s="29" t="s">
        <v>240</v>
      </c>
      <c r="H47" s="30">
        <v>420271</v>
      </c>
      <c r="I47" s="26" t="s">
        <v>77</v>
      </c>
      <c r="J47" s="29" t="s">
        <v>78</v>
      </c>
      <c r="K47" s="31">
        <v>45442</v>
      </c>
      <c r="L47" s="32" t="s">
        <v>236</v>
      </c>
      <c r="M47" s="32" t="s">
        <v>237</v>
      </c>
      <c r="N47" s="29">
        <v>992557399</v>
      </c>
      <c r="O47" s="33">
        <v>20</v>
      </c>
      <c r="P47" s="26" t="s">
        <v>22</v>
      </c>
      <c r="Q47" s="26" t="s">
        <v>77</v>
      </c>
      <c r="R47" s="34"/>
      <c r="S47" s="26" t="s">
        <v>234</v>
      </c>
      <c r="T47" s="73">
        <v>1103654859</v>
      </c>
      <c r="U47" s="154" t="s">
        <v>238</v>
      </c>
      <c r="V47" s="155"/>
    </row>
    <row r="48" spans="1:22" s="75" customFormat="1" ht="33" customHeight="1">
      <c r="A48" s="24">
        <v>43</v>
      </c>
      <c r="B48" s="25">
        <v>45400</v>
      </c>
      <c r="C48" s="26" t="s">
        <v>98</v>
      </c>
      <c r="D48" s="26" t="s">
        <v>241</v>
      </c>
      <c r="E48" s="27">
        <v>111030002</v>
      </c>
      <c r="F48" s="28" t="s">
        <v>123</v>
      </c>
      <c r="G48" s="29" t="s">
        <v>242</v>
      </c>
      <c r="H48" s="30">
        <v>421524</v>
      </c>
      <c r="I48" s="26" t="s">
        <v>77</v>
      </c>
      <c r="J48" s="29" t="s">
        <v>78</v>
      </c>
      <c r="K48" s="31">
        <v>45443</v>
      </c>
      <c r="L48" s="32" t="s">
        <v>243</v>
      </c>
      <c r="M48" s="32" t="s">
        <v>244</v>
      </c>
      <c r="N48" s="29">
        <v>996088758</v>
      </c>
      <c r="O48" s="33">
        <v>15</v>
      </c>
      <c r="P48" s="26" t="s">
        <v>22</v>
      </c>
      <c r="Q48" s="26" t="s">
        <v>77</v>
      </c>
      <c r="R48" s="34"/>
      <c r="S48" s="26" t="s">
        <v>241</v>
      </c>
      <c r="T48" s="73">
        <v>102456373</v>
      </c>
      <c r="U48" s="154" t="s">
        <v>245</v>
      </c>
      <c r="V48" s="155"/>
    </row>
    <row r="49" spans="1:22" s="75" customFormat="1" ht="33" customHeight="1">
      <c r="A49" s="24">
        <v>44</v>
      </c>
      <c r="B49" s="25">
        <v>45361</v>
      </c>
      <c r="C49" s="26" t="s">
        <v>98</v>
      </c>
      <c r="D49" s="26" t="s">
        <v>246</v>
      </c>
      <c r="E49" s="27">
        <v>112580058</v>
      </c>
      <c r="F49" s="28" t="s">
        <v>212</v>
      </c>
      <c r="G49" s="29" t="s">
        <v>248</v>
      </c>
      <c r="H49" s="30">
        <v>418828</v>
      </c>
      <c r="I49" s="26" t="s">
        <v>77</v>
      </c>
      <c r="J49" s="29" t="s">
        <v>78</v>
      </c>
      <c r="K49" s="31">
        <v>45443</v>
      </c>
      <c r="L49" s="32" t="s">
        <v>243</v>
      </c>
      <c r="M49" s="32" t="s">
        <v>244</v>
      </c>
      <c r="N49" s="29">
        <v>996088758</v>
      </c>
      <c r="O49" s="33">
        <v>15</v>
      </c>
      <c r="P49" s="26" t="s">
        <v>22</v>
      </c>
      <c r="Q49" s="26" t="s">
        <v>77</v>
      </c>
      <c r="R49" s="34"/>
      <c r="S49" s="26" t="s">
        <v>241</v>
      </c>
      <c r="T49" s="73">
        <v>102456373</v>
      </c>
      <c r="U49" s="154" t="s">
        <v>245</v>
      </c>
      <c r="V49" s="155"/>
    </row>
    <row r="50" spans="1:22" s="75" customFormat="1" ht="33" customHeight="1">
      <c r="A50" s="24">
        <v>45</v>
      </c>
      <c r="B50" s="25">
        <v>45367</v>
      </c>
      <c r="C50" s="26" t="s">
        <v>98</v>
      </c>
      <c r="D50" s="26" t="s">
        <v>247</v>
      </c>
      <c r="E50" s="27">
        <v>40466111</v>
      </c>
      <c r="F50" s="28" t="s">
        <v>250</v>
      </c>
      <c r="G50" s="29" t="s">
        <v>249</v>
      </c>
      <c r="H50" s="30" t="s">
        <v>42</v>
      </c>
      <c r="I50" s="26" t="s">
        <v>77</v>
      </c>
      <c r="J50" s="29" t="s">
        <v>78</v>
      </c>
      <c r="K50" s="31">
        <v>45443</v>
      </c>
      <c r="L50" s="32" t="s">
        <v>243</v>
      </c>
      <c r="M50" s="32" t="s">
        <v>244</v>
      </c>
      <c r="N50" s="29">
        <v>996088758</v>
      </c>
      <c r="O50" s="33">
        <v>15</v>
      </c>
      <c r="P50" s="26" t="s">
        <v>22</v>
      </c>
      <c r="Q50" s="26" t="s">
        <v>77</v>
      </c>
      <c r="R50" s="34"/>
      <c r="S50" s="26" t="s">
        <v>241</v>
      </c>
      <c r="T50" s="73">
        <v>102456373</v>
      </c>
      <c r="U50" s="154" t="s">
        <v>245</v>
      </c>
      <c r="V50" s="155"/>
    </row>
    <row r="51" spans="1:22" s="75" customFormat="1" ht="33" customHeight="1">
      <c r="A51" s="24">
        <v>46</v>
      </c>
      <c r="B51" s="25">
        <v>45432</v>
      </c>
      <c r="C51" s="26" t="s">
        <v>98</v>
      </c>
      <c r="D51" s="26" t="s">
        <v>251</v>
      </c>
      <c r="E51" s="27">
        <v>112580058</v>
      </c>
      <c r="F51" s="28" t="s">
        <v>212</v>
      </c>
      <c r="G51" s="29" t="s">
        <v>252</v>
      </c>
      <c r="H51" s="30">
        <v>416103</v>
      </c>
      <c r="I51" s="26" t="s">
        <v>77</v>
      </c>
      <c r="J51" s="29" t="s">
        <v>78</v>
      </c>
      <c r="K51" s="31">
        <v>45444</v>
      </c>
      <c r="L51" s="32" t="s">
        <v>253</v>
      </c>
      <c r="M51" s="32" t="s">
        <v>254</v>
      </c>
      <c r="N51" s="29">
        <v>2869909</v>
      </c>
      <c r="O51" s="33">
        <v>20</v>
      </c>
      <c r="P51" s="26" t="s">
        <v>22</v>
      </c>
      <c r="Q51" s="26" t="s">
        <v>77</v>
      </c>
      <c r="R51" s="34"/>
      <c r="S51" s="26" t="s">
        <v>251</v>
      </c>
      <c r="T51" s="73">
        <v>101867042</v>
      </c>
      <c r="U51" s="154" t="s">
        <v>290</v>
      </c>
      <c r="V51" s="155"/>
    </row>
    <row r="52" spans="1:22" s="75" customFormat="1" ht="33" customHeight="1">
      <c r="A52" s="24">
        <v>47</v>
      </c>
      <c r="B52" s="25">
        <v>45432</v>
      </c>
      <c r="C52" s="26" t="s">
        <v>98</v>
      </c>
      <c r="D52" s="26" t="s">
        <v>251</v>
      </c>
      <c r="E52" s="27">
        <v>1160035</v>
      </c>
      <c r="F52" s="28" t="s">
        <v>146</v>
      </c>
      <c r="G52" s="29" t="s">
        <v>255</v>
      </c>
      <c r="H52" s="30" t="s">
        <v>42</v>
      </c>
      <c r="I52" s="26" t="s">
        <v>77</v>
      </c>
      <c r="J52" s="29" t="s">
        <v>78</v>
      </c>
      <c r="K52" s="31">
        <v>45444</v>
      </c>
      <c r="L52" s="32" t="s">
        <v>253</v>
      </c>
      <c r="M52" s="32" t="s">
        <v>254</v>
      </c>
      <c r="N52" s="29">
        <v>2869909</v>
      </c>
      <c r="O52" s="33">
        <v>20</v>
      </c>
      <c r="P52" s="26" t="s">
        <v>22</v>
      </c>
      <c r="Q52" s="26" t="s">
        <v>77</v>
      </c>
      <c r="R52" s="34"/>
      <c r="S52" s="26" t="s">
        <v>251</v>
      </c>
      <c r="T52" s="73">
        <v>101867042</v>
      </c>
      <c r="U52" s="154" t="s">
        <v>290</v>
      </c>
      <c r="V52" s="155"/>
    </row>
    <row r="53" spans="1:22" s="75" customFormat="1" ht="33" customHeight="1">
      <c r="A53" s="24">
        <v>48</v>
      </c>
      <c r="B53" s="25">
        <v>45444</v>
      </c>
      <c r="C53" s="26" t="s">
        <v>98</v>
      </c>
      <c r="D53" s="26" t="s">
        <v>256</v>
      </c>
      <c r="E53" s="27">
        <v>40466111</v>
      </c>
      <c r="F53" s="28" t="s">
        <v>250</v>
      </c>
      <c r="G53" s="29" t="s">
        <v>257</v>
      </c>
      <c r="H53" s="30" t="s">
        <v>42</v>
      </c>
      <c r="I53" s="26" t="s">
        <v>77</v>
      </c>
      <c r="J53" s="29" t="s">
        <v>78</v>
      </c>
      <c r="K53" s="31">
        <v>45444</v>
      </c>
      <c r="L53" s="32" t="s">
        <v>258</v>
      </c>
      <c r="M53" s="32" t="s">
        <v>298</v>
      </c>
      <c r="N53" s="29">
        <v>999493551</v>
      </c>
      <c r="O53" s="33">
        <v>15</v>
      </c>
      <c r="P53" s="26" t="s">
        <v>22</v>
      </c>
      <c r="Q53" s="26" t="s">
        <v>77</v>
      </c>
      <c r="R53" s="34"/>
      <c r="S53" s="26" t="s">
        <v>256</v>
      </c>
      <c r="T53" s="73">
        <v>999929697</v>
      </c>
      <c r="U53" s="154" t="s">
        <v>362</v>
      </c>
      <c r="V53" s="155"/>
    </row>
    <row r="54" spans="1:22" s="75" customFormat="1" ht="33" customHeight="1">
      <c r="A54" s="24">
        <v>49</v>
      </c>
      <c r="B54" s="25">
        <v>45443</v>
      </c>
      <c r="C54" s="26" t="s">
        <v>98</v>
      </c>
      <c r="D54" s="26" t="s">
        <v>297</v>
      </c>
      <c r="E54" s="27">
        <v>112520025</v>
      </c>
      <c r="F54" s="28" t="s">
        <v>259</v>
      </c>
      <c r="G54" s="29" t="s">
        <v>260</v>
      </c>
      <c r="H54" s="30" t="s">
        <v>42</v>
      </c>
      <c r="I54" s="26" t="s">
        <v>77</v>
      </c>
      <c r="J54" s="29" t="s">
        <v>78</v>
      </c>
      <c r="K54" s="31">
        <v>45444</v>
      </c>
      <c r="L54" s="32" t="s">
        <v>258</v>
      </c>
      <c r="M54" s="32" t="s">
        <v>298</v>
      </c>
      <c r="N54" s="29">
        <v>999493551</v>
      </c>
      <c r="O54" s="33">
        <v>15</v>
      </c>
      <c r="P54" s="26" t="s">
        <v>22</v>
      </c>
      <c r="Q54" s="26" t="s">
        <v>77</v>
      </c>
      <c r="R54" s="34"/>
      <c r="S54" s="26" t="s">
        <v>297</v>
      </c>
      <c r="T54" s="73">
        <v>999929697</v>
      </c>
      <c r="U54" s="154" t="s">
        <v>362</v>
      </c>
      <c r="V54" s="155"/>
    </row>
    <row r="55" spans="1:22" s="75" customFormat="1" ht="33" customHeight="1">
      <c r="A55" s="24">
        <v>50</v>
      </c>
      <c r="B55" s="25">
        <v>45443</v>
      </c>
      <c r="C55" s="26" t="s">
        <v>98</v>
      </c>
      <c r="D55" s="26" t="s">
        <v>297</v>
      </c>
      <c r="E55" s="27">
        <v>41560061</v>
      </c>
      <c r="F55" s="28" t="s">
        <v>261</v>
      </c>
      <c r="G55" s="29" t="s">
        <v>262</v>
      </c>
      <c r="H55" s="30" t="s">
        <v>42</v>
      </c>
      <c r="I55" s="26" t="s">
        <v>77</v>
      </c>
      <c r="J55" s="29" t="s">
        <v>78</v>
      </c>
      <c r="K55" s="31">
        <v>45444</v>
      </c>
      <c r="L55" s="32" t="s">
        <v>258</v>
      </c>
      <c r="M55" s="32" t="s">
        <v>298</v>
      </c>
      <c r="N55" s="29">
        <v>999493551</v>
      </c>
      <c r="O55" s="33">
        <v>15</v>
      </c>
      <c r="P55" s="26" t="s">
        <v>22</v>
      </c>
      <c r="Q55" s="26" t="s">
        <v>77</v>
      </c>
      <c r="R55" s="34"/>
      <c r="S55" s="26" t="s">
        <v>297</v>
      </c>
      <c r="T55" s="73">
        <v>999929697</v>
      </c>
      <c r="U55" s="154" t="s">
        <v>362</v>
      </c>
      <c r="V55" s="155"/>
    </row>
    <row r="56" spans="1:22" s="75" customFormat="1" ht="33" customHeight="1">
      <c r="A56" s="24">
        <v>51</v>
      </c>
      <c r="B56" s="25">
        <v>45430</v>
      </c>
      <c r="C56" s="26" t="s">
        <v>79</v>
      </c>
      <c r="D56" s="26" t="s">
        <v>264</v>
      </c>
      <c r="E56" s="27">
        <v>40584202</v>
      </c>
      <c r="F56" s="28" t="s">
        <v>162</v>
      </c>
      <c r="G56" s="29" t="s">
        <v>265</v>
      </c>
      <c r="H56" s="30">
        <v>419127</v>
      </c>
      <c r="I56" s="26" t="s">
        <v>77</v>
      </c>
      <c r="J56" s="29" t="s">
        <v>78</v>
      </c>
      <c r="K56" s="31">
        <v>45447</v>
      </c>
      <c r="L56" s="32" t="s">
        <v>266</v>
      </c>
      <c r="M56" s="32" t="s">
        <v>267</v>
      </c>
      <c r="N56" s="29">
        <v>992648827</v>
      </c>
      <c r="O56" s="33">
        <v>15</v>
      </c>
      <c r="P56" s="26" t="s">
        <v>22</v>
      </c>
      <c r="Q56" s="26" t="s">
        <v>77</v>
      </c>
      <c r="R56" s="34"/>
      <c r="S56" s="26" t="s">
        <v>264</v>
      </c>
      <c r="T56" s="73">
        <v>105109854</v>
      </c>
      <c r="U56" s="154" t="s">
        <v>268</v>
      </c>
      <c r="V56" s="155"/>
    </row>
    <row r="57" spans="1:22" s="75" customFormat="1" ht="33" customHeight="1">
      <c r="A57" s="24">
        <v>52</v>
      </c>
      <c r="B57" s="25">
        <v>45430</v>
      </c>
      <c r="C57" s="26" t="s">
        <v>79</v>
      </c>
      <c r="D57" s="26" t="s">
        <v>264</v>
      </c>
      <c r="E57" s="27">
        <v>112520025</v>
      </c>
      <c r="F57" s="28" t="s">
        <v>92</v>
      </c>
      <c r="G57" s="29" t="s">
        <v>271</v>
      </c>
      <c r="H57" s="30">
        <v>421599</v>
      </c>
      <c r="I57" s="26" t="s">
        <v>77</v>
      </c>
      <c r="J57" s="29" t="s">
        <v>78</v>
      </c>
      <c r="K57" s="31">
        <v>45447</v>
      </c>
      <c r="L57" s="32" t="s">
        <v>266</v>
      </c>
      <c r="M57" s="32" t="s">
        <v>267</v>
      </c>
      <c r="N57" s="29">
        <v>992648827</v>
      </c>
      <c r="O57" s="33">
        <v>15</v>
      </c>
      <c r="P57" s="26" t="s">
        <v>22</v>
      </c>
      <c r="Q57" s="26" t="s">
        <v>77</v>
      </c>
      <c r="R57" s="34"/>
      <c r="S57" s="26" t="s">
        <v>264</v>
      </c>
      <c r="T57" s="73">
        <v>105109854</v>
      </c>
      <c r="U57" s="154" t="s">
        <v>268</v>
      </c>
      <c r="V57" s="155"/>
    </row>
    <row r="58" spans="1:22" s="75" customFormat="1" ht="33" customHeight="1">
      <c r="A58" s="24">
        <v>53</v>
      </c>
      <c r="B58" s="25">
        <v>45430</v>
      </c>
      <c r="C58" s="26" t="s">
        <v>79</v>
      </c>
      <c r="D58" s="26" t="s">
        <v>264</v>
      </c>
      <c r="E58" s="27">
        <v>41560041</v>
      </c>
      <c r="F58" s="28" t="s">
        <v>269</v>
      </c>
      <c r="G58" s="29" t="s">
        <v>270</v>
      </c>
      <c r="H58" s="30">
        <v>420281</v>
      </c>
      <c r="I58" s="26" t="s">
        <v>77</v>
      </c>
      <c r="J58" s="29" t="s">
        <v>78</v>
      </c>
      <c r="K58" s="31">
        <v>45447</v>
      </c>
      <c r="L58" s="32" t="s">
        <v>266</v>
      </c>
      <c r="M58" s="32" t="s">
        <v>267</v>
      </c>
      <c r="N58" s="29">
        <v>992648827</v>
      </c>
      <c r="O58" s="33">
        <v>15</v>
      </c>
      <c r="P58" s="26" t="s">
        <v>22</v>
      </c>
      <c r="Q58" s="26" t="s">
        <v>77</v>
      </c>
      <c r="R58" s="34"/>
      <c r="S58" s="26" t="s">
        <v>264</v>
      </c>
      <c r="T58" s="73">
        <v>105109854</v>
      </c>
      <c r="U58" s="154" t="s">
        <v>268</v>
      </c>
      <c r="V58" s="155"/>
    </row>
    <row r="59" spans="1:22" s="75" customFormat="1" ht="33" customHeight="1">
      <c r="A59" s="24">
        <v>54</v>
      </c>
      <c r="B59" s="25">
        <v>45259</v>
      </c>
      <c r="C59" s="26" t="s">
        <v>95</v>
      </c>
      <c r="D59" s="26" t="s">
        <v>272</v>
      </c>
      <c r="E59" s="27">
        <v>112930048</v>
      </c>
      <c r="F59" s="28" t="s">
        <v>273</v>
      </c>
      <c r="G59" s="29" t="s">
        <v>274</v>
      </c>
      <c r="H59" s="30">
        <v>409867</v>
      </c>
      <c r="I59" s="26" t="s">
        <v>77</v>
      </c>
      <c r="J59" s="29" t="s">
        <v>78</v>
      </c>
      <c r="K59" s="31">
        <v>45448</v>
      </c>
      <c r="L59" s="32" t="s">
        <v>275</v>
      </c>
      <c r="M59" s="32" t="s">
        <v>276</v>
      </c>
      <c r="N59" s="29">
        <v>999980384</v>
      </c>
      <c r="O59" s="33">
        <v>15</v>
      </c>
      <c r="P59" s="26" t="s">
        <v>22</v>
      </c>
      <c r="Q59" s="26" t="s">
        <v>77</v>
      </c>
      <c r="R59" s="34"/>
      <c r="S59" s="26" t="s">
        <v>272</v>
      </c>
      <c r="T59" s="73">
        <v>102417243</v>
      </c>
      <c r="U59" s="154" t="s">
        <v>289</v>
      </c>
      <c r="V59" s="155"/>
    </row>
    <row r="60" spans="1:22" s="75" customFormat="1" ht="33" customHeight="1">
      <c r="A60" s="24">
        <v>55</v>
      </c>
      <c r="B60" s="25">
        <v>45259</v>
      </c>
      <c r="C60" s="26" t="s">
        <v>95</v>
      </c>
      <c r="D60" s="26" t="s">
        <v>272</v>
      </c>
      <c r="E60" s="27">
        <v>112580027</v>
      </c>
      <c r="F60" s="28" t="s">
        <v>88</v>
      </c>
      <c r="G60" s="29" t="s">
        <v>278</v>
      </c>
      <c r="H60" s="30">
        <v>409868</v>
      </c>
      <c r="I60" s="26" t="s">
        <v>77</v>
      </c>
      <c r="J60" s="29" t="s">
        <v>78</v>
      </c>
      <c r="K60" s="31">
        <v>45448</v>
      </c>
      <c r="L60" s="32" t="s">
        <v>275</v>
      </c>
      <c r="M60" s="32" t="s">
        <v>276</v>
      </c>
      <c r="N60" s="29">
        <v>999980384</v>
      </c>
      <c r="O60" s="33">
        <v>15</v>
      </c>
      <c r="P60" s="26" t="s">
        <v>22</v>
      </c>
      <c r="Q60" s="26" t="s">
        <v>77</v>
      </c>
      <c r="R60" s="34"/>
      <c r="S60" s="26" t="s">
        <v>272</v>
      </c>
      <c r="T60" s="73">
        <v>102417243</v>
      </c>
      <c r="U60" s="154" t="s">
        <v>289</v>
      </c>
      <c r="V60" s="155"/>
    </row>
    <row r="61" spans="1:22" s="75" customFormat="1" ht="33" customHeight="1">
      <c r="A61" s="24">
        <v>56</v>
      </c>
      <c r="B61" s="25">
        <v>45259</v>
      </c>
      <c r="C61" s="26" t="s">
        <v>95</v>
      </c>
      <c r="D61" s="26" t="s">
        <v>272</v>
      </c>
      <c r="E61" s="27">
        <v>111030002</v>
      </c>
      <c r="F61" s="28" t="s">
        <v>277</v>
      </c>
      <c r="G61" s="29" t="s">
        <v>279</v>
      </c>
      <c r="H61" s="30">
        <v>411151</v>
      </c>
      <c r="I61" s="26" t="s">
        <v>77</v>
      </c>
      <c r="J61" s="29" t="s">
        <v>78</v>
      </c>
      <c r="K61" s="31">
        <v>45448</v>
      </c>
      <c r="L61" s="32" t="s">
        <v>275</v>
      </c>
      <c r="M61" s="32" t="s">
        <v>276</v>
      </c>
      <c r="N61" s="29">
        <v>999980384</v>
      </c>
      <c r="O61" s="33">
        <v>15</v>
      </c>
      <c r="P61" s="26" t="s">
        <v>22</v>
      </c>
      <c r="Q61" s="26" t="s">
        <v>77</v>
      </c>
      <c r="R61" s="34"/>
      <c r="S61" s="26" t="s">
        <v>272</v>
      </c>
      <c r="T61" s="73">
        <v>102417243</v>
      </c>
      <c r="U61" s="154" t="s">
        <v>289</v>
      </c>
      <c r="V61" s="155"/>
    </row>
    <row r="62" spans="1:22" s="75" customFormat="1" ht="33" customHeight="1">
      <c r="A62" s="24">
        <v>57</v>
      </c>
      <c r="B62" s="25">
        <v>45259</v>
      </c>
      <c r="C62" s="26" t="s">
        <v>95</v>
      </c>
      <c r="D62" s="26" t="s">
        <v>272</v>
      </c>
      <c r="E62" s="27">
        <v>40584202</v>
      </c>
      <c r="F62" s="28" t="s">
        <v>162</v>
      </c>
      <c r="G62" s="29" t="s">
        <v>280</v>
      </c>
      <c r="H62" s="30">
        <v>411150</v>
      </c>
      <c r="I62" s="26" t="s">
        <v>77</v>
      </c>
      <c r="J62" s="29" t="s">
        <v>78</v>
      </c>
      <c r="K62" s="31">
        <v>45448</v>
      </c>
      <c r="L62" s="32" t="s">
        <v>275</v>
      </c>
      <c r="M62" s="32" t="s">
        <v>276</v>
      </c>
      <c r="N62" s="29">
        <v>999980384</v>
      </c>
      <c r="O62" s="33">
        <v>15</v>
      </c>
      <c r="P62" s="26" t="s">
        <v>22</v>
      </c>
      <c r="Q62" s="26" t="s">
        <v>77</v>
      </c>
      <c r="R62" s="34"/>
      <c r="S62" s="26" t="s">
        <v>272</v>
      </c>
      <c r="T62" s="73">
        <v>102417243</v>
      </c>
      <c r="U62" s="154" t="s">
        <v>289</v>
      </c>
      <c r="V62" s="155"/>
    </row>
    <row r="63" spans="1:22" s="75" customFormat="1" ht="33" customHeight="1">
      <c r="A63" s="24">
        <v>58</v>
      </c>
      <c r="B63" s="25">
        <v>45351</v>
      </c>
      <c r="C63" s="26" t="s">
        <v>95</v>
      </c>
      <c r="D63" s="26" t="s">
        <v>281</v>
      </c>
      <c r="E63" s="27">
        <v>112610069</v>
      </c>
      <c r="F63" s="28" t="s">
        <v>282</v>
      </c>
      <c r="G63" s="29" t="s">
        <v>283</v>
      </c>
      <c r="H63" s="30">
        <v>419357</v>
      </c>
      <c r="I63" s="26" t="s">
        <v>77</v>
      </c>
      <c r="J63" s="29" t="s">
        <v>78</v>
      </c>
      <c r="K63" s="31">
        <v>45448</v>
      </c>
      <c r="L63" s="32" t="s">
        <v>284</v>
      </c>
      <c r="M63" s="32" t="s">
        <v>285</v>
      </c>
      <c r="N63" s="29">
        <v>982672259</v>
      </c>
      <c r="O63" s="33">
        <v>15</v>
      </c>
      <c r="P63" s="26" t="s">
        <v>22</v>
      </c>
      <c r="Q63" s="26" t="s">
        <v>77</v>
      </c>
      <c r="R63" s="34"/>
      <c r="S63" s="26" t="s">
        <v>281</v>
      </c>
      <c r="T63" s="73">
        <v>102934205</v>
      </c>
      <c r="U63" s="154" t="s">
        <v>286</v>
      </c>
      <c r="V63" s="155"/>
    </row>
    <row r="64" spans="1:22" s="75" customFormat="1" ht="33" customHeight="1">
      <c r="A64" s="24">
        <v>59</v>
      </c>
      <c r="B64" s="25">
        <v>45351</v>
      </c>
      <c r="C64" s="26" t="s">
        <v>95</v>
      </c>
      <c r="D64" s="26" t="s">
        <v>281</v>
      </c>
      <c r="E64" s="27">
        <v>40467320</v>
      </c>
      <c r="F64" s="28" t="s">
        <v>111</v>
      </c>
      <c r="G64" s="29" t="s">
        <v>287</v>
      </c>
      <c r="H64" s="30">
        <v>417981</v>
      </c>
      <c r="I64" s="26" t="s">
        <v>77</v>
      </c>
      <c r="J64" s="29" t="s">
        <v>78</v>
      </c>
      <c r="K64" s="31">
        <v>45448</v>
      </c>
      <c r="L64" s="32" t="s">
        <v>284</v>
      </c>
      <c r="M64" s="32" t="s">
        <v>285</v>
      </c>
      <c r="N64" s="29">
        <v>982672259</v>
      </c>
      <c r="O64" s="33">
        <v>15</v>
      </c>
      <c r="P64" s="26" t="s">
        <v>22</v>
      </c>
      <c r="Q64" s="26" t="s">
        <v>77</v>
      </c>
      <c r="R64" s="34"/>
      <c r="S64" s="26" t="s">
        <v>281</v>
      </c>
      <c r="T64" s="73">
        <v>102934205</v>
      </c>
      <c r="U64" s="154" t="s">
        <v>286</v>
      </c>
      <c r="V64" s="155"/>
    </row>
    <row r="65" spans="1:22" s="75" customFormat="1" ht="33" customHeight="1">
      <c r="A65" s="24">
        <v>60</v>
      </c>
      <c r="B65" s="25">
        <v>45351</v>
      </c>
      <c r="C65" s="26" t="s">
        <v>95</v>
      </c>
      <c r="D65" s="26" t="s">
        <v>281</v>
      </c>
      <c r="E65" s="27">
        <v>41560041</v>
      </c>
      <c r="F65" s="28" t="s">
        <v>269</v>
      </c>
      <c r="G65" s="29" t="s">
        <v>288</v>
      </c>
      <c r="H65" s="30">
        <v>419838</v>
      </c>
      <c r="I65" s="26" t="s">
        <v>77</v>
      </c>
      <c r="J65" s="29" t="s">
        <v>78</v>
      </c>
      <c r="K65" s="31">
        <v>45448</v>
      </c>
      <c r="L65" s="32" t="s">
        <v>284</v>
      </c>
      <c r="M65" s="32" t="s">
        <v>285</v>
      </c>
      <c r="N65" s="29">
        <v>982672259</v>
      </c>
      <c r="O65" s="33">
        <v>15</v>
      </c>
      <c r="P65" s="26" t="s">
        <v>22</v>
      </c>
      <c r="Q65" s="26" t="s">
        <v>77</v>
      </c>
      <c r="R65" s="34"/>
      <c r="S65" s="26" t="s">
        <v>281</v>
      </c>
      <c r="T65" s="73">
        <v>102934205</v>
      </c>
      <c r="U65" s="154" t="s">
        <v>286</v>
      </c>
      <c r="V65" s="155"/>
    </row>
    <row r="66" spans="1:22" s="75" customFormat="1" ht="33" customHeight="1">
      <c r="A66" s="24">
        <v>61</v>
      </c>
      <c r="B66" s="25">
        <v>45437</v>
      </c>
      <c r="C66" s="26" t="s">
        <v>291</v>
      </c>
      <c r="D66" s="26" t="s">
        <v>292</v>
      </c>
      <c r="E66" s="27">
        <v>40467320</v>
      </c>
      <c r="F66" s="28" t="s">
        <v>111</v>
      </c>
      <c r="G66" s="29" t="s">
        <v>293</v>
      </c>
      <c r="H66" s="30" t="s">
        <v>42</v>
      </c>
      <c r="I66" s="26" t="s">
        <v>77</v>
      </c>
      <c r="J66" s="29" t="s">
        <v>78</v>
      </c>
      <c r="K66" s="31">
        <v>45449</v>
      </c>
      <c r="L66" s="32" t="s">
        <v>294</v>
      </c>
      <c r="M66" s="32" t="s">
        <v>295</v>
      </c>
      <c r="N66" s="29">
        <v>992312421</v>
      </c>
      <c r="O66" s="33">
        <v>20</v>
      </c>
      <c r="P66" s="26" t="s">
        <v>22</v>
      </c>
      <c r="Q66" s="26" t="s">
        <v>77</v>
      </c>
      <c r="R66" s="34"/>
      <c r="S66" s="26" t="s">
        <v>292</v>
      </c>
      <c r="T66" s="73">
        <v>102738291</v>
      </c>
      <c r="U66" s="154" t="s">
        <v>361</v>
      </c>
      <c r="V66" s="155"/>
    </row>
    <row r="67" spans="1:22" s="75" customFormat="1" ht="33" customHeight="1">
      <c r="A67" s="24">
        <v>62</v>
      </c>
      <c r="B67" s="25">
        <v>45437</v>
      </c>
      <c r="C67" s="26" t="s">
        <v>291</v>
      </c>
      <c r="D67" s="26" t="s">
        <v>292</v>
      </c>
      <c r="E67" s="27">
        <v>112610069</v>
      </c>
      <c r="F67" s="28" t="s">
        <v>282</v>
      </c>
      <c r="G67" s="29" t="s">
        <v>296</v>
      </c>
      <c r="H67" s="30">
        <v>411318</v>
      </c>
      <c r="I67" s="26" t="s">
        <v>77</v>
      </c>
      <c r="J67" s="29" t="s">
        <v>78</v>
      </c>
      <c r="K67" s="31">
        <v>45449</v>
      </c>
      <c r="L67" s="32" t="s">
        <v>294</v>
      </c>
      <c r="M67" s="32" t="s">
        <v>295</v>
      </c>
      <c r="N67" s="29">
        <v>992312421</v>
      </c>
      <c r="O67" s="33">
        <v>20</v>
      </c>
      <c r="P67" s="26" t="s">
        <v>22</v>
      </c>
      <c r="Q67" s="26" t="s">
        <v>77</v>
      </c>
      <c r="R67" s="34"/>
      <c r="S67" s="26" t="s">
        <v>292</v>
      </c>
      <c r="T67" s="73">
        <v>102738291</v>
      </c>
      <c r="U67" s="154" t="s">
        <v>361</v>
      </c>
      <c r="V67" s="155"/>
    </row>
    <row r="68" spans="1:22" s="75" customFormat="1" ht="33" customHeight="1">
      <c r="A68" s="24">
        <v>63</v>
      </c>
      <c r="B68" s="25">
        <v>45232</v>
      </c>
      <c r="C68" s="26" t="s">
        <v>96</v>
      </c>
      <c r="D68" s="26" t="s">
        <v>336</v>
      </c>
      <c r="E68" s="27">
        <v>40584401</v>
      </c>
      <c r="F68" s="28" t="s">
        <v>337</v>
      </c>
      <c r="G68" s="29" t="s">
        <v>338</v>
      </c>
      <c r="H68" s="30" t="s">
        <v>42</v>
      </c>
      <c r="I68" s="26" t="s">
        <v>77</v>
      </c>
      <c r="J68" s="29" t="s">
        <v>78</v>
      </c>
      <c r="K68" s="31">
        <v>45454</v>
      </c>
      <c r="L68" s="32" t="s">
        <v>339</v>
      </c>
      <c r="M68" s="32" t="s">
        <v>340</v>
      </c>
      <c r="N68" s="29">
        <v>995282028</v>
      </c>
      <c r="O68" s="33">
        <v>15</v>
      </c>
      <c r="P68" s="26" t="s">
        <v>22</v>
      </c>
      <c r="Q68" s="26" t="s">
        <v>77</v>
      </c>
      <c r="R68" s="34"/>
      <c r="S68" s="26" t="s">
        <v>336</v>
      </c>
      <c r="T68" s="73">
        <v>300586732</v>
      </c>
      <c r="U68" s="154" t="s">
        <v>341</v>
      </c>
      <c r="V68" s="155"/>
    </row>
    <row r="69" spans="1:22" s="75" customFormat="1" ht="33" customHeight="1">
      <c r="A69" s="24">
        <v>64</v>
      </c>
      <c r="B69" s="25">
        <v>45232</v>
      </c>
      <c r="C69" s="26" t="s">
        <v>96</v>
      </c>
      <c r="D69" s="26" t="s">
        <v>353</v>
      </c>
      <c r="E69" s="27">
        <v>112570211</v>
      </c>
      <c r="F69" s="28" t="s">
        <v>342</v>
      </c>
      <c r="G69" s="29" t="s">
        <v>345</v>
      </c>
      <c r="H69" s="30" t="s">
        <v>42</v>
      </c>
      <c r="I69" s="26" t="s">
        <v>77</v>
      </c>
      <c r="J69" s="29" t="s">
        <v>78</v>
      </c>
      <c r="K69" s="31">
        <v>45454</v>
      </c>
      <c r="L69" s="32" t="s">
        <v>339</v>
      </c>
      <c r="M69" s="32" t="s">
        <v>340</v>
      </c>
      <c r="N69" s="29">
        <v>995282028</v>
      </c>
      <c r="O69" s="33">
        <v>15</v>
      </c>
      <c r="P69" s="26" t="s">
        <v>22</v>
      </c>
      <c r="Q69" s="26" t="s">
        <v>77</v>
      </c>
      <c r="R69" s="34"/>
      <c r="S69" s="26" t="s">
        <v>336</v>
      </c>
      <c r="T69" s="73">
        <v>300586732</v>
      </c>
      <c r="U69" s="154" t="s">
        <v>341</v>
      </c>
      <c r="V69" s="155"/>
    </row>
    <row r="70" spans="1:22" s="75" customFormat="1" ht="33" customHeight="1">
      <c r="A70" s="24">
        <v>65</v>
      </c>
      <c r="B70" s="25">
        <v>45232</v>
      </c>
      <c r="C70" s="26" t="s">
        <v>96</v>
      </c>
      <c r="D70" s="26" t="s">
        <v>336</v>
      </c>
      <c r="E70" s="27">
        <v>111000059</v>
      </c>
      <c r="F70" s="28" t="s">
        <v>343</v>
      </c>
      <c r="G70" s="29" t="s">
        <v>344</v>
      </c>
      <c r="H70" s="30" t="s">
        <v>42</v>
      </c>
      <c r="I70" s="26" t="s">
        <v>77</v>
      </c>
      <c r="J70" s="29" t="s">
        <v>78</v>
      </c>
      <c r="K70" s="31">
        <v>45454</v>
      </c>
      <c r="L70" s="32" t="s">
        <v>339</v>
      </c>
      <c r="M70" s="32" t="s">
        <v>340</v>
      </c>
      <c r="N70" s="29">
        <v>995282028</v>
      </c>
      <c r="O70" s="33">
        <v>15</v>
      </c>
      <c r="P70" s="26" t="s">
        <v>22</v>
      </c>
      <c r="Q70" s="26" t="s">
        <v>77</v>
      </c>
      <c r="R70" s="34"/>
      <c r="S70" s="26" t="s">
        <v>336</v>
      </c>
      <c r="T70" s="73">
        <v>300586732</v>
      </c>
      <c r="U70" s="154" t="s">
        <v>341</v>
      </c>
      <c r="V70" s="155"/>
    </row>
    <row r="71" spans="1:22" s="75" customFormat="1" ht="33" customHeight="1">
      <c r="A71" s="24">
        <v>66</v>
      </c>
      <c r="B71" s="25">
        <v>45448</v>
      </c>
      <c r="C71" s="26" t="s">
        <v>79</v>
      </c>
      <c r="D71" s="26" t="s">
        <v>354</v>
      </c>
      <c r="E71" s="27">
        <v>40212044</v>
      </c>
      <c r="F71" s="28" t="s">
        <v>330</v>
      </c>
      <c r="G71" s="29" t="s">
        <v>331</v>
      </c>
      <c r="H71" s="30">
        <v>372985</v>
      </c>
      <c r="I71" s="26" t="s">
        <v>77</v>
      </c>
      <c r="J71" s="29" t="s">
        <v>78</v>
      </c>
      <c r="K71" s="31">
        <v>45456</v>
      </c>
      <c r="L71" s="32" t="s">
        <v>333</v>
      </c>
      <c r="M71" s="32" t="s">
        <v>334</v>
      </c>
      <c r="N71" s="29">
        <v>988215611</v>
      </c>
      <c r="O71" s="33">
        <v>20</v>
      </c>
      <c r="P71" s="26" t="s">
        <v>22</v>
      </c>
      <c r="Q71" s="26" t="s">
        <v>77</v>
      </c>
      <c r="R71" s="34"/>
      <c r="S71" s="26" t="s">
        <v>354</v>
      </c>
      <c r="T71" s="73">
        <v>101046308</v>
      </c>
      <c r="U71" s="154" t="s">
        <v>335</v>
      </c>
      <c r="V71" s="155"/>
    </row>
    <row r="72" spans="1:22" s="75" customFormat="1" ht="33" customHeight="1">
      <c r="A72" s="24">
        <v>67</v>
      </c>
      <c r="B72" s="25">
        <v>41795</v>
      </c>
      <c r="C72" s="26" t="s">
        <v>79</v>
      </c>
      <c r="D72" s="26" t="s">
        <v>354</v>
      </c>
      <c r="E72" s="27">
        <v>40467320</v>
      </c>
      <c r="F72" s="28" t="s">
        <v>111</v>
      </c>
      <c r="G72" s="29" t="s">
        <v>332</v>
      </c>
      <c r="H72" s="30" t="s">
        <v>42</v>
      </c>
      <c r="I72" s="26" t="s">
        <v>77</v>
      </c>
      <c r="J72" s="29" t="s">
        <v>78</v>
      </c>
      <c r="K72" s="31">
        <v>45456</v>
      </c>
      <c r="L72" s="32" t="s">
        <v>333</v>
      </c>
      <c r="M72" s="32" t="s">
        <v>334</v>
      </c>
      <c r="N72" s="29">
        <v>988215611</v>
      </c>
      <c r="O72" s="33">
        <v>20</v>
      </c>
      <c r="P72" s="26" t="s">
        <v>22</v>
      </c>
      <c r="Q72" s="26" t="s">
        <v>77</v>
      </c>
      <c r="R72" s="34"/>
      <c r="S72" s="26" t="s">
        <v>354</v>
      </c>
      <c r="T72" s="73">
        <v>101046308</v>
      </c>
      <c r="U72" s="154" t="s">
        <v>335</v>
      </c>
      <c r="V72" s="155"/>
    </row>
    <row r="73" spans="1:22" s="75" customFormat="1" ht="33" customHeight="1">
      <c r="A73" s="24">
        <v>68</v>
      </c>
      <c r="B73" s="25">
        <v>45435</v>
      </c>
      <c r="C73" s="26" t="s">
        <v>79</v>
      </c>
      <c r="D73" s="26" t="s">
        <v>368</v>
      </c>
      <c r="E73" s="27">
        <v>112950020</v>
      </c>
      <c r="F73" s="28" t="s">
        <v>369</v>
      </c>
      <c r="G73" s="29" t="s">
        <v>370</v>
      </c>
      <c r="H73" s="30" t="s">
        <v>42</v>
      </c>
      <c r="I73" s="26" t="s">
        <v>77</v>
      </c>
      <c r="J73" s="29" t="s">
        <v>78</v>
      </c>
      <c r="K73" s="31">
        <v>45456</v>
      </c>
      <c r="L73" s="32" t="s">
        <v>371</v>
      </c>
      <c r="M73" s="32" t="s">
        <v>167</v>
      </c>
      <c r="N73" s="29">
        <v>999333162</v>
      </c>
      <c r="O73" s="33">
        <v>20</v>
      </c>
      <c r="P73" s="26" t="s">
        <v>22</v>
      </c>
      <c r="Q73" s="26" t="s">
        <v>77</v>
      </c>
      <c r="R73" s="34"/>
      <c r="S73" s="26" t="s">
        <v>368</v>
      </c>
      <c r="T73" s="73">
        <v>104989983</v>
      </c>
      <c r="U73" s="154" t="s">
        <v>372</v>
      </c>
      <c r="V73" s="155"/>
    </row>
    <row r="74" spans="1:22" s="75" customFormat="1" ht="33" customHeight="1">
      <c r="A74" s="24">
        <v>69</v>
      </c>
      <c r="B74" s="25">
        <v>45435</v>
      </c>
      <c r="C74" s="26" t="s">
        <v>79</v>
      </c>
      <c r="D74" s="26" t="s">
        <v>368</v>
      </c>
      <c r="E74" s="27">
        <v>1125800058</v>
      </c>
      <c r="F74" s="28" t="s">
        <v>212</v>
      </c>
      <c r="G74" s="29" t="s">
        <v>373</v>
      </c>
      <c r="H74" s="30" t="s">
        <v>42</v>
      </c>
      <c r="I74" s="26" t="s">
        <v>77</v>
      </c>
      <c r="J74" s="29" t="s">
        <v>78</v>
      </c>
      <c r="K74" s="31">
        <v>45456</v>
      </c>
      <c r="L74" s="32" t="s">
        <v>371</v>
      </c>
      <c r="M74" s="32" t="s">
        <v>167</v>
      </c>
      <c r="N74" s="29">
        <v>999333162</v>
      </c>
      <c r="O74" s="33">
        <v>20</v>
      </c>
      <c r="P74" s="26" t="s">
        <v>22</v>
      </c>
      <c r="Q74" s="26" t="s">
        <v>77</v>
      </c>
      <c r="R74" s="34"/>
      <c r="S74" s="26" t="s">
        <v>368</v>
      </c>
      <c r="T74" s="73">
        <v>104989983</v>
      </c>
      <c r="U74" s="154" t="s">
        <v>372</v>
      </c>
      <c r="V74" s="155"/>
    </row>
    <row r="75" spans="1:22" s="75" customFormat="1" ht="33" customHeight="1">
      <c r="A75" s="24">
        <v>70</v>
      </c>
      <c r="B75" s="25">
        <v>45439</v>
      </c>
      <c r="C75" s="26" t="s">
        <v>79</v>
      </c>
      <c r="D75" s="26" t="s">
        <v>374</v>
      </c>
      <c r="E75" s="27">
        <v>112580027</v>
      </c>
      <c r="F75" s="28" t="s">
        <v>375</v>
      </c>
      <c r="G75" s="29" t="s">
        <v>376</v>
      </c>
      <c r="H75" s="30" t="s">
        <v>42</v>
      </c>
      <c r="I75" s="26" t="s">
        <v>77</v>
      </c>
      <c r="J75" s="29" t="s">
        <v>78</v>
      </c>
      <c r="K75" s="31">
        <v>45457</v>
      </c>
      <c r="L75" s="32" t="s">
        <v>377</v>
      </c>
      <c r="M75" s="32" t="s">
        <v>167</v>
      </c>
      <c r="N75" s="29">
        <v>995218884</v>
      </c>
      <c r="O75" s="33">
        <v>20</v>
      </c>
      <c r="P75" s="26" t="s">
        <v>22</v>
      </c>
      <c r="Q75" s="26" t="s">
        <v>77</v>
      </c>
      <c r="R75" s="34"/>
      <c r="S75" s="26" t="s">
        <v>374</v>
      </c>
      <c r="T75" s="73">
        <v>105116776</v>
      </c>
      <c r="U75" s="154" t="s">
        <v>378</v>
      </c>
      <c r="V75" s="155"/>
    </row>
    <row r="76" spans="1:22" s="75" customFormat="1" ht="33" customHeight="1">
      <c r="A76" s="24">
        <v>71</v>
      </c>
      <c r="B76" s="25">
        <v>45439</v>
      </c>
      <c r="C76" s="26" t="s">
        <v>79</v>
      </c>
      <c r="D76" s="26" t="s">
        <v>374</v>
      </c>
      <c r="E76" s="27">
        <v>112580027</v>
      </c>
      <c r="F76" s="28" t="s">
        <v>375</v>
      </c>
      <c r="G76" s="29" t="s">
        <v>376</v>
      </c>
      <c r="H76" s="30" t="s">
        <v>42</v>
      </c>
      <c r="I76" s="26" t="s">
        <v>77</v>
      </c>
      <c r="J76" s="29" t="s">
        <v>78</v>
      </c>
      <c r="K76" s="31">
        <v>45457</v>
      </c>
      <c r="L76" s="32" t="s">
        <v>377</v>
      </c>
      <c r="M76" s="32" t="s">
        <v>167</v>
      </c>
      <c r="N76" s="29">
        <v>995218884</v>
      </c>
      <c r="O76" s="33">
        <v>20</v>
      </c>
      <c r="P76" s="26" t="s">
        <v>22</v>
      </c>
      <c r="Q76" s="26" t="s">
        <v>77</v>
      </c>
      <c r="R76" s="34"/>
      <c r="S76" s="26" t="s">
        <v>374</v>
      </c>
      <c r="T76" s="73">
        <v>105116776</v>
      </c>
      <c r="U76" s="154" t="s">
        <v>378</v>
      </c>
      <c r="V76" s="155"/>
    </row>
    <row r="77" spans="1:22" s="75" customFormat="1" ht="33" customHeight="1">
      <c r="A77" s="24">
        <v>72</v>
      </c>
      <c r="B77" s="25">
        <v>45405</v>
      </c>
      <c r="C77" s="26" t="s">
        <v>98</v>
      </c>
      <c r="D77" s="26" t="s">
        <v>379</v>
      </c>
      <c r="E77" s="27">
        <v>111000051</v>
      </c>
      <c r="F77" s="28" t="s">
        <v>380</v>
      </c>
      <c r="G77" s="29" t="s">
        <v>382</v>
      </c>
      <c r="H77" s="30" t="s">
        <v>42</v>
      </c>
      <c r="I77" s="26" t="s">
        <v>77</v>
      </c>
      <c r="J77" s="29" t="s">
        <v>78</v>
      </c>
      <c r="K77" s="31">
        <v>45460</v>
      </c>
      <c r="L77" s="32" t="s">
        <v>384</v>
      </c>
      <c r="M77" s="32" t="s">
        <v>385</v>
      </c>
      <c r="N77" s="29">
        <v>962972345</v>
      </c>
      <c r="O77" s="33">
        <v>20</v>
      </c>
      <c r="P77" s="26" t="s">
        <v>22</v>
      </c>
      <c r="Q77" s="26" t="s">
        <v>77</v>
      </c>
      <c r="R77" s="34"/>
      <c r="S77" s="26" t="s">
        <v>379</v>
      </c>
      <c r="T77" s="73">
        <v>104487343</v>
      </c>
      <c r="U77" s="154" t="s">
        <v>386</v>
      </c>
      <c r="V77" s="155"/>
    </row>
    <row r="78" spans="1:22" s="75" customFormat="1" ht="33" customHeight="1">
      <c r="A78" s="24">
        <v>73</v>
      </c>
      <c r="B78" s="25">
        <v>45405</v>
      </c>
      <c r="C78" s="26" t="s">
        <v>98</v>
      </c>
      <c r="D78" s="26" t="s">
        <v>379</v>
      </c>
      <c r="E78" s="27">
        <v>112570073</v>
      </c>
      <c r="F78" s="28" t="s">
        <v>381</v>
      </c>
      <c r="G78" s="29" t="s">
        <v>383</v>
      </c>
      <c r="H78" s="30" t="s">
        <v>42</v>
      </c>
      <c r="I78" s="26" t="s">
        <v>77</v>
      </c>
      <c r="J78" s="29" t="s">
        <v>78</v>
      </c>
      <c r="K78" s="31">
        <v>45460</v>
      </c>
      <c r="L78" s="32" t="s">
        <v>384</v>
      </c>
      <c r="M78" s="32" t="s">
        <v>385</v>
      </c>
      <c r="N78" s="29">
        <v>962972345</v>
      </c>
      <c r="O78" s="33">
        <v>20</v>
      </c>
      <c r="P78" s="26" t="s">
        <v>22</v>
      </c>
      <c r="Q78" s="26" t="s">
        <v>77</v>
      </c>
      <c r="R78" s="34"/>
      <c r="S78" s="26" t="s">
        <v>379</v>
      </c>
      <c r="T78" s="73">
        <v>104487343</v>
      </c>
      <c r="U78" s="154" t="s">
        <v>386</v>
      </c>
      <c r="V78" s="155"/>
    </row>
    <row r="79" spans="1:22" s="75" customFormat="1" ht="33" customHeight="1">
      <c r="A79" s="24">
        <v>74</v>
      </c>
      <c r="B79" s="25">
        <v>45374</v>
      </c>
      <c r="C79" s="26" t="s">
        <v>79</v>
      </c>
      <c r="D79" s="26" t="s">
        <v>561</v>
      </c>
      <c r="E79" s="27">
        <v>112600000</v>
      </c>
      <c r="F79" s="28" t="s">
        <v>562</v>
      </c>
      <c r="G79" s="29" t="s">
        <v>563</v>
      </c>
      <c r="H79" s="30">
        <v>335811</v>
      </c>
      <c r="I79" s="26" t="s">
        <v>77</v>
      </c>
      <c r="J79" s="29" t="s">
        <v>78</v>
      </c>
      <c r="K79" s="31">
        <v>45461</v>
      </c>
      <c r="L79" s="32" t="s">
        <v>565</v>
      </c>
      <c r="M79" s="32" t="s">
        <v>566</v>
      </c>
      <c r="N79" s="29">
        <v>987338714</v>
      </c>
      <c r="O79" s="33">
        <v>20</v>
      </c>
      <c r="P79" s="26" t="s">
        <v>22</v>
      </c>
      <c r="Q79" s="26" t="s">
        <v>77</v>
      </c>
      <c r="R79" s="34"/>
      <c r="S79" s="26" t="s">
        <v>561</v>
      </c>
      <c r="T79" s="73">
        <v>301268793</v>
      </c>
      <c r="U79" s="154" t="s">
        <v>567</v>
      </c>
      <c r="V79" s="155"/>
    </row>
    <row r="80" spans="1:22" s="75" customFormat="1" ht="33" customHeight="1">
      <c r="A80" s="24">
        <v>75</v>
      </c>
      <c r="B80" s="25">
        <v>45374</v>
      </c>
      <c r="C80" s="26" t="s">
        <v>79</v>
      </c>
      <c r="D80" s="26" t="s">
        <v>561</v>
      </c>
      <c r="E80" s="27">
        <v>40466241</v>
      </c>
      <c r="F80" s="28" t="s">
        <v>456</v>
      </c>
      <c r="G80" s="29" t="s">
        <v>564</v>
      </c>
      <c r="H80" s="30" t="s">
        <v>42</v>
      </c>
      <c r="I80" s="26" t="s">
        <v>77</v>
      </c>
      <c r="J80" s="29" t="s">
        <v>78</v>
      </c>
      <c r="K80" s="31">
        <v>45461</v>
      </c>
      <c r="L80" s="32" t="s">
        <v>565</v>
      </c>
      <c r="M80" s="32" t="s">
        <v>566</v>
      </c>
      <c r="N80" s="29">
        <v>987338714</v>
      </c>
      <c r="O80" s="33">
        <v>20</v>
      </c>
      <c r="P80" s="26" t="s">
        <v>22</v>
      </c>
      <c r="Q80" s="26" t="s">
        <v>77</v>
      </c>
      <c r="R80" s="34"/>
      <c r="S80" s="26" t="s">
        <v>561</v>
      </c>
      <c r="T80" s="73">
        <v>301268793</v>
      </c>
      <c r="U80" s="154" t="s">
        <v>567</v>
      </c>
      <c r="V80" s="155"/>
    </row>
    <row r="81" spans="1:22" s="75" customFormat="1" ht="33" customHeight="1">
      <c r="A81"/>
      <c r="B81"/>
      <c r="C81"/>
      <c r="D81"/>
      <c r="E81"/>
      <c r="F81"/>
      <c r="G81"/>
      <c r="H81"/>
      <c r="I81"/>
      <c r="J81"/>
      <c r="N81"/>
      <c r="O81" s="150">
        <f>SUM(O6:O80)</f>
        <v>1250</v>
      </c>
      <c r="P81"/>
      <c r="Q81"/>
      <c r="R81"/>
      <c r="S81"/>
      <c r="T81"/>
      <c r="U81"/>
      <c r="V81" s="155"/>
    </row>
    <row r="82" spans="1:22" s="75" customFormat="1" ht="33" customHeight="1">
      <c r="A82"/>
      <c r="B82"/>
      <c r="C82"/>
      <c r="D82"/>
      <c r="E82"/>
      <c r="F82"/>
      <c r="G82"/>
      <c r="H82"/>
      <c r="I82"/>
      <c r="J82"/>
      <c r="K82">
        <v>1</v>
      </c>
      <c r="L82">
        <v>30</v>
      </c>
      <c r="M82">
        <v>30</v>
      </c>
      <c r="N82"/>
      <c r="O82"/>
      <c r="P82"/>
      <c r="Q82"/>
      <c r="R82"/>
      <c r="S82"/>
      <c r="T82"/>
      <c r="U82"/>
      <c r="V82" s="155"/>
    </row>
    <row r="83" spans="1:22" s="75" customFormat="1" ht="33" customHeight="1">
      <c r="A83"/>
      <c r="B83"/>
      <c r="C83"/>
      <c r="D83"/>
      <c r="E83"/>
      <c r="F83"/>
      <c r="G83"/>
      <c r="H83"/>
      <c r="I83"/>
      <c r="J83"/>
      <c r="K83">
        <v>22</v>
      </c>
      <c r="L83" s="75">
        <v>20</v>
      </c>
      <c r="M83" s="75">
        <f>K83*L83</f>
        <v>440</v>
      </c>
      <c r="N83"/>
      <c r="O83"/>
      <c r="P83"/>
      <c r="Q83"/>
      <c r="R83"/>
      <c r="S83"/>
      <c r="T83"/>
      <c r="U83"/>
      <c r="V83" s="155"/>
    </row>
    <row r="84" spans="1:22" s="75" customFormat="1" ht="33" customHeight="1">
      <c r="A84"/>
      <c r="B84"/>
      <c r="C84"/>
      <c r="D84"/>
      <c r="E84"/>
      <c r="F84"/>
      <c r="G84"/>
      <c r="H84"/>
      <c r="I84"/>
      <c r="J84"/>
      <c r="K84">
        <v>52</v>
      </c>
      <c r="L84" s="75">
        <v>15</v>
      </c>
      <c r="M84" s="75">
        <f>K84*L84</f>
        <v>780</v>
      </c>
      <c r="N84"/>
      <c r="O84"/>
      <c r="P84"/>
      <c r="Q84"/>
      <c r="R84"/>
      <c r="S84"/>
      <c r="T84"/>
      <c r="U84"/>
      <c r="V84" s="155"/>
    </row>
    <row r="85" spans="1:22" s="75" customFormat="1" ht="33" customHeight="1">
      <c r="A85"/>
      <c r="B85"/>
      <c r="C85"/>
      <c r="D85"/>
      <c r="E85"/>
      <c r="F85"/>
      <c r="G85"/>
      <c r="H85"/>
      <c r="I85"/>
      <c r="J85"/>
      <c r="K85"/>
      <c r="M85" s="75">
        <f>SUM(M82:M84)</f>
        <v>1250</v>
      </c>
      <c r="N85"/>
      <c r="O85"/>
      <c r="P85"/>
      <c r="Q85"/>
      <c r="R85"/>
      <c r="S85"/>
      <c r="T85"/>
      <c r="U85"/>
      <c r="V85" s="155"/>
    </row>
    <row r="86" spans="1:22" s="75" customFormat="1" ht="33" customHeight="1">
      <c r="A86"/>
      <c r="B86"/>
      <c r="C86"/>
      <c r="D86"/>
      <c r="E86"/>
      <c r="F86"/>
      <c r="G86"/>
      <c r="H86"/>
      <c r="I86"/>
      <c r="J86"/>
      <c r="N86"/>
      <c r="O86"/>
      <c r="P86"/>
      <c r="Q86"/>
      <c r="R86"/>
      <c r="S86"/>
      <c r="T86"/>
      <c r="U86"/>
      <c r="V86" s="155"/>
    </row>
    <row r="87" spans="1:22" s="75" customFormat="1" ht="33" customHeight="1">
      <c r="A87"/>
      <c r="B87"/>
      <c r="C87"/>
      <c r="D87"/>
      <c r="E87"/>
      <c r="F87"/>
      <c r="G87"/>
      <c r="H87"/>
      <c r="I87"/>
      <c r="J87"/>
      <c r="N87"/>
      <c r="O87"/>
      <c r="P87"/>
      <c r="Q87"/>
      <c r="R87"/>
      <c r="S87"/>
      <c r="T87"/>
      <c r="U87"/>
      <c r="V87" s="155"/>
    </row>
    <row r="88" spans="1:22" s="75" customFormat="1" ht="33" customHeight="1">
      <c r="A88"/>
      <c r="B88"/>
      <c r="C88"/>
      <c r="D88"/>
      <c r="E88"/>
      <c r="F88"/>
      <c r="G88"/>
      <c r="H88"/>
      <c r="I88"/>
      <c r="J88"/>
      <c r="N88"/>
      <c r="O88"/>
      <c r="P88"/>
      <c r="Q88"/>
      <c r="R88"/>
      <c r="S88"/>
      <c r="T88"/>
      <c r="U88"/>
      <c r="V88" s="155"/>
    </row>
    <row r="89" spans="1:22" s="75" customFormat="1" ht="33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 s="155"/>
    </row>
    <row r="90" spans="1:22" s="75" customFormat="1" ht="33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 s="155"/>
    </row>
    <row r="91" spans="1:22" s="75" customFormat="1" ht="33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 s="155"/>
    </row>
    <row r="92" spans="1:22" s="75" customFormat="1" ht="33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 s="155"/>
    </row>
    <row r="93" spans="1:22" s="75" customFormat="1" ht="33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 s="155"/>
    </row>
    <row r="94" spans="1:22" s="75" customFormat="1" ht="33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 s="155"/>
    </row>
    <row r="95" spans="1:22" s="75" customFormat="1" ht="33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 s="155"/>
    </row>
    <row r="96" spans="1:22" s="75" customFormat="1" ht="33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 s="155"/>
    </row>
    <row r="97" spans="1:22" s="75" customFormat="1" ht="33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 s="155"/>
    </row>
    <row r="98" spans="1:22" s="75" customFormat="1" ht="33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 s="155"/>
    </row>
    <row r="99" spans="1:22" s="75" customFormat="1" ht="33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 s="155"/>
    </row>
    <row r="100" spans="1:22" s="75" customFormat="1" ht="33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 s="155"/>
    </row>
    <row r="101" spans="1:22" s="75" customFormat="1" ht="33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 s="155"/>
    </row>
    <row r="102" spans="1:22" s="75" customFormat="1" ht="33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 s="155"/>
    </row>
    <row r="103" spans="1:22" s="75" customFormat="1" ht="33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 s="155"/>
    </row>
    <row r="104" spans="1:22" s="75" customFormat="1" ht="33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 s="155"/>
    </row>
    <row r="105" spans="1:22" s="75" customFormat="1" ht="33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 s="155"/>
    </row>
    <row r="106" spans="1:22" s="75" customFormat="1" ht="33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 s="155"/>
    </row>
    <row r="107" spans="1:22" s="75" customFormat="1" ht="33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 s="155"/>
    </row>
    <row r="108" spans="1:22" s="75" customFormat="1" ht="33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 s="155"/>
    </row>
    <row r="109" spans="1:22" s="75" customFormat="1" ht="33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 s="155"/>
    </row>
    <row r="110" spans="1:22" s="75" customFormat="1" ht="33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 s="155"/>
    </row>
    <row r="111" spans="1:22" s="75" customFormat="1" ht="33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 s="155"/>
    </row>
    <row r="112" spans="1:22" s="75" customFormat="1" ht="33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1:21" s="75" customFormat="1" ht="33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pans="1:21" s="75" customFormat="1" ht="33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pans="1:21" s="75" customFormat="1" ht="33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pans="1:21" s="75" customFormat="1" ht="33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pans="1:21" s="75" customFormat="1" ht="33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spans="1:21" ht="32.25" customHeight="1"/>
    <row r="119" spans="1:21" ht="35.25" customHeight="1"/>
    <row r="120" spans="1:21" ht="31.5" customHeight="1"/>
  </sheetData>
  <hyperlinks>
    <hyperlink ref="U6" r:id="rId1" xr:uid="{00000000-0004-0000-0000-000000000000}"/>
    <hyperlink ref="U7" r:id="rId2" xr:uid="{00000000-0004-0000-0000-000001000000}"/>
    <hyperlink ref="U8" r:id="rId3" xr:uid="{00000000-0004-0000-0000-000002000000}"/>
    <hyperlink ref="U9" r:id="rId4" xr:uid="{00000000-0004-0000-0000-000003000000}"/>
    <hyperlink ref="T10" r:id="rId5" display="vviniciomendez@gmail.com" xr:uid="{00000000-0004-0000-0000-000004000000}"/>
    <hyperlink ref="U10" r:id="rId6" xr:uid="{00000000-0004-0000-0000-000005000000}"/>
    <hyperlink ref="T11" r:id="rId7" display="vviniciomendez@gmail.com" xr:uid="{00000000-0004-0000-0000-000006000000}"/>
    <hyperlink ref="U11" r:id="rId8" xr:uid="{00000000-0004-0000-0000-000007000000}"/>
    <hyperlink ref="U12" r:id="rId9" xr:uid="{00000000-0004-0000-0000-000008000000}"/>
    <hyperlink ref="U13" r:id="rId10" xr:uid="{00000000-0004-0000-0000-000009000000}"/>
    <hyperlink ref="U14" r:id="rId11" xr:uid="{00000000-0004-0000-0000-00000A000000}"/>
    <hyperlink ref="U15" r:id="rId12" xr:uid="{00000000-0004-0000-0000-00000B000000}"/>
    <hyperlink ref="U16" r:id="rId13" xr:uid="{00000000-0004-0000-0000-00000C000000}"/>
    <hyperlink ref="U17" r:id="rId14" xr:uid="{00000000-0004-0000-0000-00000D000000}"/>
    <hyperlink ref="U18" r:id="rId15" xr:uid="{00000000-0004-0000-0000-00000E000000}"/>
    <hyperlink ref="U19" r:id="rId16" xr:uid="{00000000-0004-0000-0000-00000F000000}"/>
    <hyperlink ref="U20" r:id="rId17" xr:uid="{00000000-0004-0000-0000-000010000000}"/>
    <hyperlink ref="U21" r:id="rId18" xr:uid="{00000000-0004-0000-0000-000011000000}"/>
    <hyperlink ref="U22" r:id="rId19" xr:uid="{00000000-0004-0000-0000-000012000000}"/>
    <hyperlink ref="U23" r:id="rId20" xr:uid="{00000000-0004-0000-0000-000013000000}"/>
    <hyperlink ref="U24" r:id="rId21" xr:uid="{00000000-0004-0000-0000-000014000000}"/>
    <hyperlink ref="U25" r:id="rId22" xr:uid="{00000000-0004-0000-0000-000015000000}"/>
    <hyperlink ref="U26" r:id="rId23" xr:uid="{00000000-0004-0000-0000-000016000000}"/>
    <hyperlink ref="U27" r:id="rId24" xr:uid="{00000000-0004-0000-0000-000017000000}"/>
    <hyperlink ref="U28" r:id="rId25" xr:uid="{00000000-0004-0000-0000-000018000000}"/>
    <hyperlink ref="U29" r:id="rId26" xr:uid="{00000000-0004-0000-0000-000019000000}"/>
    <hyperlink ref="U30" r:id="rId27" xr:uid="{00000000-0004-0000-0000-00001A000000}"/>
    <hyperlink ref="U31" r:id="rId28" xr:uid="{00000000-0004-0000-0000-00001B000000}"/>
    <hyperlink ref="U32" r:id="rId29" xr:uid="{00000000-0004-0000-0000-00001C000000}"/>
    <hyperlink ref="U33" r:id="rId30" xr:uid="{00000000-0004-0000-0000-00001D000000}"/>
    <hyperlink ref="U34" r:id="rId31" xr:uid="{00000000-0004-0000-0000-00001E000000}"/>
    <hyperlink ref="U35" r:id="rId32" xr:uid="{00000000-0004-0000-0000-00001F000000}"/>
    <hyperlink ref="U36" r:id="rId33" xr:uid="{00000000-0004-0000-0000-000020000000}"/>
    <hyperlink ref="U37" r:id="rId34" xr:uid="{00000000-0004-0000-0000-000021000000}"/>
    <hyperlink ref="U38" r:id="rId35" xr:uid="{00000000-0004-0000-0000-000022000000}"/>
    <hyperlink ref="U39" r:id="rId36" xr:uid="{00000000-0004-0000-0000-000023000000}"/>
    <hyperlink ref="U40" r:id="rId37" xr:uid="{00000000-0004-0000-0000-000024000000}"/>
    <hyperlink ref="U41" r:id="rId38" xr:uid="{00000000-0004-0000-0000-000025000000}"/>
    <hyperlink ref="U42" r:id="rId39" xr:uid="{00000000-0004-0000-0000-000026000000}"/>
    <hyperlink ref="U43" r:id="rId40" xr:uid="{00000000-0004-0000-0000-000027000000}"/>
    <hyperlink ref="U44" r:id="rId41" xr:uid="{00000000-0004-0000-0000-000028000000}"/>
    <hyperlink ref="U45" r:id="rId42" xr:uid="{00000000-0004-0000-0000-000029000000}"/>
    <hyperlink ref="U46" r:id="rId43" xr:uid="{00000000-0004-0000-0000-00002A000000}"/>
    <hyperlink ref="U47" r:id="rId44" xr:uid="{00000000-0004-0000-0000-00002B000000}"/>
    <hyperlink ref="U48" r:id="rId45" xr:uid="{00000000-0004-0000-0000-00002C000000}"/>
    <hyperlink ref="U49" r:id="rId46" xr:uid="{00000000-0004-0000-0000-00002D000000}"/>
    <hyperlink ref="U50" r:id="rId47" xr:uid="{00000000-0004-0000-0000-00002E000000}"/>
    <hyperlink ref="U56" r:id="rId48" xr:uid="{00000000-0004-0000-0000-00002F000000}"/>
    <hyperlink ref="U57" r:id="rId49" xr:uid="{00000000-0004-0000-0000-000030000000}"/>
    <hyperlink ref="U58" r:id="rId50" xr:uid="{00000000-0004-0000-0000-000031000000}"/>
    <hyperlink ref="U63" r:id="rId51" xr:uid="{00000000-0004-0000-0000-000032000000}"/>
    <hyperlink ref="U64" r:id="rId52" xr:uid="{00000000-0004-0000-0000-000033000000}"/>
    <hyperlink ref="U65" r:id="rId53" xr:uid="{00000000-0004-0000-0000-000034000000}"/>
    <hyperlink ref="U59" r:id="rId54" xr:uid="{00000000-0004-0000-0000-000035000000}"/>
    <hyperlink ref="U60" r:id="rId55" xr:uid="{00000000-0004-0000-0000-000036000000}"/>
    <hyperlink ref="U61" r:id="rId56" xr:uid="{00000000-0004-0000-0000-000037000000}"/>
    <hyperlink ref="U62" r:id="rId57" xr:uid="{00000000-0004-0000-0000-000038000000}"/>
    <hyperlink ref="U51" r:id="rId58" xr:uid="{00000000-0004-0000-0000-000039000000}"/>
    <hyperlink ref="U52" r:id="rId59" xr:uid="{00000000-0004-0000-0000-00003A000000}"/>
    <hyperlink ref="U71" r:id="rId60" xr:uid="{00000000-0004-0000-0000-00003B000000}"/>
    <hyperlink ref="U72" r:id="rId61" xr:uid="{00000000-0004-0000-0000-00003C000000}"/>
    <hyperlink ref="U68" r:id="rId62" xr:uid="{00000000-0004-0000-0000-00003D000000}"/>
    <hyperlink ref="U69" r:id="rId63" xr:uid="{00000000-0004-0000-0000-00003E000000}"/>
    <hyperlink ref="U70" r:id="rId64" xr:uid="{00000000-0004-0000-0000-00003F000000}"/>
    <hyperlink ref="U66" r:id="rId65" xr:uid="{00000000-0004-0000-0000-000040000000}"/>
    <hyperlink ref="U67" r:id="rId66" xr:uid="{00000000-0004-0000-0000-000041000000}"/>
    <hyperlink ref="U53" r:id="rId67" xr:uid="{00000000-0004-0000-0000-000042000000}"/>
    <hyperlink ref="U54" r:id="rId68" xr:uid="{00000000-0004-0000-0000-000043000000}"/>
    <hyperlink ref="U55" r:id="rId69" xr:uid="{00000000-0004-0000-0000-000044000000}"/>
    <hyperlink ref="U73" r:id="rId70" xr:uid="{00000000-0004-0000-0000-000045000000}"/>
    <hyperlink ref="U74" r:id="rId71" xr:uid="{00000000-0004-0000-0000-000046000000}"/>
    <hyperlink ref="U75" r:id="rId72" xr:uid="{00000000-0004-0000-0000-000047000000}"/>
    <hyperlink ref="U76" r:id="rId73" xr:uid="{00000000-0004-0000-0000-000048000000}"/>
    <hyperlink ref="U77" r:id="rId74" xr:uid="{00000000-0004-0000-0000-000049000000}"/>
    <hyperlink ref="U78" r:id="rId75" xr:uid="{00000000-0004-0000-0000-00004A000000}"/>
    <hyperlink ref="U79" r:id="rId76" xr:uid="{00000000-0004-0000-0000-00004B000000}"/>
    <hyperlink ref="U80" r:id="rId77" xr:uid="{00000000-0004-0000-0000-00004C000000}"/>
  </hyperlinks>
  <pageMargins left="0.7" right="0.7" top="0.75" bottom="0.75" header="0.3" footer="0.3"/>
  <pageSetup paperSize="9" orientation="portrait" horizontalDpi="0" verticalDpi="0" r:id="rId78"/>
  <drawing r:id="rId7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30"/>
  <sheetViews>
    <sheetView topLeftCell="H22" zoomScale="69" zoomScaleNormal="69" workbookViewId="0">
      <selection activeCell="L18" sqref="L18"/>
    </sheetView>
  </sheetViews>
  <sheetFormatPr baseColWidth="10" defaultRowHeight="15"/>
  <cols>
    <col min="1" max="1" width="11.6640625" bestFit="1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11.6640625" bestFit="1" customWidth="1"/>
    <col min="11" max="11" width="19.6640625" customWidth="1"/>
    <col min="12" max="12" width="21" customWidth="1"/>
    <col min="13" max="13" width="34.1640625" bestFit="1" customWidth="1"/>
    <col min="14" max="14" width="11.6640625" bestFit="1" customWidth="1"/>
    <col min="15" max="15" width="20" bestFit="1" customWidth="1"/>
    <col min="16" max="16" width="17.6640625" customWidth="1"/>
    <col min="17" max="17" width="11.1640625" bestFit="1" customWidth="1"/>
    <col min="18" max="18" width="11.6640625" bestFit="1" customWidth="1"/>
    <col min="19" max="19" width="12.1640625" bestFit="1" customWidth="1"/>
  </cols>
  <sheetData>
    <row r="2" spans="1:20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</row>
    <row r="3" spans="1:20">
      <c r="A3" s="43"/>
      <c r="B3" s="44"/>
      <c r="C3" s="45" t="s">
        <v>0</v>
      </c>
      <c r="D3" s="46"/>
      <c r="E3" s="47"/>
      <c r="F3" s="48"/>
      <c r="G3" s="49"/>
      <c r="H3" s="50"/>
      <c r="I3" s="50"/>
      <c r="J3" s="50"/>
      <c r="K3" s="50"/>
      <c r="L3" s="50"/>
      <c r="M3" s="51"/>
      <c r="N3" s="50"/>
      <c r="O3" s="43"/>
      <c r="P3" s="50"/>
      <c r="Q3" s="50"/>
      <c r="R3" s="50"/>
      <c r="S3" s="50"/>
    </row>
    <row r="4" spans="1:20">
      <c r="A4" s="43"/>
      <c r="B4" s="44"/>
      <c r="C4" s="52" t="s">
        <v>1</v>
      </c>
      <c r="D4" s="53"/>
      <c r="E4" s="54"/>
      <c r="F4" s="54"/>
      <c r="G4" s="49"/>
      <c r="H4" s="50"/>
      <c r="I4" s="50"/>
      <c r="J4" s="50"/>
      <c r="K4" s="50"/>
      <c r="L4" s="50"/>
      <c r="M4" s="51"/>
      <c r="N4" s="50"/>
      <c r="O4" s="43"/>
      <c r="P4" s="50"/>
      <c r="Q4" s="50"/>
      <c r="R4" s="50"/>
      <c r="S4" s="50"/>
    </row>
    <row r="5" spans="1:20" ht="28.5" customHeight="1">
      <c r="B5" s="55" t="s">
        <v>85</v>
      </c>
      <c r="C5" s="56"/>
      <c r="D5" s="57"/>
      <c r="E5" s="58" t="s">
        <v>24</v>
      </c>
      <c r="F5" s="59"/>
      <c r="G5" s="60"/>
      <c r="H5" s="61"/>
      <c r="I5" s="57"/>
      <c r="J5" s="62"/>
      <c r="K5" s="62"/>
      <c r="L5" s="63"/>
      <c r="M5" s="64" t="s">
        <v>100</v>
      </c>
      <c r="O5" s="65"/>
    </row>
    <row r="6" spans="1:20">
      <c r="B6" s="66" t="s">
        <v>25</v>
      </c>
      <c r="C6" s="67"/>
      <c r="D6" s="68"/>
      <c r="E6" s="68"/>
      <c r="F6" s="68"/>
      <c r="G6" s="68"/>
      <c r="H6" s="68"/>
      <c r="I6" s="68"/>
      <c r="J6" s="68"/>
      <c r="K6" s="68"/>
      <c r="L6" s="68"/>
      <c r="M6" s="69"/>
      <c r="O6" s="65"/>
    </row>
    <row r="7" spans="1:20">
      <c r="B7" s="70" t="s">
        <v>101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2"/>
      <c r="O7" s="65"/>
    </row>
    <row r="8" spans="1:20" s="40" customFormat="1" ht="34">
      <c r="A8"/>
      <c r="B8" s="151" t="s">
        <v>26</v>
      </c>
      <c r="C8" s="151" t="s">
        <v>27</v>
      </c>
      <c r="D8" s="151" t="s">
        <v>28</v>
      </c>
      <c r="E8" s="151" t="s">
        <v>29</v>
      </c>
      <c r="F8" s="151" t="s">
        <v>30</v>
      </c>
      <c r="G8" s="151" t="s">
        <v>31</v>
      </c>
      <c r="H8" s="151" t="s">
        <v>32</v>
      </c>
      <c r="I8" s="151" t="s">
        <v>33</v>
      </c>
      <c r="J8" s="151" t="s">
        <v>34</v>
      </c>
      <c r="K8" s="151" t="s">
        <v>35</v>
      </c>
      <c r="L8" s="151" t="s">
        <v>36</v>
      </c>
      <c r="M8" s="151" t="s">
        <v>37</v>
      </c>
      <c r="N8" s="151" t="s">
        <v>38</v>
      </c>
      <c r="O8" s="151" t="s">
        <v>39</v>
      </c>
      <c r="P8" s="151" t="s">
        <v>40</v>
      </c>
      <c r="Q8" s="151" t="s">
        <v>41</v>
      </c>
      <c r="R8" s="152" t="s">
        <v>18</v>
      </c>
      <c r="S8" s="153" t="s">
        <v>19</v>
      </c>
    </row>
    <row r="9" spans="1:20" s="207" customFormat="1" ht="56.25" customHeight="1">
      <c r="A9" s="194">
        <v>1</v>
      </c>
      <c r="B9" s="195">
        <v>45358</v>
      </c>
      <c r="C9" s="196">
        <v>45436</v>
      </c>
      <c r="D9" s="197">
        <v>1</v>
      </c>
      <c r="E9" s="197">
        <v>60803239</v>
      </c>
      <c r="F9" s="198" t="s">
        <v>299</v>
      </c>
      <c r="G9" s="199">
        <v>112500046</v>
      </c>
      <c r="H9" s="200" t="s">
        <v>300</v>
      </c>
      <c r="I9" s="201" t="s">
        <v>301</v>
      </c>
      <c r="J9" s="202" t="s">
        <v>42</v>
      </c>
      <c r="K9" s="199" t="s">
        <v>81</v>
      </c>
      <c r="L9" s="199" t="s">
        <v>306</v>
      </c>
      <c r="M9" s="198" t="s">
        <v>363</v>
      </c>
      <c r="N9" s="203">
        <v>12.5</v>
      </c>
      <c r="O9" s="204">
        <v>101687143</v>
      </c>
      <c r="P9" s="205" t="s">
        <v>302</v>
      </c>
      <c r="Q9" s="189">
        <v>983354392</v>
      </c>
      <c r="R9" s="189"/>
      <c r="S9" s="189" t="s">
        <v>303</v>
      </c>
      <c r="T9" s="206"/>
    </row>
    <row r="10" spans="1:20" s="207" customFormat="1" ht="56.25" customHeight="1">
      <c r="A10" s="194">
        <v>2</v>
      </c>
      <c r="B10" s="195">
        <v>45433</v>
      </c>
      <c r="C10" s="196">
        <v>45433</v>
      </c>
      <c r="D10" s="197">
        <v>1</v>
      </c>
      <c r="E10" s="197">
        <v>60803239</v>
      </c>
      <c r="F10" s="198" t="s">
        <v>299</v>
      </c>
      <c r="G10" s="199">
        <v>112500047</v>
      </c>
      <c r="H10" s="200" t="s">
        <v>304</v>
      </c>
      <c r="I10" s="201" t="s">
        <v>305</v>
      </c>
      <c r="J10" s="202" t="s">
        <v>42</v>
      </c>
      <c r="K10" s="199" t="s">
        <v>81</v>
      </c>
      <c r="L10" s="199" t="s">
        <v>307</v>
      </c>
      <c r="M10" s="198" t="s">
        <v>308</v>
      </c>
      <c r="N10" s="203">
        <v>12.5</v>
      </c>
      <c r="O10" s="204">
        <v>919113936</v>
      </c>
      <c r="P10" s="205" t="s">
        <v>309</v>
      </c>
      <c r="Q10" s="189">
        <v>967509996</v>
      </c>
      <c r="R10" s="189"/>
      <c r="S10" s="189" t="s">
        <v>310</v>
      </c>
      <c r="T10" s="206"/>
    </row>
    <row r="11" spans="1:20" s="207" customFormat="1" ht="56.25" customHeight="1">
      <c r="A11" s="194">
        <v>3</v>
      </c>
      <c r="B11" s="195">
        <v>45052</v>
      </c>
      <c r="C11" s="196">
        <v>45442</v>
      </c>
      <c r="D11" s="197"/>
      <c r="E11" s="197"/>
      <c r="F11" s="198"/>
      <c r="G11" s="199">
        <v>40782128</v>
      </c>
      <c r="H11" s="200" t="s">
        <v>311</v>
      </c>
      <c r="I11" s="201" t="s">
        <v>312</v>
      </c>
      <c r="J11" s="202" t="s">
        <v>42</v>
      </c>
      <c r="K11" s="199" t="s">
        <v>81</v>
      </c>
      <c r="L11" s="199" t="s">
        <v>315</v>
      </c>
      <c r="M11" s="198" t="s">
        <v>316</v>
      </c>
      <c r="N11" s="203">
        <v>18.75</v>
      </c>
      <c r="O11" s="204">
        <v>103164828</v>
      </c>
      <c r="P11" s="205" t="s">
        <v>317</v>
      </c>
      <c r="Q11" s="189">
        <v>2819807</v>
      </c>
      <c r="R11" s="189"/>
      <c r="S11" s="189" t="s">
        <v>318</v>
      </c>
      <c r="T11" s="206"/>
    </row>
    <row r="12" spans="1:20" s="207" customFormat="1" ht="56.25" customHeight="1">
      <c r="A12" s="194">
        <v>4</v>
      </c>
      <c r="B12" s="195">
        <v>45441</v>
      </c>
      <c r="C12" s="196">
        <v>45449</v>
      </c>
      <c r="D12" s="197"/>
      <c r="E12" s="197"/>
      <c r="F12" s="198"/>
      <c r="G12" s="199">
        <v>41596006</v>
      </c>
      <c r="H12" s="200" t="s">
        <v>319</v>
      </c>
      <c r="I12" s="201" t="s">
        <v>320</v>
      </c>
      <c r="J12" s="202" t="s">
        <v>42</v>
      </c>
      <c r="K12" s="199" t="s">
        <v>81</v>
      </c>
      <c r="L12" s="199" t="s">
        <v>321</v>
      </c>
      <c r="M12" s="198" t="s">
        <v>322</v>
      </c>
      <c r="N12" s="203">
        <v>18.75</v>
      </c>
      <c r="O12" s="204">
        <v>103249470</v>
      </c>
      <c r="P12" s="205" t="s">
        <v>323</v>
      </c>
      <c r="Q12" s="189">
        <v>998625117</v>
      </c>
      <c r="R12" s="189"/>
      <c r="S12" s="189" t="s">
        <v>324</v>
      </c>
      <c r="T12" s="206"/>
    </row>
    <row r="13" spans="1:20" s="207" customFormat="1" ht="56.25" customHeight="1">
      <c r="A13" s="194">
        <v>5</v>
      </c>
      <c r="B13" s="195">
        <v>45204</v>
      </c>
      <c r="C13" s="196">
        <v>45447</v>
      </c>
      <c r="D13" s="197">
        <v>1</v>
      </c>
      <c r="E13" s="197">
        <v>60803326</v>
      </c>
      <c r="F13" s="198" t="s">
        <v>346</v>
      </c>
      <c r="G13" s="199">
        <v>112500049</v>
      </c>
      <c r="H13" s="200" t="s">
        <v>347</v>
      </c>
      <c r="I13" s="201" t="s">
        <v>348</v>
      </c>
      <c r="J13" s="202" t="s">
        <v>42</v>
      </c>
      <c r="K13" s="199" t="s">
        <v>81</v>
      </c>
      <c r="L13" s="199" t="s">
        <v>349</v>
      </c>
      <c r="M13" s="198" t="s">
        <v>350</v>
      </c>
      <c r="N13" s="203">
        <v>12.5</v>
      </c>
      <c r="O13" s="204">
        <v>101691772</v>
      </c>
      <c r="P13" s="205" t="s">
        <v>351</v>
      </c>
      <c r="Q13" s="189">
        <v>983335549</v>
      </c>
      <c r="R13" s="189"/>
      <c r="S13" s="189" t="s">
        <v>352</v>
      </c>
      <c r="T13" s="206"/>
    </row>
    <row r="14" spans="1:20" s="207" customFormat="1" ht="56.25" customHeight="1">
      <c r="A14" s="194">
        <v>6</v>
      </c>
      <c r="B14" s="195">
        <v>45360</v>
      </c>
      <c r="C14" s="196">
        <v>45453</v>
      </c>
      <c r="D14" s="197"/>
      <c r="E14" s="197"/>
      <c r="F14" s="198" t="s">
        <v>580</v>
      </c>
      <c r="G14" s="199">
        <v>113430016</v>
      </c>
      <c r="H14" s="200" t="s">
        <v>146</v>
      </c>
      <c r="I14" s="201" t="s">
        <v>569</v>
      </c>
      <c r="J14" s="202" t="s">
        <v>42</v>
      </c>
      <c r="K14" s="199" t="s">
        <v>81</v>
      </c>
      <c r="L14" s="199" t="s">
        <v>570</v>
      </c>
      <c r="M14" s="198" t="s">
        <v>581</v>
      </c>
      <c r="N14" s="203">
        <v>18.75</v>
      </c>
      <c r="O14" s="204">
        <v>104077912001</v>
      </c>
      <c r="P14" s="205" t="s">
        <v>571</v>
      </c>
      <c r="Q14" s="189">
        <v>958835967</v>
      </c>
      <c r="R14" s="189"/>
      <c r="S14" s="189" t="s">
        <v>568</v>
      </c>
      <c r="T14" s="206"/>
    </row>
    <row r="15" spans="1:20" s="207" customFormat="1" ht="56.25" customHeight="1">
      <c r="A15" s="194">
        <v>7</v>
      </c>
      <c r="B15" s="195">
        <v>45456</v>
      </c>
      <c r="C15" s="196">
        <v>45456</v>
      </c>
      <c r="D15" s="197"/>
      <c r="E15" s="197"/>
      <c r="F15" s="198" t="s">
        <v>355</v>
      </c>
      <c r="G15" s="199">
        <v>115110031</v>
      </c>
      <c r="H15" s="200" t="s">
        <v>356</v>
      </c>
      <c r="I15" s="201" t="s">
        <v>357</v>
      </c>
      <c r="J15" s="202" t="s">
        <v>42</v>
      </c>
      <c r="K15" s="199" t="s">
        <v>81</v>
      </c>
      <c r="L15" s="199" t="s">
        <v>358</v>
      </c>
      <c r="M15" s="198" t="s">
        <v>359</v>
      </c>
      <c r="N15" s="203">
        <v>12.5</v>
      </c>
      <c r="O15" s="204">
        <v>1714494646</v>
      </c>
      <c r="P15" s="205" t="s">
        <v>582</v>
      </c>
      <c r="Q15" s="189">
        <v>963511443</v>
      </c>
      <c r="R15" s="189"/>
      <c r="S15" s="189" t="s">
        <v>310</v>
      </c>
    </row>
    <row r="16" spans="1:20" s="207" customFormat="1" ht="51" customHeight="1">
      <c r="A16" s="194">
        <v>8</v>
      </c>
      <c r="B16" s="195">
        <v>45405</v>
      </c>
      <c r="C16" s="196">
        <v>45460</v>
      </c>
      <c r="D16" s="197"/>
      <c r="E16" s="197"/>
      <c r="F16" s="198" t="s">
        <v>387</v>
      </c>
      <c r="G16" s="199">
        <v>404666241</v>
      </c>
      <c r="H16" s="200" t="s">
        <v>239</v>
      </c>
      <c r="I16" s="201" t="s">
        <v>389</v>
      </c>
      <c r="J16" s="202" t="s">
        <v>42</v>
      </c>
      <c r="K16" s="199" t="s">
        <v>81</v>
      </c>
      <c r="L16" s="199" t="s">
        <v>391</v>
      </c>
      <c r="M16" s="198" t="s">
        <v>392</v>
      </c>
      <c r="N16" s="203">
        <v>12.5</v>
      </c>
      <c r="O16" s="204">
        <v>302105903</v>
      </c>
      <c r="P16" s="205" t="s">
        <v>394</v>
      </c>
      <c r="Q16" s="189">
        <v>959825074</v>
      </c>
      <c r="R16" s="189"/>
      <c r="S16" s="189" t="s">
        <v>535</v>
      </c>
    </row>
    <row r="17" spans="1:19" s="207" customFormat="1" ht="56.25" customHeight="1">
      <c r="A17" s="194">
        <v>9</v>
      </c>
      <c r="B17" s="195">
        <v>45405</v>
      </c>
      <c r="C17" s="196">
        <v>45460</v>
      </c>
      <c r="D17" s="197"/>
      <c r="E17" s="197"/>
      <c r="F17" s="198" t="s">
        <v>387</v>
      </c>
      <c r="G17" s="199">
        <v>404667304</v>
      </c>
      <c r="H17" s="200" t="s">
        <v>388</v>
      </c>
      <c r="I17" s="201" t="s">
        <v>390</v>
      </c>
      <c r="J17" s="202" t="s">
        <v>42</v>
      </c>
      <c r="K17" s="199" t="s">
        <v>81</v>
      </c>
      <c r="L17" s="199" t="s">
        <v>391</v>
      </c>
      <c r="M17" s="198" t="s">
        <v>393</v>
      </c>
      <c r="N17" s="203">
        <v>12.5</v>
      </c>
      <c r="O17" s="204">
        <v>302105903</v>
      </c>
      <c r="P17" s="205" t="s">
        <v>394</v>
      </c>
      <c r="Q17" s="189">
        <v>959825074</v>
      </c>
      <c r="R17" s="189"/>
      <c r="S17" s="189" t="s">
        <v>535</v>
      </c>
    </row>
    <row r="18" spans="1:19" s="207" customFormat="1" ht="36.75" customHeight="1">
      <c r="A18" s="194">
        <v>10</v>
      </c>
      <c r="B18" s="195">
        <v>45461</v>
      </c>
      <c r="C18" s="196">
        <v>45461</v>
      </c>
      <c r="D18" s="197"/>
      <c r="E18" s="197"/>
      <c r="F18" s="198"/>
      <c r="G18" s="199">
        <v>115260038</v>
      </c>
      <c r="H18" s="200" t="s">
        <v>573</v>
      </c>
      <c r="I18" s="201">
        <v>8434778023817</v>
      </c>
      <c r="J18" s="202" t="s">
        <v>42</v>
      </c>
      <c r="K18" s="199" t="s">
        <v>81</v>
      </c>
      <c r="L18" s="199" t="s">
        <v>79</v>
      </c>
      <c r="M18" s="198" t="s">
        <v>574</v>
      </c>
      <c r="N18" s="203">
        <v>12.5</v>
      </c>
      <c r="O18" s="204">
        <v>103642708</v>
      </c>
      <c r="P18" s="205" t="s">
        <v>97</v>
      </c>
      <c r="Q18" s="189">
        <v>987665567</v>
      </c>
      <c r="R18" s="189"/>
      <c r="S18" s="189" t="s">
        <v>310</v>
      </c>
    </row>
    <row r="19" spans="1:19" s="187" customFormat="1" ht="56.25" customHeight="1">
      <c r="A19" s="186"/>
      <c r="B19"/>
      <c r="C19"/>
      <c r="D19"/>
      <c r="E19"/>
      <c r="F19"/>
      <c r="G19"/>
      <c r="H19"/>
      <c r="I19"/>
      <c r="J19" s="211">
        <v>3</v>
      </c>
      <c r="K19" s="208" t="s">
        <v>313</v>
      </c>
      <c r="L19" s="211">
        <v>12.5</v>
      </c>
      <c r="M19" s="211">
        <f>J19*L19</f>
        <v>37.5</v>
      </c>
      <c r="N19" s="112">
        <f>SUM(N9:N18)</f>
        <v>143.75</v>
      </c>
      <c r="O19"/>
      <c r="P19"/>
      <c r="Q19"/>
      <c r="R19"/>
      <c r="S19"/>
    </row>
    <row r="20" spans="1:19" s="187" customFormat="1" ht="31.5" customHeight="1">
      <c r="A20" s="186"/>
      <c r="B20"/>
      <c r="C20"/>
      <c r="D20"/>
      <c r="E20"/>
      <c r="F20"/>
      <c r="G20"/>
      <c r="H20"/>
      <c r="I20"/>
      <c r="J20" s="210">
        <v>1</v>
      </c>
      <c r="K20" s="208" t="s">
        <v>314</v>
      </c>
      <c r="L20" s="211">
        <v>18.75</v>
      </c>
      <c r="M20" s="211">
        <v>18.75</v>
      </c>
      <c r="N20"/>
      <c r="O20"/>
      <c r="P20"/>
      <c r="Q20"/>
      <c r="R20"/>
      <c r="S20"/>
    </row>
    <row r="21" spans="1:19" s="187" customFormat="1" ht="30" customHeight="1">
      <c r="A21" s="186"/>
      <c r="B21"/>
      <c r="C21"/>
      <c r="D21"/>
      <c r="E21"/>
      <c r="F21"/>
      <c r="G21"/>
      <c r="H21"/>
      <c r="I21"/>
      <c r="J21" s="211">
        <v>1</v>
      </c>
      <c r="K21" s="208" t="s">
        <v>325</v>
      </c>
      <c r="L21" s="211">
        <v>18.75</v>
      </c>
      <c r="M21" s="211">
        <v>18.75</v>
      </c>
      <c r="N21"/>
      <c r="O21"/>
      <c r="P21"/>
      <c r="Q21"/>
      <c r="R21"/>
      <c r="S21"/>
    </row>
    <row r="22" spans="1:19" s="187" customFormat="1" ht="30" customHeight="1">
      <c r="A22" s="186"/>
      <c r="B22"/>
      <c r="C22"/>
      <c r="D22"/>
      <c r="E22"/>
      <c r="F22"/>
      <c r="G22"/>
      <c r="H22"/>
      <c r="I22"/>
      <c r="J22" s="211">
        <v>2</v>
      </c>
      <c r="K22" s="208" t="s">
        <v>360</v>
      </c>
      <c r="L22" s="211">
        <v>12.5</v>
      </c>
      <c r="M22" s="211">
        <v>25</v>
      </c>
      <c r="N22"/>
      <c r="O22"/>
      <c r="P22"/>
      <c r="Q22"/>
      <c r="R22"/>
      <c r="S22"/>
    </row>
    <row r="23" spans="1:19" s="187" customFormat="1" ht="24.75" customHeight="1">
      <c r="A23" s="186"/>
      <c r="B23"/>
      <c r="C23"/>
      <c r="D23"/>
      <c r="E23"/>
      <c r="F23"/>
      <c r="G23"/>
      <c r="H23"/>
      <c r="I23"/>
      <c r="J23" s="211">
        <v>2</v>
      </c>
      <c r="K23" s="208" t="s">
        <v>536</v>
      </c>
      <c r="L23" s="211">
        <v>12.5</v>
      </c>
      <c r="M23" s="211">
        <v>25</v>
      </c>
      <c r="N23"/>
      <c r="O23"/>
      <c r="P23"/>
      <c r="Q23"/>
      <c r="R23"/>
      <c r="S23"/>
    </row>
    <row r="24" spans="1:19" s="187" customFormat="1" ht="56.25" customHeight="1">
      <c r="A24" s="186"/>
      <c r="B24"/>
      <c r="C24"/>
      <c r="D24"/>
      <c r="E24"/>
      <c r="F24"/>
      <c r="G24"/>
      <c r="H24"/>
      <c r="I24"/>
      <c r="J24" s="211">
        <v>1</v>
      </c>
      <c r="K24" s="211" t="s">
        <v>572</v>
      </c>
      <c r="L24" s="211">
        <v>18.75</v>
      </c>
      <c r="M24" s="211">
        <v>18.75</v>
      </c>
      <c r="N24"/>
      <c r="O24"/>
      <c r="P24"/>
      <c r="Q24"/>
      <c r="R24"/>
      <c r="S24"/>
    </row>
    <row r="25" spans="1:19" s="187" customFormat="1" ht="56.25" customHeight="1">
      <c r="A25" s="186"/>
      <c r="B25"/>
      <c r="C25"/>
      <c r="D25"/>
      <c r="E25"/>
      <c r="F25"/>
      <c r="G25"/>
      <c r="H25"/>
      <c r="I25"/>
      <c r="J25" s="211"/>
      <c r="K25"/>
      <c r="L25"/>
      <c r="M25" s="5">
        <f>SUM(M19:M24)</f>
        <v>143.75</v>
      </c>
      <c r="N25"/>
      <c r="O25"/>
      <c r="P25"/>
      <c r="Q25"/>
      <c r="R25"/>
      <c r="S25"/>
    </row>
    <row r="26" spans="1:19" s="187" customFormat="1" ht="56.25" customHeight="1">
      <c r="A26" s="18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s="187" customFormat="1" ht="17">
      <c r="A27" s="188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s="187" customFormat="1" ht="17">
      <c r="A28" s="18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9" s="75" customFormat="1" ht="17">
      <c r="A29" s="76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9" s="75" customFormat="1" ht="17">
      <c r="A30" s="76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</sheetData>
  <hyperlinks>
    <hyperlink ref="P9" r:id="rId1" xr:uid="{00000000-0004-0000-0100-000000000000}"/>
    <hyperlink ref="P10" r:id="rId2" xr:uid="{00000000-0004-0000-0100-000001000000}"/>
    <hyperlink ref="P11" r:id="rId3" xr:uid="{00000000-0004-0000-0100-000002000000}"/>
    <hyperlink ref="P12" r:id="rId4" xr:uid="{00000000-0004-0000-0100-000003000000}"/>
    <hyperlink ref="P13" r:id="rId5" xr:uid="{00000000-0004-0000-0100-000004000000}"/>
    <hyperlink ref="P16" r:id="rId6" xr:uid="{00000000-0004-0000-0100-000005000000}"/>
    <hyperlink ref="P17" r:id="rId7" xr:uid="{00000000-0004-0000-0100-000006000000}"/>
    <hyperlink ref="V26" r:id="rId8" display="santiago2217@icloud.com" xr:uid="{00000000-0004-0000-0100-000007000000}"/>
    <hyperlink ref="P14" r:id="rId9" xr:uid="{00000000-0004-0000-0100-000008000000}"/>
    <hyperlink ref="P18" r:id="rId10" xr:uid="{00000000-0004-0000-0100-000009000000}"/>
    <hyperlink ref="P15" r:id="rId11" xr:uid="{00000000-0004-0000-0100-00000A000000}"/>
  </hyperlinks>
  <pageMargins left="0.7" right="0.7" top="0.75" bottom="0.75" header="0.3" footer="0.3"/>
  <pageSetup paperSize="9" orientation="portrait" horizontalDpi="0" verticalDpi="0" r:id="rId12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10"/>
  <sheetViews>
    <sheetView workbookViewId="0">
      <selection activeCell="E7" sqref="E7"/>
    </sheetView>
  </sheetViews>
  <sheetFormatPr baseColWidth="10" defaultRowHeight="15"/>
  <cols>
    <col min="2" max="2" width="11.33203125" bestFit="1" customWidth="1"/>
    <col min="5" max="5" width="16.6640625" customWidth="1"/>
    <col min="6" max="6" width="26.1640625" customWidth="1"/>
    <col min="7" max="7" width="16" customWidth="1"/>
    <col min="11" max="11" width="11.33203125" bestFit="1" customWidth="1"/>
    <col min="14" max="14" width="11.1640625" bestFit="1" customWidth="1"/>
    <col min="16" max="16" width="13.33203125" bestFit="1" customWidth="1"/>
    <col min="20" max="20" width="13.83203125" bestFit="1" customWidth="1"/>
  </cols>
  <sheetData>
    <row r="3" spans="1:21">
      <c r="A3" s="77"/>
      <c r="B3" s="78"/>
      <c r="C3" s="79" t="s">
        <v>43</v>
      </c>
      <c r="D3" s="78"/>
      <c r="E3" s="80"/>
      <c r="F3" s="78"/>
      <c r="G3" s="81"/>
      <c r="H3" s="78"/>
      <c r="I3" s="78"/>
      <c r="J3" s="78"/>
      <c r="K3" s="82"/>
      <c r="L3" s="82"/>
      <c r="M3" s="78"/>
      <c r="N3" s="78"/>
      <c r="O3" s="83"/>
      <c r="P3" s="78"/>
      <c r="Q3" s="78"/>
      <c r="R3" s="78"/>
      <c r="S3" s="78"/>
      <c r="T3" s="78"/>
      <c r="U3" s="84"/>
    </row>
    <row r="4" spans="1:21">
      <c r="A4" s="77"/>
      <c r="B4" s="78"/>
      <c r="C4" s="85" t="s">
        <v>44</v>
      </c>
      <c r="D4" s="78"/>
      <c r="E4" s="78"/>
      <c r="F4" s="78"/>
      <c r="G4" s="81"/>
      <c r="H4" s="78"/>
      <c r="I4" s="78" t="s">
        <v>45</v>
      </c>
      <c r="J4" s="78"/>
      <c r="K4" s="82"/>
      <c r="L4" s="82"/>
      <c r="M4" s="157" t="s">
        <v>102</v>
      </c>
      <c r="N4" s="78"/>
      <c r="O4" s="83"/>
      <c r="P4" s="78"/>
      <c r="Q4" s="86"/>
      <c r="R4" s="78"/>
      <c r="S4" s="78"/>
      <c r="T4" s="87"/>
      <c r="U4" s="88">
        <v>45444</v>
      </c>
    </row>
    <row r="5" spans="1:21" ht="37">
      <c r="A5" s="84"/>
      <c r="B5" s="89" t="s">
        <v>2</v>
      </c>
      <c r="C5" s="89" t="s">
        <v>3</v>
      </c>
      <c r="D5" s="89" t="s">
        <v>4</v>
      </c>
      <c r="E5" s="89" t="s">
        <v>5</v>
      </c>
      <c r="F5" s="89" t="s">
        <v>6</v>
      </c>
      <c r="G5" s="89" t="s">
        <v>7</v>
      </c>
      <c r="H5" s="89" t="s">
        <v>8</v>
      </c>
      <c r="I5" s="89" t="s">
        <v>9</v>
      </c>
      <c r="J5" s="89" t="s">
        <v>10</v>
      </c>
      <c r="K5" s="90" t="s">
        <v>46</v>
      </c>
      <c r="L5" s="90" t="s">
        <v>12</v>
      </c>
      <c r="M5" s="90" t="s">
        <v>13</v>
      </c>
      <c r="N5" s="90" t="s">
        <v>14</v>
      </c>
      <c r="O5" s="91" t="s">
        <v>15</v>
      </c>
      <c r="P5" s="90" t="s">
        <v>47</v>
      </c>
      <c r="Q5" s="90" t="s">
        <v>48</v>
      </c>
      <c r="R5" s="92" t="s">
        <v>49</v>
      </c>
      <c r="S5" s="92" t="s">
        <v>19</v>
      </c>
      <c r="T5" s="93" t="s">
        <v>20</v>
      </c>
      <c r="U5" s="94" t="s">
        <v>50</v>
      </c>
    </row>
    <row r="6" spans="1:21" s="39" customFormat="1" ht="23.25" customHeight="1">
      <c r="A6" s="95">
        <v>1</v>
      </c>
      <c r="B6" s="101">
        <v>45456</v>
      </c>
      <c r="C6" s="102" t="s">
        <v>51</v>
      </c>
      <c r="D6" s="97" t="s">
        <v>310</v>
      </c>
      <c r="E6" s="98">
        <v>111570003</v>
      </c>
      <c r="F6" s="99" t="s">
        <v>84</v>
      </c>
      <c r="G6" s="103" t="s">
        <v>364</v>
      </c>
      <c r="H6" s="104">
        <v>421304</v>
      </c>
      <c r="I6" s="105" t="s">
        <v>77</v>
      </c>
      <c r="J6" s="105" t="s">
        <v>78</v>
      </c>
      <c r="K6" s="101">
        <v>45456</v>
      </c>
      <c r="L6" s="102" t="s">
        <v>365</v>
      </c>
      <c r="M6" s="100" t="s">
        <v>366</v>
      </c>
      <c r="N6" s="192">
        <v>995144143</v>
      </c>
      <c r="O6" s="106">
        <v>29</v>
      </c>
      <c r="P6" s="102" t="s">
        <v>52</v>
      </c>
      <c r="Q6" s="102" t="s">
        <v>77</v>
      </c>
      <c r="R6" s="107">
        <v>0</v>
      </c>
      <c r="S6" s="107">
        <v>0</v>
      </c>
      <c r="T6" s="108">
        <v>604214692</v>
      </c>
      <c r="U6" s="156" t="s">
        <v>367</v>
      </c>
    </row>
    <row r="7" spans="1:21" ht="18">
      <c r="A7">
        <v>2</v>
      </c>
      <c r="B7" s="101">
        <v>45457</v>
      </c>
      <c r="C7" s="102" t="s">
        <v>51</v>
      </c>
      <c r="D7" s="97" t="s">
        <v>575</v>
      </c>
      <c r="E7" s="98">
        <v>111570003</v>
      </c>
      <c r="F7" s="99" t="s">
        <v>84</v>
      </c>
      <c r="G7" s="103" t="s">
        <v>576</v>
      </c>
      <c r="H7" s="104">
        <v>420070</v>
      </c>
      <c r="I7" s="105" t="s">
        <v>77</v>
      </c>
      <c r="J7" s="105" t="s">
        <v>78</v>
      </c>
      <c r="K7" s="101">
        <v>45462</v>
      </c>
      <c r="L7" s="102" t="s">
        <v>577</v>
      </c>
      <c r="M7" s="100" t="s">
        <v>578</v>
      </c>
      <c r="N7" s="192">
        <v>999271114</v>
      </c>
      <c r="O7" s="106">
        <v>29</v>
      </c>
      <c r="P7" s="102" t="s">
        <v>52</v>
      </c>
      <c r="Q7" s="102" t="s">
        <v>77</v>
      </c>
      <c r="R7" s="107">
        <v>0</v>
      </c>
      <c r="S7" s="107">
        <v>0</v>
      </c>
      <c r="T7" s="108">
        <v>301289195</v>
      </c>
      <c r="U7" s="156" t="s">
        <v>579</v>
      </c>
    </row>
    <row r="10" spans="1:21" ht="17">
      <c r="I10" s="96">
        <v>2</v>
      </c>
      <c r="J10" t="s">
        <v>45</v>
      </c>
      <c r="K10" s="96">
        <v>29</v>
      </c>
      <c r="L10" s="96">
        <f>I10*K10</f>
        <v>58</v>
      </c>
    </row>
  </sheetData>
  <hyperlinks>
    <hyperlink ref="U6" r:id="rId1" xr:uid="{00000000-0004-0000-0200-000000000000}"/>
    <hyperlink ref="U7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9"/>
  <sheetViews>
    <sheetView workbookViewId="0">
      <selection activeCell="E19" sqref="E19"/>
    </sheetView>
  </sheetViews>
  <sheetFormatPr baseColWidth="10" defaultRowHeight="15"/>
  <cols>
    <col min="5" max="5" width="15.33203125" customWidth="1"/>
    <col min="6" max="6" width="39.33203125" bestFit="1" customWidth="1"/>
    <col min="7" max="7" width="15.6640625" bestFit="1" customWidth="1"/>
    <col min="10" max="10" width="15.6640625" customWidth="1"/>
    <col min="11" max="11" width="18.6640625" customWidth="1"/>
    <col min="14" max="14" width="16" customWidth="1"/>
  </cols>
  <sheetData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2">
      <c r="A4" s="5"/>
      <c r="B4" s="5"/>
      <c r="C4" s="109" t="s">
        <v>53</v>
      </c>
      <c r="D4" s="110"/>
      <c r="E4" s="110"/>
      <c r="F4" s="5"/>
      <c r="G4" s="110"/>
      <c r="H4" s="110"/>
      <c r="I4" s="110"/>
      <c r="J4" s="110"/>
      <c r="K4" s="110"/>
      <c r="L4" s="110"/>
      <c r="M4" s="110"/>
      <c r="N4" s="110"/>
      <c r="O4" s="110"/>
      <c r="P4" s="5"/>
    </row>
    <row r="5" spans="1:22" ht="16" thickBot="1">
      <c r="A5" s="5"/>
      <c r="B5" s="110"/>
      <c r="C5" s="111" t="s">
        <v>1</v>
      </c>
      <c r="D5" s="111"/>
      <c r="E5" s="111"/>
      <c r="F5" s="5"/>
      <c r="J5" t="s">
        <v>65</v>
      </c>
      <c r="K5" s="5"/>
      <c r="L5" s="119" t="s">
        <v>99</v>
      </c>
      <c r="P5" s="5"/>
    </row>
    <row r="6" spans="1:22" s="23" customFormat="1" ht="58.5" customHeight="1">
      <c r="A6" s="113"/>
      <c r="B6" s="114" t="s">
        <v>54</v>
      </c>
      <c r="C6" s="115" t="s">
        <v>55</v>
      </c>
      <c r="D6" s="115" t="s">
        <v>4</v>
      </c>
      <c r="E6" s="116" t="s">
        <v>56</v>
      </c>
      <c r="F6" s="115" t="s">
        <v>57</v>
      </c>
      <c r="G6" s="115" t="s">
        <v>58</v>
      </c>
      <c r="H6" s="114" t="s">
        <v>8</v>
      </c>
      <c r="I6" s="115" t="s">
        <v>59</v>
      </c>
      <c r="J6" s="115" t="s">
        <v>60</v>
      </c>
      <c r="K6" s="115" t="s">
        <v>61</v>
      </c>
      <c r="L6" s="115" t="s">
        <v>12</v>
      </c>
      <c r="M6" s="117" t="s">
        <v>62</v>
      </c>
      <c r="N6" s="115" t="s">
        <v>14</v>
      </c>
      <c r="O6" s="118" t="s">
        <v>15</v>
      </c>
      <c r="P6" s="115" t="s">
        <v>63</v>
      </c>
      <c r="Q6" s="117"/>
      <c r="R6" s="117"/>
    </row>
    <row r="7" spans="1:22" s="39" customFormat="1" ht="24" customHeight="1">
      <c r="A7" s="24">
        <v>1</v>
      </c>
      <c r="B7" s="25">
        <v>45442</v>
      </c>
      <c r="C7" s="26" t="s">
        <v>79</v>
      </c>
      <c r="D7" s="26" t="s">
        <v>64</v>
      </c>
      <c r="E7" s="27">
        <v>111910000</v>
      </c>
      <c r="F7" s="28" t="s">
        <v>326</v>
      </c>
      <c r="G7" s="29">
        <v>111910000000126</v>
      </c>
      <c r="H7" s="30" t="s">
        <v>42</v>
      </c>
      <c r="I7" s="26" t="s">
        <v>81</v>
      </c>
      <c r="J7" s="29" t="s">
        <v>82</v>
      </c>
      <c r="K7" s="31">
        <v>45442</v>
      </c>
      <c r="L7" s="32" t="s">
        <v>79</v>
      </c>
      <c r="M7" s="32" t="s">
        <v>83</v>
      </c>
      <c r="N7" s="190" t="s">
        <v>327</v>
      </c>
      <c r="O7" s="33">
        <v>15</v>
      </c>
      <c r="P7" s="26" t="s">
        <v>328</v>
      </c>
      <c r="Q7" s="26"/>
      <c r="R7" s="193" t="s">
        <v>97</v>
      </c>
      <c r="S7" s="35"/>
      <c r="T7" s="36"/>
      <c r="U7" s="37"/>
      <c r="V7" s="38"/>
    </row>
    <row r="8" spans="1:22">
      <c r="O8" s="112"/>
    </row>
    <row r="9" spans="1:22">
      <c r="K9">
        <v>1</v>
      </c>
      <c r="L9" t="s">
        <v>329</v>
      </c>
      <c r="M9">
        <v>15</v>
      </c>
      <c r="N9">
        <f>K9*M9</f>
        <v>15</v>
      </c>
    </row>
  </sheetData>
  <hyperlinks>
    <hyperlink ref="R7" r:id="rId1" xr:uid="{00000000-0004-0000-03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workbookViewId="0">
      <selection activeCell="F13" sqref="F13"/>
    </sheetView>
  </sheetViews>
  <sheetFormatPr baseColWidth="10" defaultRowHeight="15"/>
  <cols>
    <col min="3" max="3" width="11.33203125" customWidth="1"/>
    <col min="6" max="6" width="13.33203125" customWidth="1"/>
    <col min="11" max="11" width="20" customWidth="1"/>
  </cols>
  <sheetData>
    <row r="1" spans="1:21">
      <c r="A1" s="120"/>
      <c r="B1" s="121" t="s">
        <v>66</v>
      </c>
      <c r="C1" s="122"/>
      <c r="D1" s="121"/>
      <c r="E1" s="123"/>
      <c r="F1" s="123"/>
      <c r="G1" s="124"/>
      <c r="H1" s="124"/>
      <c r="I1" s="124"/>
      <c r="J1" s="124"/>
      <c r="K1" s="124"/>
      <c r="L1" s="124"/>
      <c r="M1" s="125"/>
      <c r="N1" s="124"/>
      <c r="O1" s="124"/>
      <c r="P1" s="124"/>
    </row>
    <row r="2" spans="1:21">
      <c r="A2" s="120"/>
      <c r="B2" s="126" t="s">
        <v>89</v>
      </c>
      <c r="C2" s="127"/>
      <c r="D2" s="123"/>
      <c r="E2" s="123"/>
      <c r="F2" s="123"/>
      <c r="G2" s="124"/>
      <c r="H2" s="124"/>
      <c r="I2" s="124"/>
      <c r="J2" s="124"/>
      <c r="K2" s="124"/>
      <c r="L2" s="124"/>
      <c r="M2" s="125"/>
      <c r="N2" s="124"/>
      <c r="O2" s="124"/>
      <c r="P2" s="124"/>
    </row>
    <row r="3" spans="1:21">
      <c r="A3" s="120"/>
      <c r="B3" s="128"/>
      <c r="C3" s="129"/>
      <c r="D3" s="128"/>
      <c r="E3" s="128"/>
      <c r="F3" s="128"/>
      <c r="G3" s="128"/>
      <c r="H3" s="128"/>
      <c r="I3" s="130"/>
      <c r="J3" s="128"/>
      <c r="K3" s="123"/>
      <c r="L3" s="123"/>
      <c r="M3" s="131"/>
      <c r="N3" s="124"/>
      <c r="O3" s="124"/>
      <c r="P3" s="128"/>
    </row>
    <row r="4" spans="1:21">
      <c r="A4" s="120"/>
      <c r="B4" s="124"/>
      <c r="C4" s="129" t="s">
        <v>0</v>
      </c>
      <c r="D4" s="124"/>
      <c r="E4" s="132"/>
      <c r="F4" s="124"/>
      <c r="G4" s="133"/>
      <c r="H4" s="124"/>
      <c r="I4" s="124"/>
      <c r="J4" s="124"/>
      <c r="K4" s="123"/>
      <c r="L4" s="127"/>
      <c r="M4" s="125"/>
      <c r="N4" s="124"/>
      <c r="O4" s="124"/>
      <c r="P4" s="124"/>
    </row>
    <row r="5" spans="1:21">
      <c r="A5" s="120"/>
      <c r="B5" s="124"/>
      <c r="C5" s="134" t="s">
        <v>1</v>
      </c>
      <c r="D5" s="134" t="s">
        <v>1</v>
      </c>
      <c r="E5" s="124"/>
      <c r="G5" s="124"/>
      <c r="H5" s="124"/>
      <c r="I5" s="124"/>
      <c r="J5" s="124" t="s">
        <v>76</v>
      </c>
      <c r="K5" s="124"/>
      <c r="L5" s="124"/>
      <c r="M5" s="124" t="s">
        <v>103</v>
      </c>
    </row>
    <row r="6" spans="1:21" ht="37">
      <c r="A6" s="120"/>
      <c r="B6" s="135" t="s">
        <v>2</v>
      </c>
      <c r="C6" s="135" t="s">
        <v>3</v>
      </c>
      <c r="D6" s="135" t="s">
        <v>4</v>
      </c>
      <c r="E6" s="135" t="s">
        <v>5</v>
      </c>
      <c r="F6" s="136" t="s">
        <v>6</v>
      </c>
      <c r="G6" s="135" t="s">
        <v>7</v>
      </c>
      <c r="H6" s="135" t="s">
        <v>8</v>
      </c>
      <c r="I6" s="135" t="s">
        <v>9</v>
      </c>
      <c r="J6" s="135" t="s">
        <v>10</v>
      </c>
      <c r="K6" s="135" t="s">
        <v>11</v>
      </c>
      <c r="L6" s="135" t="s">
        <v>68</v>
      </c>
      <c r="M6" s="137" t="s">
        <v>69</v>
      </c>
      <c r="N6" s="135" t="s">
        <v>70</v>
      </c>
      <c r="O6" s="135" t="s">
        <v>67</v>
      </c>
      <c r="P6" s="135" t="s">
        <v>71</v>
      </c>
      <c r="Q6" s="135" t="s">
        <v>72</v>
      </c>
      <c r="R6" s="135" t="s">
        <v>73</v>
      </c>
      <c r="S6" s="135" t="s">
        <v>74</v>
      </c>
      <c r="T6" s="137" t="s">
        <v>75</v>
      </c>
      <c r="U6" s="135" t="s">
        <v>13</v>
      </c>
    </row>
    <row r="7" spans="1:21" s="40" customFormat="1" ht="24" customHeight="1">
      <c r="A7" s="40">
        <v>1</v>
      </c>
      <c r="B7" s="138"/>
      <c r="C7" s="139"/>
      <c r="D7" s="139"/>
      <c r="E7" s="140"/>
      <c r="F7" s="139"/>
      <c r="G7" s="141"/>
      <c r="H7" s="142" t="s">
        <v>42</v>
      </c>
      <c r="I7" s="143" t="s">
        <v>90</v>
      </c>
      <c r="J7" s="143" t="s">
        <v>78</v>
      </c>
      <c r="K7" s="144"/>
      <c r="L7" s="145"/>
      <c r="M7" s="145"/>
      <c r="N7" s="146"/>
      <c r="O7" s="147" t="s">
        <v>91</v>
      </c>
      <c r="P7" s="139"/>
      <c r="Q7" s="191"/>
      <c r="R7" s="149"/>
      <c r="S7" s="145"/>
      <c r="T7" s="145"/>
      <c r="U7" s="148"/>
    </row>
    <row r="8" spans="1:21" s="40" customFormat="1" ht="24" customHeight="1">
      <c r="A8"/>
      <c r="B8"/>
      <c r="C8"/>
      <c r="D8"/>
      <c r="E8"/>
      <c r="F8"/>
      <c r="G8"/>
      <c r="H8"/>
      <c r="I8"/>
      <c r="J8"/>
      <c r="K8"/>
      <c r="L8"/>
      <c r="M8"/>
      <c r="N8" s="150"/>
      <c r="O8"/>
      <c r="P8"/>
      <c r="Q8"/>
      <c r="R8"/>
      <c r="S8"/>
      <c r="T8"/>
      <c r="U8"/>
    </row>
    <row r="9" spans="1:21" s="40" customFormat="1" ht="24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40" customFormat="1" ht="24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40" customFormat="1" ht="2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40" customFormat="1" ht="24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40" customFormat="1" ht="2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40" customFormat="1" ht="2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40" customFormat="1" ht="24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40" customFormat="1" ht="24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40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40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40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40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40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40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40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40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40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40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40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40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40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40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40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40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40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40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40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40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40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40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40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40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40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40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"/>
  <sheetViews>
    <sheetView tabSelected="1" topLeftCell="L13" zoomScale="110" zoomScaleNormal="110" workbookViewId="0">
      <selection activeCell="U25" sqref="U25"/>
    </sheetView>
  </sheetViews>
  <sheetFormatPr baseColWidth="10" defaultRowHeight="15"/>
  <sheetData>
    <row r="1" spans="1:21" ht="16">
      <c r="G1" s="185"/>
    </row>
    <row r="2" spans="1:21">
      <c r="B2" s="158"/>
      <c r="C2" s="159" t="s">
        <v>0</v>
      </c>
      <c r="F2" s="160"/>
      <c r="G2" s="161"/>
      <c r="H2" s="162"/>
      <c r="I2" s="163"/>
      <c r="J2" s="164"/>
      <c r="K2" s="165"/>
      <c r="L2" s="166"/>
      <c r="M2" s="166"/>
      <c r="N2" s="158"/>
      <c r="O2" s="167"/>
      <c r="T2" s="168"/>
    </row>
    <row r="3" spans="1:21">
      <c r="B3" s="158"/>
      <c r="C3" s="169" t="s">
        <v>1</v>
      </c>
      <c r="F3" s="170"/>
      <c r="G3" s="161"/>
      <c r="H3" s="162"/>
      <c r="I3" s="163"/>
      <c r="J3" s="164" t="s">
        <v>86</v>
      </c>
      <c r="K3" s="165"/>
      <c r="L3" s="166"/>
      <c r="M3" s="171"/>
      <c r="N3" s="172" t="s">
        <v>104</v>
      </c>
      <c r="O3" s="167"/>
      <c r="P3" s="173"/>
      <c r="T3" s="168"/>
    </row>
    <row r="4" spans="1:21" ht="20">
      <c r="B4" s="174" t="s">
        <v>11</v>
      </c>
      <c r="C4" s="174" t="s">
        <v>2</v>
      </c>
      <c r="D4" s="174" t="s">
        <v>3</v>
      </c>
      <c r="E4" s="174" t="s">
        <v>4</v>
      </c>
      <c r="F4" s="174" t="s">
        <v>5</v>
      </c>
      <c r="G4" s="174" t="s">
        <v>6</v>
      </c>
      <c r="H4" s="174" t="s">
        <v>7</v>
      </c>
      <c r="I4" s="174" t="s">
        <v>8</v>
      </c>
      <c r="J4" s="174" t="s">
        <v>9</v>
      </c>
      <c r="K4" s="174" t="s">
        <v>10</v>
      </c>
      <c r="L4" s="175" t="s">
        <v>12</v>
      </c>
      <c r="M4" s="175" t="s">
        <v>13</v>
      </c>
      <c r="N4" s="174" t="s">
        <v>14</v>
      </c>
      <c r="O4" s="176" t="s">
        <v>15</v>
      </c>
      <c r="P4" s="174" t="s">
        <v>16</v>
      </c>
      <c r="Q4" s="174" t="s">
        <v>17</v>
      </c>
      <c r="R4" s="177" t="s">
        <v>18</v>
      </c>
      <c r="S4" s="174" t="s">
        <v>19</v>
      </c>
      <c r="T4" s="174" t="s">
        <v>20</v>
      </c>
      <c r="U4" s="178" t="s">
        <v>21</v>
      </c>
    </row>
    <row r="5" spans="1:21">
      <c r="A5">
        <v>1</v>
      </c>
      <c r="B5" s="179">
        <v>45434</v>
      </c>
      <c r="C5" s="179">
        <v>45033</v>
      </c>
      <c r="D5" s="179" t="s">
        <v>79</v>
      </c>
      <c r="E5" s="179" t="s">
        <v>125</v>
      </c>
      <c r="F5" s="180" t="s">
        <v>126</v>
      </c>
      <c r="G5" s="179" t="s">
        <v>127</v>
      </c>
      <c r="H5" s="179" t="s">
        <v>128</v>
      </c>
      <c r="I5" s="180" t="s">
        <v>129</v>
      </c>
      <c r="J5" s="179" t="s">
        <v>81</v>
      </c>
      <c r="K5" s="179" t="s">
        <v>82</v>
      </c>
      <c r="L5" s="179" t="s">
        <v>130</v>
      </c>
      <c r="M5" s="179" t="s">
        <v>131</v>
      </c>
      <c r="N5" s="181">
        <v>992524121</v>
      </c>
      <c r="O5" s="182">
        <v>15</v>
      </c>
      <c r="P5" s="179" t="s">
        <v>87</v>
      </c>
      <c r="Q5" s="179" t="s">
        <v>81</v>
      </c>
      <c r="R5" s="179"/>
      <c r="S5" s="179" t="s">
        <v>125</v>
      </c>
      <c r="T5" s="183">
        <v>101219202</v>
      </c>
      <c r="U5" s="184" t="s">
        <v>121</v>
      </c>
    </row>
    <row r="6" spans="1:21">
      <c r="A6">
        <v>2</v>
      </c>
      <c r="B6" s="179">
        <v>45433</v>
      </c>
      <c r="C6" s="179">
        <v>45385</v>
      </c>
      <c r="D6" s="179" t="s">
        <v>395</v>
      </c>
      <c r="E6" s="179" t="s">
        <v>396</v>
      </c>
      <c r="F6" s="180" t="s">
        <v>397</v>
      </c>
      <c r="G6" s="179" t="s">
        <v>398</v>
      </c>
      <c r="H6" s="179" t="s">
        <v>399</v>
      </c>
      <c r="I6" s="180" t="s">
        <v>42</v>
      </c>
      <c r="J6" s="179" t="s">
        <v>81</v>
      </c>
      <c r="K6" s="179" t="s">
        <v>82</v>
      </c>
      <c r="L6" s="179" t="s">
        <v>400</v>
      </c>
      <c r="M6" s="179" t="s">
        <v>401</v>
      </c>
      <c r="N6" s="181">
        <v>4189647958</v>
      </c>
      <c r="O6" s="182">
        <v>29</v>
      </c>
      <c r="P6" s="179" t="s">
        <v>87</v>
      </c>
      <c r="Q6" s="179" t="s">
        <v>81</v>
      </c>
      <c r="R6" s="179"/>
      <c r="S6" s="179" t="s">
        <v>402</v>
      </c>
      <c r="T6" s="183">
        <v>101197481</v>
      </c>
      <c r="U6" s="184" t="s">
        <v>403</v>
      </c>
    </row>
    <row r="7" spans="1:21">
      <c r="A7">
        <v>3</v>
      </c>
      <c r="B7" s="179">
        <v>45434</v>
      </c>
      <c r="C7" s="179">
        <v>45428</v>
      </c>
      <c r="D7" s="179" t="s">
        <v>98</v>
      </c>
      <c r="E7" s="179" t="s">
        <v>404</v>
      </c>
      <c r="F7" s="180" t="s">
        <v>405</v>
      </c>
      <c r="G7" s="179" t="s">
        <v>250</v>
      </c>
      <c r="H7" s="179" t="s">
        <v>406</v>
      </c>
      <c r="I7" s="180" t="s">
        <v>407</v>
      </c>
      <c r="J7" s="179" t="s">
        <v>81</v>
      </c>
      <c r="K7" s="179" t="s">
        <v>82</v>
      </c>
      <c r="L7" s="179" t="s">
        <v>408</v>
      </c>
      <c r="M7" s="179" t="s">
        <v>409</v>
      </c>
      <c r="N7" s="181">
        <v>993490550</v>
      </c>
      <c r="O7" s="182">
        <v>15</v>
      </c>
      <c r="P7" s="179" t="s">
        <v>87</v>
      </c>
      <c r="Q7" s="179" t="s">
        <v>81</v>
      </c>
      <c r="R7" s="179"/>
      <c r="S7" s="179" t="s">
        <v>404</v>
      </c>
      <c r="T7" s="183">
        <v>106356165</v>
      </c>
      <c r="U7" s="184" t="s">
        <v>410</v>
      </c>
    </row>
    <row r="8" spans="1:21">
      <c r="A8">
        <v>4</v>
      </c>
      <c r="B8" s="179">
        <v>45439</v>
      </c>
      <c r="C8" s="179">
        <v>45437</v>
      </c>
      <c r="D8" s="179" t="s">
        <v>98</v>
      </c>
      <c r="E8" s="179" t="s">
        <v>411</v>
      </c>
      <c r="F8" s="180" t="s">
        <v>412</v>
      </c>
      <c r="G8" s="179" t="s">
        <v>413</v>
      </c>
      <c r="H8" s="179" t="s">
        <v>414</v>
      </c>
      <c r="I8" s="180" t="s">
        <v>415</v>
      </c>
      <c r="J8" s="179" t="s">
        <v>81</v>
      </c>
      <c r="K8" s="179" t="s">
        <v>82</v>
      </c>
      <c r="L8" s="179" t="s">
        <v>416</v>
      </c>
      <c r="M8" s="179" t="s">
        <v>417</v>
      </c>
      <c r="N8" s="181">
        <v>993050629</v>
      </c>
      <c r="O8" s="182">
        <v>29</v>
      </c>
      <c r="P8" s="179" t="s">
        <v>87</v>
      </c>
      <c r="Q8" s="179" t="s">
        <v>81</v>
      </c>
      <c r="R8" s="179"/>
      <c r="S8" s="179" t="s">
        <v>411</v>
      </c>
      <c r="T8" s="183">
        <v>101227387</v>
      </c>
      <c r="U8" s="184" t="s">
        <v>418</v>
      </c>
    </row>
    <row r="9" spans="1:21">
      <c r="A9">
        <v>5</v>
      </c>
      <c r="B9" s="179">
        <v>45442</v>
      </c>
      <c r="C9" s="179">
        <v>45441</v>
      </c>
      <c r="D9" s="179" t="s">
        <v>79</v>
      </c>
      <c r="E9" s="179" t="s">
        <v>419</v>
      </c>
      <c r="F9" s="180" t="s">
        <v>420</v>
      </c>
      <c r="G9" s="179" t="s">
        <v>421</v>
      </c>
      <c r="H9" s="179" t="s">
        <v>422</v>
      </c>
      <c r="I9" s="180" t="s">
        <v>423</v>
      </c>
      <c r="J9" s="179" t="s">
        <v>81</v>
      </c>
      <c r="K9" s="179" t="s">
        <v>82</v>
      </c>
      <c r="L9" s="179" t="s">
        <v>424</v>
      </c>
      <c r="M9" s="179" t="s">
        <v>425</v>
      </c>
      <c r="N9" s="181">
        <v>996800975</v>
      </c>
      <c r="O9" s="182">
        <v>29</v>
      </c>
      <c r="P9" s="179" t="s">
        <v>87</v>
      </c>
      <c r="Q9" s="179" t="s">
        <v>81</v>
      </c>
      <c r="R9" s="179"/>
      <c r="S9" s="179" t="s">
        <v>419</v>
      </c>
      <c r="T9" s="183">
        <v>101057392</v>
      </c>
      <c r="U9" s="184" t="s">
        <v>426</v>
      </c>
    </row>
    <row r="10" spans="1:21">
      <c r="A10">
        <v>6</v>
      </c>
      <c r="B10" s="179">
        <v>45443</v>
      </c>
      <c r="C10" s="179">
        <v>45419</v>
      </c>
      <c r="D10" s="179" t="s">
        <v>427</v>
      </c>
      <c r="E10" s="179" t="s">
        <v>428</v>
      </c>
      <c r="F10" s="180" t="s">
        <v>429</v>
      </c>
      <c r="G10" s="179" t="s">
        <v>88</v>
      </c>
      <c r="H10" s="179" t="s">
        <v>430</v>
      </c>
      <c r="I10" s="180" t="s">
        <v>42</v>
      </c>
      <c r="J10" s="179" t="s">
        <v>81</v>
      </c>
      <c r="K10" s="179" t="s">
        <v>82</v>
      </c>
      <c r="L10" s="179" t="s">
        <v>432</v>
      </c>
      <c r="M10" s="179" t="s">
        <v>401</v>
      </c>
      <c r="N10" s="181">
        <v>967636305</v>
      </c>
      <c r="O10" s="182">
        <v>29</v>
      </c>
      <c r="P10" s="179" t="s">
        <v>87</v>
      </c>
      <c r="Q10" s="179" t="s">
        <v>81</v>
      </c>
      <c r="R10" s="179"/>
      <c r="S10" s="179" t="s">
        <v>428</v>
      </c>
      <c r="T10" s="180" t="s">
        <v>431</v>
      </c>
      <c r="U10" s="184" t="s">
        <v>433</v>
      </c>
    </row>
    <row r="11" spans="1:21">
      <c r="A11">
        <v>7</v>
      </c>
      <c r="B11" s="179">
        <v>45443</v>
      </c>
      <c r="C11" s="179">
        <v>45435</v>
      </c>
      <c r="D11" s="179" t="s">
        <v>395</v>
      </c>
      <c r="E11" s="179" t="s">
        <v>434</v>
      </c>
      <c r="F11" s="180" t="s">
        <v>405</v>
      </c>
      <c r="G11" s="179" t="s">
        <v>250</v>
      </c>
      <c r="H11" s="179" t="s">
        <v>442</v>
      </c>
      <c r="I11" s="180" t="s">
        <v>435</v>
      </c>
      <c r="J11" s="179" t="s">
        <v>81</v>
      </c>
      <c r="K11" s="179" t="s">
        <v>82</v>
      </c>
      <c r="L11" s="179" t="s">
        <v>436</v>
      </c>
      <c r="M11" s="179" t="s">
        <v>437</v>
      </c>
      <c r="N11" s="181">
        <v>990151366</v>
      </c>
      <c r="O11" s="182">
        <v>15</v>
      </c>
      <c r="P11" s="179" t="s">
        <v>87</v>
      </c>
      <c r="Q11" s="179" t="s">
        <v>81</v>
      </c>
      <c r="R11" s="179"/>
      <c r="S11" s="179" t="s">
        <v>434</v>
      </c>
      <c r="T11" s="183">
        <v>704875335</v>
      </c>
      <c r="U11" s="184" t="s">
        <v>438</v>
      </c>
    </row>
    <row r="12" spans="1:21">
      <c r="A12">
        <v>8</v>
      </c>
      <c r="B12" s="179">
        <v>45443</v>
      </c>
      <c r="C12" s="179">
        <v>45441</v>
      </c>
      <c r="D12" s="179" t="s">
        <v>439</v>
      </c>
      <c r="E12" s="179" t="s">
        <v>324</v>
      </c>
      <c r="F12" s="180" t="s">
        <v>440</v>
      </c>
      <c r="G12" s="179" t="s">
        <v>441</v>
      </c>
      <c r="H12" s="179" t="s">
        <v>443</v>
      </c>
      <c r="I12" s="180" t="s">
        <v>444</v>
      </c>
      <c r="J12" s="179" t="s">
        <v>81</v>
      </c>
      <c r="K12" s="179" t="s">
        <v>82</v>
      </c>
      <c r="L12" s="179" t="s">
        <v>445</v>
      </c>
      <c r="M12" s="179" t="s">
        <v>446</v>
      </c>
      <c r="N12" s="181">
        <v>998625117</v>
      </c>
      <c r="O12" s="182">
        <v>29</v>
      </c>
      <c r="P12" s="179" t="s">
        <v>87</v>
      </c>
      <c r="Q12" s="179" t="s">
        <v>81</v>
      </c>
      <c r="R12" s="179"/>
      <c r="S12" s="179" t="s">
        <v>324</v>
      </c>
      <c r="T12" s="183">
        <v>103249470</v>
      </c>
      <c r="U12" s="184" t="s">
        <v>323</v>
      </c>
    </row>
    <row r="13" spans="1:21">
      <c r="A13">
        <v>9</v>
      </c>
      <c r="B13" s="179">
        <v>45443</v>
      </c>
      <c r="C13" s="179">
        <v>45442</v>
      </c>
      <c r="D13" s="179" t="s">
        <v>439</v>
      </c>
      <c r="E13" s="179" t="s">
        <v>447</v>
      </c>
      <c r="F13" s="180" t="s">
        <v>448</v>
      </c>
      <c r="G13" s="179" t="s">
        <v>449</v>
      </c>
      <c r="H13" s="179">
        <v>1222045336</v>
      </c>
      <c r="I13" s="180" t="s">
        <v>450</v>
      </c>
      <c r="J13" s="179" t="s">
        <v>81</v>
      </c>
      <c r="K13" s="179" t="s">
        <v>82</v>
      </c>
      <c r="L13" s="179" t="s">
        <v>451</v>
      </c>
      <c r="M13" s="179" t="s">
        <v>452</v>
      </c>
      <c r="N13" s="181">
        <v>992658339</v>
      </c>
      <c r="O13" s="182">
        <v>29</v>
      </c>
      <c r="P13" s="179" t="s">
        <v>87</v>
      </c>
      <c r="Q13" s="179" t="s">
        <v>81</v>
      </c>
      <c r="R13" s="179"/>
      <c r="S13" s="179" t="s">
        <v>447</v>
      </c>
      <c r="T13" s="183">
        <v>103039715</v>
      </c>
      <c r="U13" s="184" t="s">
        <v>453</v>
      </c>
    </row>
    <row r="14" spans="1:21">
      <c r="A14">
        <v>10</v>
      </c>
      <c r="B14" s="179">
        <v>45443</v>
      </c>
      <c r="C14" s="179">
        <v>45430</v>
      </c>
      <c r="D14" s="179" t="s">
        <v>95</v>
      </c>
      <c r="E14" s="179" t="s">
        <v>508</v>
      </c>
      <c r="F14" s="180" t="s">
        <v>509</v>
      </c>
      <c r="G14" s="179" t="s">
        <v>510</v>
      </c>
      <c r="H14" s="179" t="s">
        <v>511</v>
      </c>
      <c r="I14" s="180" t="s">
        <v>512</v>
      </c>
      <c r="J14" s="179" t="s">
        <v>81</v>
      </c>
      <c r="K14" s="179" t="s">
        <v>82</v>
      </c>
      <c r="L14" s="179" t="s">
        <v>513</v>
      </c>
      <c r="M14" s="179" t="s">
        <v>514</v>
      </c>
      <c r="N14" s="181">
        <v>999018659</v>
      </c>
      <c r="O14" s="182">
        <v>29</v>
      </c>
      <c r="P14" s="179" t="s">
        <v>87</v>
      </c>
      <c r="Q14" s="179" t="s">
        <v>81</v>
      </c>
      <c r="R14" s="179"/>
      <c r="S14" s="179" t="s">
        <v>508</v>
      </c>
      <c r="T14" s="183">
        <v>1717756942</v>
      </c>
      <c r="U14" s="184" t="s">
        <v>515</v>
      </c>
    </row>
    <row r="15" spans="1:21">
      <c r="A15">
        <v>11</v>
      </c>
      <c r="B15" s="179">
        <v>45449</v>
      </c>
      <c r="C15" s="179">
        <v>45433</v>
      </c>
      <c r="D15" s="179" t="s">
        <v>98</v>
      </c>
      <c r="E15" s="179" t="s">
        <v>454</v>
      </c>
      <c r="F15" s="180" t="s">
        <v>455</v>
      </c>
      <c r="G15" s="179" t="s">
        <v>456</v>
      </c>
      <c r="H15" s="179" t="s">
        <v>457</v>
      </c>
      <c r="I15" s="180" t="s">
        <v>458</v>
      </c>
      <c r="J15" s="179" t="s">
        <v>81</v>
      </c>
      <c r="K15" s="179" t="s">
        <v>82</v>
      </c>
      <c r="L15" s="179" t="s">
        <v>459</v>
      </c>
      <c r="M15" s="179" t="s">
        <v>167</v>
      </c>
      <c r="N15" s="181">
        <v>984822335</v>
      </c>
      <c r="O15" s="182">
        <v>15</v>
      </c>
      <c r="P15" s="179" t="s">
        <v>87</v>
      </c>
      <c r="Q15" s="179" t="s">
        <v>81</v>
      </c>
      <c r="R15" s="179"/>
      <c r="S15" s="179" t="s">
        <v>454</v>
      </c>
      <c r="T15" s="183">
        <v>101853364</v>
      </c>
      <c r="U15" s="184" t="s">
        <v>460</v>
      </c>
    </row>
    <row r="16" spans="1:21">
      <c r="A16">
        <v>12</v>
      </c>
      <c r="B16" s="179">
        <v>45449</v>
      </c>
      <c r="C16" s="179">
        <v>45420</v>
      </c>
      <c r="D16" s="179" t="s">
        <v>461</v>
      </c>
      <c r="E16" s="179" t="s">
        <v>462</v>
      </c>
      <c r="F16" s="180" t="s">
        <v>463</v>
      </c>
      <c r="G16" s="179" t="s">
        <v>464</v>
      </c>
      <c r="H16" s="179" t="s">
        <v>465</v>
      </c>
      <c r="I16" s="180" t="s">
        <v>42</v>
      </c>
      <c r="J16" s="179" t="s">
        <v>81</v>
      </c>
      <c r="K16" s="179" t="s">
        <v>82</v>
      </c>
      <c r="L16" s="179" t="s">
        <v>466</v>
      </c>
      <c r="M16" s="179" t="s">
        <v>467</v>
      </c>
      <c r="N16" s="181">
        <v>993808138</v>
      </c>
      <c r="O16" s="182">
        <v>15</v>
      </c>
      <c r="P16" s="179" t="s">
        <v>87</v>
      </c>
      <c r="Q16" s="179" t="s">
        <v>81</v>
      </c>
      <c r="R16" s="179"/>
      <c r="S16" s="179" t="s">
        <v>462</v>
      </c>
      <c r="T16" s="183">
        <v>104658398</v>
      </c>
      <c r="U16" s="184" t="s">
        <v>468</v>
      </c>
    </row>
    <row r="17" spans="1:21">
      <c r="A17">
        <v>13</v>
      </c>
      <c r="B17" s="179">
        <v>45450</v>
      </c>
      <c r="C17" s="179">
        <v>45429</v>
      </c>
      <c r="D17" s="179" t="s">
        <v>98</v>
      </c>
      <c r="E17" s="179" t="s">
        <v>469</v>
      </c>
      <c r="F17" s="180" t="s">
        <v>470</v>
      </c>
      <c r="G17" s="179" t="s">
        <v>471</v>
      </c>
      <c r="H17" s="179" t="s">
        <v>472</v>
      </c>
      <c r="I17" s="180" t="s">
        <v>473</v>
      </c>
      <c r="J17" s="179" t="s">
        <v>81</v>
      </c>
      <c r="K17" s="179" t="s">
        <v>82</v>
      </c>
      <c r="L17" s="179" t="s">
        <v>474</v>
      </c>
      <c r="M17" s="179" t="s">
        <v>475</v>
      </c>
      <c r="N17" s="181">
        <v>989647781</v>
      </c>
      <c r="O17" s="182">
        <v>15</v>
      </c>
      <c r="P17" s="179" t="s">
        <v>87</v>
      </c>
      <c r="Q17" s="179" t="s">
        <v>81</v>
      </c>
      <c r="R17" s="179"/>
      <c r="S17" s="179" t="s">
        <v>469</v>
      </c>
      <c r="T17" s="183">
        <v>175616975</v>
      </c>
      <c r="U17" s="184" t="s">
        <v>476</v>
      </c>
    </row>
    <row r="18" spans="1:21">
      <c r="A18">
        <v>14</v>
      </c>
      <c r="B18" s="179">
        <v>45453</v>
      </c>
      <c r="C18" s="179">
        <v>45409</v>
      </c>
      <c r="D18" s="179" t="s">
        <v>98</v>
      </c>
      <c r="E18" s="179" t="s">
        <v>477</v>
      </c>
      <c r="F18" s="180" t="s">
        <v>429</v>
      </c>
      <c r="G18" s="179" t="s">
        <v>88</v>
      </c>
      <c r="H18" s="179" t="s">
        <v>478</v>
      </c>
      <c r="I18" s="180" t="s">
        <v>479</v>
      </c>
      <c r="J18" s="179" t="s">
        <v>81</v>
      </c>
      <c r="K18" s="179" t="s">
        <v>82</v>
      </c>
      <c r="L18" s="179" t="s">
        <v>480</v>
      </c>
      <c r="M18" s="179" t="s">
        <v>481</v>
      </c>
      <c r="N18" s="181">
        <v>986124649</v>
      </c>
      <c r="O18" s="182">
        <v>29</v>
      </c>
      <c r="P18" s="179" t="s">
        <v>87</v>
      </c>
      <c r="Q18" s="179" t="s">
        <v>81</v>
      </c>
      <c r="R18" s="179"/>
      <c r="S18" s="179" t="s">
        <v>477</v>
      </c>
      <c r="T18" s="183">
        <v>3000932225</v>
      </c>
      <c r="U18" s="184" t="s">
        <v>482</v>
      </c>
    </row>
    <row r="19" spans="1:21">
      <c r="A19">
        <v>15</v>
      </c>
      <c r="B19" s="179">
        <v>45453</v>
      </c>
      <c r="C19" s="179">
        <v>45445</v>
      </c>
      <c r="D19" s="179" t="s">
        <v>461</v>
      </c>
      <c r="E19" s="179" t="s">
        <v>516</v>
      </c>
      <c r="F19" s="180" t="s">
        <v>517</v>
      </c>
      <c r="G19" s="179" t="s">
        <v>518</v>
      </c>
      <c r="H19" s="179" t="s">
        <v>519</v>
      </c>
      <c r="I19" s="180" t="s">
        <v>42</v>
      </c>
      <c r="J19" s="179" t="s">
        <v>81</v>
      </c>
      <c r="K19" s="179" t="s">
        <v>82</v>
      </c>
      <c r="L19" s="179" t="s">
        <v>520</v>
      </c>
      <c r="M19" s="179" t="s">
        <v>521</v>
      </c>
      <c r="N19" s="181">
        <v>962784425</v>
      </c>
      <c r="O19" s="182">
        <v>36</v>
      </c>
      <c r="P19" s="179" t="s">
        <v>87</v>
      </c>
      <c r="Q19" s="179" t="s">
        <v>81</v>
      </c>
      <c r="R19" s="179"/>
      <c r="S19" s="179" t="s">
        <v>516</v>
      </c>
      <c r="T19" s="183">
        <v>105565246</v>
      </c>
      <c r="U19" s="184" t="s">
        <v>522</v>
      </c>
    </row>
    <row r="20" spans="1:21">
      <c r="A20">
        <v>16</v>
      </c>
      <c r="B20" s="179">
        <v>45453</v>
      </c>
      <c r="C20" s="179">
        <v>45451</v>
      </c>
      <c r="D20" s="179" t="s">
        <v>79</v>
      </c>
      <c r="E20" s="179" t="s">
        <v>550</v>
      </c>
      <c r="F20" s="180" t="s">
        <v>470</v>
      </c>
      <c r="G20" s="179" t="s">
        <v>471</v>
      </c>
      <c r="H20" s="179" t="s">
        <v>551</v>
      </c>
      <c r="I20" s="180" t="s">
        <v>42</v>
      </c>
      <c r="J20" s="179" t="s">
        <v>81</v>
      </c>
      <c r="K20" s="179" t="s">
        <v>82</v>
      </c>
      <c r="L20" s="179" t="s">
        <v>552</v>
      </c>
      <c r="M20" s="179" t="s">
        <v>553</v>
      </c>
      <c r="N20" s="181">
        <v>985470961</v>
      </c>
      <c r="O20" s="182">
        <v>15</v>
      </c>
      <c r="P20" s="179" t="s">
        <v>87</v>
      </c>
      <c r="Q20" s="179" t="s">
        <v>81</v>
      </c>
      <c r="R20" s="179"/>
      <c r="S20" s="179" t="s">
        <v>550</v>
      </c>
      <c r="T20" s="183">
        <v>702364787</v>
      </c>
      <c r="U20" s="184" t="s">
        <v>554</v>
      </c>
    </row>
    <row r="21" spans="1:21">
      <c r="A21">
        <v>17</v>
      </c>
      <c r="B21" s="179">
        <v>45454</v>
      </c>
      <c r="C21" s="179">
        <v>45395</v>
      </c>
      <c r="D21" s="179" t="s">
        <v>94</v>
      </c>
      <c r="E21" s="179" t="s">
        <v>483</v>
      </c>
      <c r="F21" s="180" t="s">
        <v>484</v>
      </c>
      <c r="G21" s="179" t="s">
        <v>485</v>
      </c>
      <c r="H21" s="179" t="s">
        <v>486</v>
      </c>
      <c r="I21" s="180" t="s">
        <v>42</v>
      </c>
      <c r="J21" s="179" t="s">
        <v>81</v>
      </c>
      <c r="K21" s="179" t="s">
        <v>82</v>
      </c>
      <c r="L21" s="179" t="s">
        <v>487</v>
      </c>
      <c r="M21" s="179" t="s">
        <v>488</v>
      </c>
      <c r="N21" s="181">
        <v>15599708067</v>
      </c>
      <c r="O21" s="182">
        <v>29</v>
      </c>
      <c r="P21" s="179" t="s">
        <v>87</v>
      </c>
      <c r="Q21" s="179" t="s">
        <v>81</v>
      </c>
      <c r="R21" s="179"/>
      <c r="S21" s="179" t="s">
        <v>483</v>
      </c>
      <c r="T21" s="183">
        <v>549562903</v>
      </c>
      <c r="U21" s="184" t="s">
        <v>489</v>
      </c>
    </row>
    <row r="22" spans="1:21">
      <c r="A22">
        <v>18</v>
      </c>
      <c r="B22" s="179">
        <v>45455</v>
      </c>
      <c r="C22" s="179">
        <v>45452</v>
      </c>
      <c r="D22" s="179" t="s">
        <v>98</v>
      </c>
      <c r="E22" s="179" t="s">
        <v>490</v>
      </c>
      <c r="F22" s="180" t="s">
        <v>484</v>
      </c>
      <c r="G22" s="179" t="s">
        <v>485</v>
      </c>
      <c r="H22" s="179" t="s">
        <v>491</v>
      </c>
      <c r="I22" s="180" t="s">
        <v>492</v>
      </c>
      <c r="J22" s="179" t="s">
        <v>81</v>
      </c>
      <c r="K22" s="179" t="s">
        <v>82</v>
      </c>
      <c r="L22" s="179" t="s">
        <v>493</v>
      </c>
      <c r="M22" s="179" t="s">
        <v>494</v>
      </c>
      <c r="N22" s="181">
        <v>984864772</v>
      </c>
      <c r="O22" s="182">
        <v>29</v>
      </c>
      <c r="P22" s="179" t="s">
        <v>87</v>
      </c>
      <c r="Q22" s="179" t="s">
        <v>81</v>
      </c>
      <c r="R22" s="179"/>
      <c r="S22" s="179" t="s">
        <v>490</v>
      </c>
      <c r="T22" s="183">
        <v>103997359</v>
      </c>
      <c r="U22" s="184" t="s">
        <v>495</v>
      </c>
    </row>
    <row r="23" spans="1:21">
      <c r="A23">
        <v>19</v>
      </c>
      <c r="B23" s="179">
        <v>45455</v>
      </c>
      <c r="C23" s="179">
        <v>45220</v>
      </c>
      <c r="D23" s="179" t="s">
        <v>98</v>
      </c>
      <c r="E23" s="179" t="s">
        <v>523</v>
      </c>
      <c r="F23" s="180" t="s">
        <v>405</v>
      </c>
      <c r="G23" s="179" t="s">
        <v>250</v>
      </c>
      <c r="H23" s="179" t="s">
        <v>524</v>
      </c>
      <c r="I23" s="180" t="s">
        <v>525</v>
      </c>
      <c r="J23" s="179" t="s">
        <v>81</v>
      </c>
      <c r="K23" s="179" t="s">
        <v>82</v>
      </c>
      <c r="L23" s="179" t="s">
        <v>526</v>
      </c>
      <c r="M23" s="179" t="s">
        <v>527</v>
      </c>
      <c r="N23" s="181">
        <v>980149327</v>
      </c>
      <c r="O23" s="182">
        <v>15</v>
      </c>
      <c r="P23" s="179" t="s">
        <v>87</v>
      </c>
      <c r="Q23" s="179" t="s">
        <v>81</v>
      </c>
      <c r="R23" s="179"/>
      <c r="S23" s="179" t="s">
        <v>523</v>
      </c>
      <c r="T23" s="183">
        <v>300557386</v>
      </c>
      <c r="U23" s="184" t="s">
        <v>528</v>
      </c>
    </row>
    <row r="24" spans="1:21">
      <c r="A24">
        <v>20</v>
      </c>
      <c r="B24" s="179">
        <v>45455</v>
      </c>
      <c r="C24" s="179">
        <v>45366</v>
      </c>
      <c r="D24" s="179" t="s">
        <v>95</v>
      </c>
      <c r="E24" s="179" t="s">
        <v>555</v>
      </c>
      <c r="F24" s="180" t="s">
        <v>556</v>
      </c>
      <c r="G24" s="179" t="s">
        <v>557</v>
      </c>
      <c r="H24" s="179" t="s">
        <v>558</v>
      </c>
      <c r="I24" s="180" t="s">
        <v>559</v>
      </c>
      <c r="J24" s="179" t="s">
        <v>81</v>
      </c>
      <c r="K24" s="179" t="s">
        <v>82</v>
      </c>
      <c r="L24" s="179" t="s">
        <v>560</v>
      </c>
      <c r="M24" s="179" t="s">
        <v>167</v>
      </c>
      <c r="N24" s="181">
        <v>17187108027</v>
      </c>
      <c r="O24" s="182">
        <v>29</v>
      </c>
      <c r="P24" s="179" t="s">
        <v>87</v>
      </c>
      <c r="Q24" s="179" t="s">
        <v>81</v>
      </c>
      <c r="R24" s="179"/>
      <c r="S24" s="179" t="s">
        <v>555</v>
      </c>
      <c r="T24" s="183">
        <v>102596194</v>
      </c>
      <c r="U24" s="184" t="s">
        <v>600</v>
      </c>
    </row>
    <row r="25" spans="1:21">
      <c r="A25">
        <v>21</v>
      </c>
      <c r="B25" s="179">
        <v>45457</v>
      </c>
      <c r="C25" s="179">
        <v>45447</v>
      </c>
      <c r="D25" s="179" t="s">
        <v>98</v>
      </c>
      <c r="E25" s="179" t="s">
        <v>496</v>
      </c>
      <c r="F25" s="180" t="s">
        <v>463</v>
      </c>
      <c r="G25" s="179" t="s">
        <v>464</v>
      </c>
      <c r="H25" s="179" t="s">
        <v>497</v>
      </c>
      <c r="I25" s="180" t="s">
        <v>498</v>
      </c>
      <c r="J25" s="179" t="s">
        <v>81</v>
      </c>
      <c r="K25" s="179" t="s">
        <v>82</v>
      </c>
      <c r="L25" s="179" t="s">
        <v>499</v>
      </c>
      <c r="M25" s="179" t="s">
        <v>500</v>
      </c>
      <c r="N25" s="181">
        <v>999858501</v>
      </c>
      <c r="O25" s="182">
        <v>15</v>
      </c>
      <c r="P25" s="179" t="s">
        <v>87</v>
      </c>
      <c r="Q25" s="179" t="s">
        <v>81</v>
      </c>
      <c r="R25" s="179"/>
      <c r="S25" s="179" t="s">
        <v>496</v>
      </c>
      <c r="T25" s="183">
        <v>100018043</v>
      </c>
      <c r="U25" s="184" t="s">
        <v>501</v>
      </c>
    </row>
    <row r="26" spans="1:21">
      <c r="A26">
        <v>22</v>
      </c>
      <c r="B26" s="179">
        <v>45457</v>
      </c>
      <c r="C26" s="179">
        <v>45455</v>
      </c>
      <c r="D26" s="179" t="s">
        <v>98</v>
      </c>
      <c r="E26" s="179" t="s">
        <v>502</v>
      </c>
      <c r="F26" s="180" t="s">
        <v>503</v>
      </c>
      <c r="G26" s="179" t="s">
        <v>504</v>
      </c>
      <c r="H26" s="179" t="s">
        <v>505</v>
      </c>
      <c r="I26" s="180" t="s">
        <v>42</v>
      </c>
      <c r="J26" s="179" t="s">
        <v>81</v>
      </c>
      <c r="K26" s="179" t="s">
        <v>82</v>
      </c>
      <c r="L26" s="179" t="s">
        <v>506</v>
      </c>
      <c r="M26" s="179" t="s">
        <v>507</v>
      </c>
      <c r="N26" s="181">
        <v>986666267</v>
      </c>
      <c r="O26" s="182">
        <v>15</v>
      </c>
      <c r="P26" s="179" t="s">
        <v>87</v>
      </c>
      <c r="Q26" s="179" t="s">
        <v>81</v>
      </c>
      <c r="R26" s="179"/>
      <c r="S26" s="179" t="s">
        <v>502</v>
      </c>
      <c r="T26" s="183">
        <v>103949673</v>
      </c>
      <c r="U26" s="184" t="s">
        <v>529</v>
      </c>
    </row>
    <row r="27" spans="1:21">
      <c r="A27">
        <v>23</v>
      </c>
      <c r="B27" s="179">
        <v>45457</v>
      </c>
      <c r="C27" s="179">
        <v>45159</v>
      </c>
      <c r="D27" s="179" t="s">
        <v>79</v>
      </c>
      <c r="E27" s="179" t="s">
        <v>530</v>
      </c>
      <c r="F27" s="180" t="s">
        <v>429</v>
      </c>
      <c r="G27" s="179" t="s">
        <v>88</v>
      </c>
      <c r="H27" s="179" t="s">
        <v>531</v>
      </c>
      <c r="I27" s="180" t="s">
        <v>532</v>
      </c>
      <c r="J27" s="179" t="s">
        <v>81</v>
      </c>
      <c r="K27" s="179" t="s">
        <v>82</v>
      </c>
      <c r="L27" s="179" t="s">
        <v>533</v>
      </c>
      <c r="M27" s="179" t="s">
        <v>285</v>
      </c>
      <c r="N27" s="181">
        <v>984715161</v>
      </c>
      <c r="O27" s="182">
        <v>29</v>
      </c>
      <c r="P27" s="179" t="s">
        <v>87</v>
      </c>
      <c r="Q27" s="179" t="s">
        <v>81</v>
      </c>
      <c r="R27" s="179"/>
      <c r="S27" s="179" t="s">
        <v>530</v>
      </c>
      <c r="T27" s="183">
        <v>104016027</v>
      </c>
      <c r="U27" s="184" t="s">
        <v>534</v>
      </c>
    </row>
    <row r="28" spans="1:21">
      <c r="A28">
        <v>24</v>
      </c>
      <c r="B28" s="179">
        <v>45457</v>
      </c>
      <c r="C28" s="179">
        <v>45450</v>
      </c>
      <c r="D28" s="179" t="s">
        <v>98</v>
      </c>
      <c r="E28" s="179" t="s">
        <v>543</v>
      </c>
      <c r="F28" s="180" t="s">
        <v>544</v>
      </c>
      <c r="G28" s="179" t="s">
        <v>250</v>
      </c>
      <c r="H28" s="179" t="s">
        <v>545</v>
      </c>
      <c r="I28" s="180" t="s">
        <v>546</v>
      </c>
      <c r="J28" s="179" t="s">
        <v>81</v>
      </c>
      <c r="K28" s="179" t="s">
        <v>82</v>
      </c>
      <c r="L28" s="179" t="s">
        <v>547</v>
      </c>
      <c r="M28" s="179" t="s">
        <v>548</v>
      </c>
      <c r="N28" s="181">
        <v>990156223</v>
      </c>
      <c r="O28" s="182">
        <v>15</v>
      </c>
      <c r="P28" s="179" t="s">
        <v>87</v>
      </c>
      <c r="Q28" s="179" t="s">
        <v>81</v>
      </c>
      <c r="R28" s="179"/>
      <c r="S28" s="179" t="s">
        <v>543</v>
      </c>
      <c r="T28" s="183">
        <v>703948919</v>
      </c>
      <c r="U28" s="184" t="s">
        <v>549</v>
      </c>
    </row>
    <row r="29" spans="1:21">
      <c r="A29">
        <v>25</v>
      </c>
      <c r="B29" s="179">
        <v>45460</v>
      </c>
      <c r="C29" s="179">
        <v>45322</v>
      </c>
      <c r="D29" s="179" t="s">
        <v>95</v>
      </c>
      <c r="E29" s="179" t="s">
        <v>537</v>
      </c>
      <c r="F29" s="180" t="s">
        <v>538</v>
      </c>
      <c r="G29" s="179" t="s">
        <v>195</v>
      </c>
      <c r="H29" s="179" t="s">
        <v>539</v>
      </c>
      <c r="I29" s="180" t="s">
        <v>42</v>
      </c>
      <c r="J29" s="179" t="s">
        <v>81</v>
      </c>
      <c r="K29" s="179" t="s">
        <v>82</v>
      </c>
      <c r="L29" s="179" t="s">
        <v>540</v>
      </c>
      <c r="M29" s="179" t="s">
        <v>541</v>
      </c>
      <c r="N29" s="181">
        <v>984174602</v>
      </c>
      <c r="O29" s="182">
        <v>25</v>
      </c>
      <c r="P29" s="179" t="s">
        <v>87</v>
      </c>
      <c r="Q29" s="179" t="s">
        <v>81</v>
      </c>
      <c r="R29" s="179"/>
      <c r="S29" s="179" t="s">
        <v>537</v>
      </c>
      <c r="T29" s="183">
        <v>107162307</v>
      </c>
      <c r="U29" s="184" t="s">
        <v>542</v>
      </c>
    </row>
    <row r="30" spans="1:21">
      <c r="A30">
        <v>26</v>
      </c>
      <c r="B30" s="179">
        <v>45460</v>
      </c>
      <c r="C30" s="179">
        <v>45453</v>
      </c>
      <c r="D30" s="179" t="s">
        <v>98</v>
      </c>
      <c r="E30" s="179" t="s">
        <v>583</v>
      </c>
      <c r="F30" s="180" t="s">
        <v>584</v>
      </c>
      <c r="G30" s="179" t="s">
        <v>212</v>
      </c>
      <c r="H30" s="179" t="s">
        <v>585</v>
      </c>
      <c r="I30" s="180" t="s">
        <v>42</v>
      </c>
      <c r="J30" s="179" t="s">
        <v>81</v>
      </c>
      <c r="K30" s="179" t="s">
        <v>82</v>
      </c>
      <c r="L30" s="179" t="s">
        <v>586</v>
      </c>
      <c r="M30" s="179" t="s">
        <v>587</v>
      </c>
      <c r="N30" s="181">
        <v>997783837</v>
      </c>
      <c r="O30" s="182">
        <v>29</v>
      </c>
      <c r="P30" s="179" t="s">
        <v>87</v>
      </c>
      <c r="Q30" s="179" t="s">
        <v>81</v>
      </c>
      <c r="R30" s="179"/>
      <c r="S30" s="179" t="s">
        <v>583</v>
      </c>
      <c r="T30" s="183">
        <v>101688182</v>
      </c>
      <c r="U30" s="184" t="s">
        <v>588</v>
      </c>
    </row>
    <row r="31" spans="1:21">
      <c r="A31">
        <v>27</v>
      </c>
      <c r="B31" s="179">
        <v>45462</v>
      </c>
      <c r="C31" s="179">
        <v>45451</v>
      </c>
      <c r="D31" s="179" t="s">
        <v>79</v>
      </c>
      <c r="E31" s="179" t="s">
        <v>589</v>
      </c>
      <c r="F31" s="180" t="s">
        <v>455</v>
      </c>
      <c r="G31" s="179" t="s">
        <v>456</v>
      </c>
      <c r="H31" s="179" t="s">
        <v>590</v>
      </c>
      <c r="I31" s="180" t="s">
        <v>42</v>
      </c>
      <c r="J31" s="179" t="s">
        <v>81</v>
      </c>
      <c r="K31" s="179" t="s">
        <v>82</v>
      </c>
      <c r="L31" s="179" t="s">
        <v>591</v>
      </c>
      <c r="M31" s="179" t="s">
        <v>592</v>
      </c>
      <c r="N31" s="181">
        <v>998167525</v>
      </c>
      <c r="O31" s="182">
        <v>15</v>
      </c>
      <c r="P31" s="179" t="s">
        <v>87</v>
      </c>
      <c r="Q31" s="179" t="s">
        <v>81</v>
      </c>
      <c r="R31" s="179"/>
      <c r="S31" s="179" t="s">
        <v>589</v>
      </c>
      <c r="T31" s="183">
        <v>102016870</v>
      </c>
      <c r="U31" s="184" t="s">
        <v>593</v>
      </c>
    </row>
    <row r="32" spans="1:21">
      <c r="A32">
        <v>28</v>
      </c>
      <c r="B32" s="179">
        <v>45462</v>
      </c>
      <c r="C32" s="179">
        <v>45424</v>
      </c>
      <c r="D32" s="179" t="s">
        <v>594</v>
      </c>
      <c r="E32" s="179" t="s">
        <v>595</v>
      </c>
      <c r="F32" s="180" t="s">
        <v>429</v>
      </c>
      <c r="G32" s="179" t="s">
        <v>88</v>
      </c>
      <c r="H32" s="179" t="s">
        <v>596</v>
      </c>
      <c r="I32" s="180" t="s">
        <v>597</v>
      </c>
      <c r="J32" s="179" t="s">
        <v>81</v>
      </c>
      <c r="K32" s="179" t="s">
        <v>82</v>
      </c>
      <c r="L32" s="179" t="s">
        <v>598</v>
      </c>
      <c r="M32" s="179" t="s">
        <v>167</v>
      </c>
      <c r="N32" s="181">
        <v>12039525263</v>
      </c>
      <c r="O32" s="182">
        <v>29</v>
      </c>
      <c r="P32" s="179" t="s">
        <v>87</v>
      </c>
      <c r="Q32" s="179" t="s">
        <v>81</v>
      </c>
      <c r="R32" s="179"/>
      <c r="S32" s="179" t="s">
        <v>595</v>
      </c>
      <c r="T32" s="183">
        <v>102080595</v>
      </c>
      <c r="U32" s="184" t="s">
        <v>599</v>
      </c>
    </row>
    <row r="33" spans="1:21">
      <c r="A33">
        <v>29</v>
      </c>
      <c r="B33" s="179"/>
      <c r="C33" s="179"/>
      <c r="D33" s="179"/>
      <c r="E33" s="179"/>
      <c r="F33" s="180"/>
      <c r="G33" s="179"/>
      <c r="H33" s="179"/>
      <c r="I33" s="180"/>
      <c r="J33" s="179" t="s">
        <v>81</v>
      </c>
      <c r="K33" s="179" t="s">
        <v>82</v>
      </c>
      <c r="L33" s="179"/>
      <c r="M33" s="179"/>
      <c r="N33" s="181"/>
      <c r="O33" s="182"/>
      <c r="P33" s="179" t="s">
        <v>87</v>
      </c>
      <c r="Q33" s="179" t="s">
        <v>81</v>
      </c>
      <c r="R33" s="179"/>
      <c r="S33" s="179"/>
      <c r="T33" s="183"/>
      <c r="U33" s="184"/>
    </row>
    <row r="34" spans="1:21">
      <c r="A34">
        <v>30</v>
      </c>
      <c r="B34" s="179"/>
      <c r="C34" s="179"/>
      <c r="D34" s="179"/>
      <c r="E34" s="179"/>
      <c r="F34" s="180"/>
      <c r="G34" s="179"/>
      <c r="H34" s="179"/>
      <c r="I34" s="180"/>
      <c r="J34" s="179" t="s">
        <v>81</v>
      </c>
      <c r="K34" s="179" t="s">
        <v>82</v>
      </c>
      <c r="L34" s="179"/>
      <c r="M34" s="179"/>
      <c r="N34" s="181"/>
      <c r="O34" s="182"/>
      <c r="P34" s="179" t="s">
        <v>87</v>
      </c>
      <c r="Q34" s="179" t="s">
        <v>81</v>
      </c>
      <c r="R34" s="179"/>
      <c r="S34" s="179"/>
      <c r="T34" s="183"/>
      <c r="U34" s="184"/>
    </row>
    <row r="35" spans="1:21">
      <c r="A35">
        <v>31</v>
      </c>
      <c r="B35" s="179"/>
      <c r="C35" s="179"/>
      <c r="D35" s="179"/>
      <c r="E35" s="179"/>
      <c r="F35" s="180"/>
      <c r="G35" s="179"/>
      <c r="H35" s="179"/>
      <c r="I35" s="180"/>
      <c r="J35" s="179" t="s">
        <v>81</v>
      </c>
      <c r="K35" s="179" t="s">
        <v>82</v>
      </c>
      <c r="L35" s="179"/>
      <c r="M35" s="179"/>
      <c r="N35" s="181"/>
      <c r="O35" s="182"/>
      <c r="P35" s="179" t="s">
        <v>87</v>
      </c>
      <c r="Q35" s="179" t="s">
        <v>81</v>
      </c>
      <c r="R35" s="179"/>
      <c r="S35" s="179"/>
      <c r="T35" s="183"/>
      <c r="U35" s="184"/>
    </row>
    <row r="36" spans="1:21">
      <c r="A36">
        <v>32</v>
      </c>
      <c r="B36" s="179"/>
      <c r="C36" s="179"/>
      <c r="D36" s="179"/>
      <c r="E36" s="179"/>
      <c r="F36" s="180"/>
      <c r="G36" s="179"/>
      <c r="H36" s="179"/>
      <c r="I36" s="180"/>
      <c r="J36" s="179" t="s">
        <v>81</v>
      </c>
      <c r="K36" s="179" t="s">
        <v>82</v>
      </c>
      <c r="L36" s="179"/>
      <c r="M36" s="179"/>
      <c r="N36" s="181"/>
      <c r="O36" s="182"/>
      <c r="P36" s="179" t="s">
        <v>87</v>
      </c>
      <c r="Q36" s="179" t="s">
        <v>81</v>
      </c>
      <c r="R36" s="179"/>
      <c r="S36" s="179"/>
      <c r="T36" s="183"/>
      <c r="U36" s="184"/>
    </row>
    <row r="37" spans="1:21">
      <c r="O37" s="150">
        <f>SUM(O5:O36)</f>
        <v>647</v>
      </c>
    </row>
  </sheetData>
  <hyperlinks>
    <hyperlink ref="U5" r:id="rId1" xr:uid="{00000000-0004-0000-0500-000000000000}"/>
    <hyperlink ref="U6" r:id="rId2" xr:uid="{00000000-0004-0000-0500-000001000000}"/>
    <hyperlink ref="U7" r:id="rId3" xr:uid="{00000000-0004-0000-0500-000002000000}"/>
    <hyperlink ref="U8" r:id="rId4" xr:uid="{00000000-0004-0000-0500-000003000000}"/>
    <hyperlink ref="U9" r:id="rId5" xr:uid="{00000000-0004-0000-0500-000004000000}"/>
    <hyperlink ref="U10" r:id="rId6" xr:uid="{00000000-0004-0000-0500-000005000000}"/>
    <hyperlink ref="U11" r:id="rId7" xr:uid="{00000000-0004-0000-0500-000006000000}"/>
    <hyperlink ref="U12" r:id="rId8" xr:uid="{00000000-0004-0000-0500-000007000000}"/>
    <hyperlink ref="U13" r:id="rId9" xr:uid="{00000000-0004-0000-0500-000008000000}"/>
    <hyperlink ref="U15" r:id="rId10" xr:uid="{00000000-0004-0000-0500-000009000000}"/>
    <hyperlink ref="U16" r:id="rId11" xr:uid="{00000000-0004-0000-0500-00000A000000}"/>
    <hyperlink ref="U17" r:id="rId12" xr:uid="{00000000-0004-0000-0500-00000B000000}"/>
    <hyperlink ref="U18" r:id="rId13" xr:uid="{00000000-0004-0000-0500-00000C000000}"/>
    <hyperlink ref="U21" r:id="rId14" xr:uid="{00000000-0004-0000-0500-00000D000000}"/>
    <hyperlink ref="U22" r:id="rId15" xr:uid="{00000000-0004-0000-0500-00000E000000}"/>
    <hyperlink ref="U25" r:id="rId16" xr:uid="{00000000-0004-0000-0500-00000F000000}"/>
    <hyperlink ref="U14" r:id="rId17" xr:uid="{00000000-0004-0000-0500-000010000000}"/>
    <hyperlink ref="U19" r:id="rId18" xr:uid="{00000000-0004-0000-0500-000011000000}"/>
    <hyperlink ref="U23" r:id="rId19" xr:uid="{00000000-0004-0000-0500-000012000000}"/>
    <hyperlink ref="U26" r:id="rId20" xr:uid="{00000000-0004-0000-0500-000013000000}"/>
    <hyperlink ref="U27" r:id="rId21" xr:uid="{00000000-0004-0000-0500-000014000000}"/>
    <hyperlink ref="U29" r:id="rId22" xr:uid="{00000000-0004-0000-0500-000015000000}"/>
    <hyperlink ref="U28" r:id="rId23" xr:uid="{00000000-0004-0000-0500-000016000000}"/>
    <hyperlink ref="U20" r:id="rId24" xr:uid="{00000000-0004-0000-0500-000017000000}"/>
    <hyperlink ref="U30" r:id="rId25" xr:uid="{00000000-0004-0000-0500-000018000000}"/>
    <hyperlink ref="U31" r:id="rId26" xr:uid="{00000000-0004-0000-0500-000019000000}"/>
    <hyperlink ref="U32" r:id="rId27" xr:uid="{00000000-0004-0000-0500-00001A000000}"/>
    <hyperlink ref="U24" r:id="rId28" xr:uid="{00000000-0004-0000-0500-00001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Andres Cardenas</cp:lastModifiedBy>
  <dcterms:created xsi:type="dcterms:W3CDTF">2024-01-22T20:29:31Z</dcterms:created>
  <dcterms:modified xsi:type="dcterms:W3CDTF">2024-12-23T21:06:22Z</dcterms:modified>
</cp:coreProperties>
</file>