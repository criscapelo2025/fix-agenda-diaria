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4 CONSOLIDADO/"/>
    </mc:Choice>
  </mc:AlternateContent>
  <xr:revisionPtr revIDLastSave="0" documentId="13_ncr:1_{9F3AD483-BDA6-DC4B-916A-D7174D394583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2" l="1"/>
  <c r="O11" i="3" l="1"/>
  <c r="M106" i="1"/>
  <c r="M105" i="1"/>
  <c r="O104" i="1"/>
  <c r="O39" i="6" l="1"/>
  <c r="N17" i="2" l="1"/>
  <c r="M104" i="1" l="1"/>
  <c r="L11" i="3" l="1"/>
  <c r="M22" i="2" l="1"/>
  <c r="M107" i="1" l="1"/>
  <c r="N9" i="4" l="1"/>
</calcChain>
</file>

<file path=xl/sharedStrings.xml><?xml version="1.0" encoding="utf-8"?>
<sst xmlns="http://schemas.openxmlformats.org/spreadsheetml/2006/main" count="1917" uniqueCount="647">
  <si>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</si>
  <si>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</si>
  <si>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</si>
  <si>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</si>
  <si>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</si>
  <si>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</si>
  <si>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</si>
  <si>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</si>
  <si>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</si>
  <si>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</si>
  <si>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</si>
  <si>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</si>
  <si>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</si>
  <si>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</si>
  <si>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</si>
  <si>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</si>
  <si>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</si>
  <si>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</si>
  <si>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</si>
  <si>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</si>
  <si>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</si>
  <si>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</si>
  <si>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</si>
  <si>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</si>
  <si>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</si>
  <si>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</si>
  <si>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</si>
  <si>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</si>
  <si>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</si>
  <si>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</si>
  <si>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</si>
  <si>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</si>
  <si>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</si>
  <si>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</si>
  <si>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</si>
  <si>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</si>
  <si>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</si>
  <si>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</si>
  <si>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</si>
  <si>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</si>
  <si>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</si>
  <si>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</si>
  <si>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</si>
  <si>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</si>
  <si>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</si>
  <si>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</si>
  <si>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</si>
  <si>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</si>
  <si>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</si>
  <si>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</si>
  <si>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</si>
  <si>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Kywi s.a.</t>
  </si>
  <si>
    <t>Cliente Final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</si>
  <si>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</si>
  <si>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</si>
  <si>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</si>
  <si>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</si>
  <si>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</si>
  <si>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</si>
  <si>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</si>
  <si>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</si>
  <si>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</si>
  <si>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</si>
  <si>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</si>
  <si>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>STOCK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</si>
  <si>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</si>
  <si>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</si>
  <si>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</si>
  <si>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</si>
  <si>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</si>
  <si>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</si>
  <si>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</si>
  <si>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</si>
  <si>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</si>
  <si>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</si>
  <si>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</si>
  <si>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</si>
  <si>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</si>
  <si>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</si>
  <si>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Comercial Solis</t>
  </si>
  <si>
    <t>Cocina JZC 96324 ABB</t>
  </si>
  <si>
    <t>CAPELO</t>
  </si>
  <si>
    <t>CUENCA</t>
  </si>
  <si>
    <t>Barbacoa a Gas T-BBQ 4100 SS</t>
  </si>
  <si>
    <t>De Cristian Capelo</t>
  </si>
  <si>
    <t>UN SOLO PRODUCTO</t>
  </si>
  <si>
    <t>CLIENTE FINAL</t>
  </si>
  <si>
    <t>Cocina GBC 75030 KBB</t>
  </si>
  <si>
    <t>ABRIL 2024</t>
  </si>
  <si>
    <t>Cristian Capelo</t>
  </si>
  <si>
    <t>Llamada Cliente</t>
  </si>
  <si>
    <t>Cocina IZC 64010 MSS BK</t>
  </si>
  <si>
    <t>Mercard</t>
  </si>
  <si>
    <t>Home Vega</t>
  </si>
  <si>
    <t>kywi</t>
  </si>
  <si>
    <t>Microondas ML 822 BIS L</t>
  </si>
  <si>
    <t>Refrigeradora RFD 77820 GBK</t>
  </si>
  <si>
    <t>Cocina JZC 96342 BBB</t>
  </si>
  <si>
    <t>Cocina GZC 75330 XBB</t>
  </si>
  <si>
    <t>Horno HLB 8416 BK</t>
  </si>
  <si>
    <t>Refrigeradora RLF 74920 SS</t>
  </si>
  <si>
    <t>Cocina GBC 95030 KBB</t>
  </si>
  <si>
    <t>Campana C 9310</t>
  </si>
  <si>
    <t>Campana C910</t>
  </si>
  <si>
    <t>Horno HBB 535 SS</t>
  </si>
  <si>
    <t>Av. 24 de Mayo</t>
  </si>
  <si>
    <t>ALMACEN</t>
  </si>
  <si>
    <t>Cocinas</t>
  </si>
  <si>
    <t>Lavavajillas</t>
  </si>
  <si>
    <t>CORREO ELECTRONICO</t>
  </si>
  <si>
    <t>Cocina GBC 7561 GBA BM</t>
  </si>
  <si>
    <t>KYWI</t>
  </si>
  <si>
    <t>Alm. Chordeleg</t>
  </si>
  <si>
    <t>40466111</t>
  </si>
  <si>
    <t>112580058</t>
  </si>
  <si>
    <t>112580027</t>
  </si>
  <si>
    <t>Sukasa</t>
  </si>
  <si>
    <t>40466241</t>
  </si>
  <si>
    <t>Campana C9310</t>
  </si>
  <si>
    <t>Boyaca</t>
  </si>
  <si>
    <t>40197155</t>
  </si>
  <si>
    <t>40467305</t>
  </si>
  <si>
    <t>Campana C710</t>
  </si>
  <si>
    <t>112580017</t>
  </si>
  <si>
    <t>Cocina GBC 64000 KBB</t>
  </si>
  <si>
    <t>40467320</t>
  </si>
  <si>
    <t>Campana C7310</t>
  </si>
  <si>
    <t>112570123</t>
  </si>
  <si>
    <t>Cocina JZC 63312 ABB</t>
  </si>
  <si>
    <t>111000051</t>
  </si>
  <si>
    <t>freddyn@kywi.com.ec</t>
  </si>
  <si>
    <t>Alm. España</t>
  </si>
  <si>
    <t>CAPELO JULIO 2024</t>
  </si>
  <si>
    <t>001-500-000060567</t>
  </si>
  <si>
    <t>MC232R00027</t>
  </si>
  <si>
    <t>Eulogio Jimenez</t>
  </si>
  <si>
    <t>Chiquintad</t>
  </si>
  <si>
    <t>eulojio77jimenes@gmail.com</t>
  </si>
  <si>
    <t>043-905-000014092</t>
  </si>
  <si>
    <t>Microondas MLH 845 SS</t>
  </si>
  <si>
    <t>ZP23BP00094</t>
  </si>
  <si>
    <t>Caridad Lopez</t>
  </si>
  <si>
    <t>Rio Lindo 3-57</t>
  </si>
  <si>
    <t>macaridad.lopez@gmail.com</t>
  </si>
  <si>
    <t>Horno HSB 750 G</t>
  </si>
  <si>
    <t>TZ22C503316</t>
  </si>
  <si>
    <t>TP23CF09299</t>
  </si>
  <si>
    <t>001-500-000054827</t>
  </si>
  <si>
    <t>ZP23C700685</t>
  </si>
  <si>
    <t>Jose Fernando Moreno</t>
  </si>
  <si>
    <t>Chaullabamba</t>
  </si>
  <si>
    <t>elimerch@hotmail.com</t>
  </si>
  <si>
    <t xml:space="preserve"> 8261 BIS L</t>
  </si>
  <si>
    <t>Microondas ML 8261 BIS L</t>
  </si>
  <si>
    <t>Horno HLB 8561 P BM</t>
  </si>
  <si>
    <t>Campana DPL ISLA 1180</t>
  </si>
  <si>
    <t>PX233300015</t>
  </si>
  <si>
    <t>TZ233706221</t>
  </si>
  <si>
    <t>TP235V00307</t>
  </si>
  <si>
    <t>006-002-000155409</t>
  </si>
  <si>
    <t>ZP23B800546</t>
  </si>
  <si>
    <t>Monica Alvarado</t>
  </si>
  <si>
    <t xml:space="preserve">Los Fresnos 1-112 </t>
  </si>
  <si>
    <t>malvarado22@hotmail.com</t>
  </si>
  <si>
    <t>TZ241405174</t>
  </si>
  <si>
    <t>016-907-000207843</t>
  </si>
  <si>
    <t>ZP42200522</t>
  </si>
  <si>
    <t>Danny Illescas</t>
  </si>
  <si>
    <t>Felipe Serrano y Jambeli</t>
  </si>
  <si>
    <t>dannyillescas8205@gmail.com</t>
  </si>
  <si>
    <t>Horno HSB 645 SS</t>
  </si>
  <si>
    <t>001-501-000001708</t>
  </si>
  <si>
    <t>ZP239600300</t>
  </si>
  <si>
    <t>TZ243604716</t>
  </si>
  <si>
    <t>TP241N00727</t>
  </si>
  <si>
    <t>Xavier Coellar</t>
  </si>
  <si>
    <t>1 de Mayo y Carlos Quito</t>
  </si>
  <si>
    <t>parrilladalaherredura@gmail.com</t>
  </si>
  <si>
    <t>043-909-000000170</t>
  </si>
  <si>
    <t>Cocina GZC 95320</t>
  </si>
  <si>
    <t>Horno HSB 646 SS</t>
  </si>
  <si>
    <t>ZP23BW00536</t>
  </si>
  <si>
    <t>TZ235J17482</t>
  </si>
  <si>
    <t>Leonardo Avila</t>
  </si>
  <si>
    <t>Ciudadel Martina de la Ollua</t>
  </si>
  <si>
    <t>leay1967@hotmail.com</t>
  </si>
  <si>
    <t>001-001-000019707</t>
  </si>
  <si>
    <t>001-500-000061429</t>
  </si>
  <si>
    <t>TP22C205630</t>
  </si>
  <si>
    <t>MC234D00046</t>
  </si>
  <si>
    <t>TZ238PO7486</t>
  </si>
  <si>
    <t>Gustavo Parra</t>
  </si>
  <si>
    <t>Nicolas Coronel</t>
  </si>
  <si>
    <t>gustavoparra1104@hotmail.com</t>
  </si>
  <si>
    <t>001-501-000001304</t>
  </si>
  <si>
    <t>006-002-000155392</t>
  </si>
  <si>
    <t>ZP241W00194</t>
  </si>
  <si>
    <t>ZP241F00094</t>
  </si>
  <si>
    <t>TZ224N23499</t>
  </si>
  <si>
    <t>MC234K00056</t>
  </si>
  <si>
    <t>Lourdes Argudo</t>
  </si>
  <si>
    <t>Uchupucun</t>
  </si>
  <si>
    <t>atila7842@gmail.com</t>
  </si>
  <si>
    <t>040-104-000004925</t>
  </si>
  <si>
    <t>040-104-00003171</t>
  </si>
  <si>
    <t>Cocina GCB 75030 KBB</t>
  </si>
  <si>
    <t>Horno HSB 630 BK</t>
  </si>
  <si>
    <t>Campana GFH 73</t>
  </si>
  <si>
    <t>ZP242N00464</t>
  </si>
  <si>
    <t>TZ241304032</t>
  </si>
  <si>
    <t>TP23B306149</t>
  </si>
  <si>
    <t>Paula Toledo</t>
  </si>
  <si>
    <t>Biblian</t>
  </si>
  <si>
    <t>paulatoledo-100@hotmail.com</t>
  </si>
  <si>
    <t>008-501-000007965</t>
  </si>
  <si>
    <t>ZP23BP00112</t>
  </si>
  <si>
    <t>Isabela Rivadeneira</t>
  </si>
  <si>
    <t>Calle de la Bandera Nacional</t>
  </si>
  <si>
    <t>isarivaflor5@hotmail.com</t>
  </si>
  <si>
    <t>008-501-000007964</t>
  </si>
  <si>
    <t>ZP23CD00013</t>
  </si>
  <si>
    <t>ZP226A00004</t>
  </si>
  <si>
    <t>Horno STEAKMASTER BK SS</t>
  </si>
  <si>
    <t>TZ241Q23939</t>
  </si>
  <si>
    <t>TZ225B11421</t>
  </si>
  <si>
    <t>MC226600008</t>
  </si>
  <si>
    <t>PX23BW00084</t>
  </si>
  <si>
    <t>Vinera RVI 30097 GBK</t>
  </si>
  <si>
    <t>NS224F00124</t>
  </si>
  <si>
    <t>Zumbahuayco</t>
  </si>
  <si>
    <t>001-101-000003419</t>
  </si>
  <si>
    <t>TZ234E11125</t>
  </si>
  <si>
    <t>Microondas MS 620 BIS</t>
  </si>
  <si>
    <t>TP238Q04832</t>
  </si>
  <si>
    <t>Gustavo Moscoso</t>
  </si>
  <si>
    <t>Remigio Hurtado</t>
  </si>
  <si>
    <t>remihurt@hotmail.com</t>
  </si>
  <si>
    <t>007-007-000027850</t>
  </si>
  <si>
    <t>TZ229M21437</t>
  </si>
  <si>
    <t>TP238Q04902</t>
  </si>
  <si>
    <t>Pablo Pacheco</t>
  </si>
  <si>
    <t>Chuquipata</t>
  </si>
  <si>
    <t>katty92@gmail.com</t>
  </si>
  <si>
    <t>016-902-000465647</t>
  </si>
  <si>
    <t>Microondas MWG 14 X</t>
  </si>
  <si>
    <t>Franklin Robalino</t>
  </si>
  <si>
    <t>Sucre y Miguel Heredia</t>
  </si>
  <si>
    <t>fyrobalino23@gmail.com</t>
  </si>
  <si>
    <t>TZ229N22630</t>
  </si>
  <si>
    <t>MW23AR01026</t>
  </si>
  <si>
    <t>016-903-000523414</t>
  </si>
  <si>
    <t>TP242C00781</t>
  </si>
  <si>
    <t>Angel Quito</t>
  </si>
  <si>
    <t>Ciudadela Calderon</t>
  </si>
  <si>
    <t>quitoangel7790@gmail.com</t>
  </si>
  <si>
    <t>Campana C 7310</t>
  </si>
  <si>
    <t>TP242E03164</t>
  </si>
  <si>
    <t>TP242F04628</t>
  </si>
  <si>
    <t>JULIO 2024</t>
  </si>
  <si>
    <t>Al 20 de JULIO del 2024</t>
  </si>
  <si>
    <t>Capelo Julio 2024</t>
  </si>
  <si>
    <t xml:space="preserve">CAPELO JULIO 2024 </t>
  </si>
  <si>
    <t>CAPELO - JULIO 2024</t>
  </si>
  <si>
    <t>Conjunto Modulo Induccion 4I TEKA GO Sensor LEES</t>
  </si>
  <si>
    <t>ZP222R00007</t>
  </si>
  <si>
    <t>Paola Peñaherrera</t>
  </si>
  <si>
    <t>Se solicita repuesto y se reemplaza</t>
  </si>
  <si>
    <t>014-004-000041909</t>
  </si>
  <si>
    <t>Vuelve a presentar el mismo problema, se solicita nuevamente el mismo repuesto para reemplazarlo</t>
  </si>
  <si>
    <t>Placa Potencia i100 DCHA 2 BM 7 LAYOUT (IFX)</t>
  </si>
  <si>
    <t>Cocina IZS 86630 MST BK</t>
  </si>
  <si>
    <t>ZP22B00039</t>
  </si>
  <si>
    <t>Franklin Tapia</t>
  </si>
  <si>
    <t>franktapia13@hotmail.com</t>
  </si>
  <si>
    <t>043-904-000013141</t>
  </si>
  <si>
    <t>Resistencia Grill HLB 760 G</t>
  </si>
  <si>
    <t xml:space="preserve">Horno HLB 760 G </t>
  </si>
  <si>
    <t>TZ238R08523</t>
  </si>
  <si>
    <t>Jose Maria Astudillo</t>
  </si>
  <si>
    <t>Grill no enciende se solicita repuesto y se reemplaza</t>
  </si>
  <si>
    <t>joseastu@etapanet.net</t>
  </si>
  <si>
    <t>001-501-000050590</t>
  </si>
  <si>
    <t>Gotea Agua</t>
  </si>
  <si>
    <t>Lavavajillas DFI 46900</t>
  </si>
  <si>
    <t>AW232800108</t>
  </si>
  <si>
    <t xml:space="preserve">Puerta Floja </t>
  </si>
  <si>
    <t>Cesar Palacios</t>
  </si>
  <si>
    <t>TZ23BF14510</t>
  </si>
  <si>
    <t>cesarpalaciosr@hotmail.com</t>
  </si>
  <si>
    <t>001-500-000060479</t>
  </si>
  <si>
    <t>horno Electrico</t>
  </si>
  <si>
    <t>CO225R00914</t>
  </si>
  <si>
    <t>CO225R00778</t>
  </si>
  <si>
    <t>Kywi Wayra</t>
  </si>
  <si>
    <t>Barbacoa a Gas T-BBQ 3100 GB K-SS</t>
  </si>
  <si>
    <t>CO224J01173</t>
  </si>
  <si>
    <t>Campana DLH 982 T</t>
  </si>
  <si>
    <t>TP243L04588</t>
  </si>
  <si>
    <t>001-501-000001895</t>
  </si>
  <si>
    <t>001-500-000063380</t>
  </si>
  <si>
    <t>Microondas ML 820 BIS</t>
  </si>
  <si>
    <t>ZP241R00359</t>
  </si>
  <si>
    <t>TZ243604692</t>
  </si>
  <si>
    <t>TP241Q04868</t>
  </si>
  <si>
    <t>Josue Arevalo</t>
  </si>
  <si>
    <t>Jacinto Jijon y Juan Jose Flores</t>
  </si>
  <si>
    <t>josue.arevalo.abril@gmail.com</t>
  </si>
  <si>
    <t>001-500-000064374</t>
  </si>
  <si>
    <t>Cocina EX 90.1 5G AI DR LEFT</t>
  </si>
  <si>
    <t>TP23AR05182</t>
  </si>
  <si>
    <t>ZP212F00005</t>
  </si>
  <si>
    <t>Juan Diego Mendieta</t>
  </si>
  <si>
    <t>Cdla. Los Alamos</t>
  </si>
  <si>
    <t>jmendietacarrera@gmail.com</t>
  </si>
  <si>
    <t>Luna Pazmiño</t>
  </si>
  <si>
    <t>002-101-000106568</t>
  </si>
  <si>
    <t>Cocina JZC 64322 ABB</t>
  </si>
  <si>
    <t>ZP23C101181</t>
  </si>
  <si>
    <t>043-904-0000430</t>
  </si>
  <si>
    <t>TP23CF09266</t>
  </si>
  <si>
    <t>Ivonne Cordero</t>
  </si>
  <si>
    <t>Guadalajara y 24 de Mayo</t>
  </si>
  <si>
    <t>ivonnemeb@gmail.com</t>
  </si>
  <si>
    <t>001-500-000064428</t>
  </si>
  <si>
    <t>001-501-000001897</t>
  </si>
  <si>
    <t>Horno HLB 760 G</t>
  </si>
  <si>
    <t>TP242N07936</t>
  </si>
  <si>
    <t>TZ243C10700</t>
  </si>
  <si>
    <t>Marcelo Delgado</t>
  </si>
  <si>
    <t xml:space="preserve">24 de Mayo </t>
  </si>
  <si>
    <t>maryjuli22@gmail.com</t>
  </si>
  <si>
    <t>Almacenes España</t>
  </si>
  <si>
    <t>008-501-000007458</t>
  </si>
  <si>
    <t>TP22C2056558</t>
  </si>
  <si>
    <t>Gabriela Molina</t>
  </si>
  <si>
    <t>Los Capulies y Gran Colombia</t>
  </si>
  <si>
    <t>gabrielamolina45@gmail.com</t>
  </si>
  <si>
    <t>Horno HLB 840 SS</t>
  </si>
  <si>
    <t>Cocina AFF 87601 MST BK</t>
  </si>
  <si>
    <t>TZ222G22954</t>
  </si>
  <si>
    <t>ZP229700011</t>
  </si>
  <si>
    <t>MC234E00130</t>
  </si>
  <si>
    <t>Bandeja Vidrio HLC 844 C 459*344</t>
  </si>
  <si>
    <t>Microondas MLC 844</t>
  </si>
  <si>
    <t>TP22C908902</t>
  </si>
  <si>
    <t>Monica Martinez</t>
  </si>
  <si>
    <t>Cambio Repuesto</t>
  </si>
  <si>
    <t>ciaminex@hotmail.com</t>
  </si>
  <si>
    <t>Microondas</t>
  </si>
  <si>
    <t>043-903-000021591</t>
  </si>
  <si>
    <t>TP242501394</t>
  </si>
  <si>
    <t>Valeria Loaiza</t>
  </si>
  <si>
    <t>Galapagos y Esmeraldas</t>
  </si>
  <si>
    <t>valeria_loaiza@hotmail.com</t>
  </si>
  <si>
    <t>043-902-000018566</t>
  </si>
  <si>
    <t>Triturador TR 510.1</t>
  </si>
  <si>
    <t>240115AF1377</t>
  </si>
  <si>
    <t>Kenny Aristizabal</t>
  </si>
  <si>
    <t>kennyaristizabal64@gmail.com</t>
  </si>
  <si>
    <t>El Alto</t>
  </si>
  <si>
    <t>2406-2024</t>
  </si>
  <si>
    <t>sukasa</t>
  </si>
  <si>
    <t>040-103-000005856</t>
  </si>
  <si>
    <t>41560124</t>
  </si>
  <si>
    <t>Horno HSB 615 SS</t>
  </si>
  <si>
    <t>TZ 241B11234</t>
  </si>
  <si>
    <t>Carlos Garcia</t>
  </si>
  <si>
    <t>Ciudadela Garcia</t>
  </si>
  <si>
    <t>racine.carlos@gmail.com</t>
  </si>
  <si>
    <t>001-500-000064170</t>
  </si>
  <si>
    <t>111030002</t>
  </si>
  <si>
    <t xml:space="preserve">Horno HLB 760 GLP </t>
  </si>
  <si>
    <t>TZ242505246</t>
  </si>
  <si>
    <t>0421520</t>
  </si>
  <si>
    <t>Santiago Carvallo</t>
  </si>
  <si>
    <t>Gonzalo Cordero y Juan Iñiguez</t>
  </si>
  <si>
    <t>scarvallo89@gmail.com</t>
  </si>
  <si>
    <t>040-103-000005781</t>
  </si>
  <si>
    <t>111040006</t>
  </si>
  <si>
    <t>Horno HSB 750 GLP GE 10</t>
  </si>
  <si>
    <t>TZ242505216</t>
  </si>
  <si>
    <t>0421607</t>
  </si>
  <si>
    <t>Cristina Bravo</t>
  </si>
  <si>
    <t>Padre Aguirre</t>
  </si>
  <si>
    <t>bravocristina113@gmail.com</t>
  </si>
  <si>
    <t>043-905-000025134</t>
  </si>
  <si>
    <t>240115AF1307</t>
  </si>
  <si>
    <t>Huga Palacios</t>
  </si>
  <si>
    <t>Edificio Verona</t>
  </si>
  <si>
    <t>hugo333@msn.com</t>
  </si>
  <si>
    <t>002-101-000092741</t>
  </si>
  <si>
    <t>ZP23AC00377</t>
  </si>
  <si>
    <t>0412243</t>
  </si>
  <si>
    <t>Clara Palacios</t>
  </si>
  <si>
    <t>Yunguilla</t>
  </si>
  <si>
    <t>clarapalacios58@hotmail.com</t>
  </si>
  <si>
    <t>001-101-000003538</t>
  </si>
  <si>
    <t>Horno HLB 8416</t>
  </si>
  <si>
    <t>TZ23BF14534</t>
  </si>
  <si>
    <t>Veron ica Alvarado</t>
  </si>
  <si>
    <t>Av. De los Cerezos</t>
  </si>
  <si>
    <t>veritoalv86@gmail.com</t>
  </si>
  <si>
    <t>Kywi</t>
  </si>
  <si>
    <t>043-904-000024561</t>
  </si>
  <si>
    <t>112570068</t>
  </si>
  <si>
    <t>ZP23BW00514</t>
  </si>
  <si>
    <t>Mayra Lema</t>
  </si>
  <si>
    <t>Cdla de los Arquitectos</t>
  </si>
  <si>
    <t>mayralemag@hotmail.com</t>
  </si>
  <si>
    <t>016-907-000208139</t>
  </si>
  <si>
    <t>40455334</t>
  </si>
  <si>
    <t>Campana NC 980</t>
  </si>
  <si>
    <t>PX21B400847</t>
  </si>
  <si>
    <t>Diana Quezada</t>
  </si>
  <si>
    <t>Agustin Cueva y 10 de Agosto</t>
  </si>
  <si>
    <t>dianadearmijos@gmail.com</t>
  </si>
  <si>
    <t xml:space="preserve">Boyaca </t>
  </si>
  <si>
    <t>007-006-000127246</t>
  </si>
  <si>
    <t>113100004</t>
  </si>
  <si>
    <t>Campana DHT 97670</t>
  </si>
  <si>
    <t>EY243T00009</t>
  </si>
  <si>
    <t>Marlene Ordoñez</t>
  </si>
  <si>
    <t>Puertas del Sol</t>
  </si>
  <si>
    <t>bmarlene1975@gmail.com</t>
  </si>
  <si>
    <t>001-500-000064373</t>
  </si>
  <si>
    <t>tanias60@yahoo.com</t>
  </si>
  <si>
    <t>Tanya Almache</t>
  </si>
  <si>
    <t>Paseo 3 de Noviembre</t>
  </si>
  <si>
    <t>111010028</t>
  </si>
  <si>
    <t>TZ234E10392</t>
  </si>
  <si>
    <t>0409873</t>
  </si>
  <si>
    <t>001-101-000003549</t>
  </si>
  <si>
    <t>ZP213R00020</t>
  </si>
  <si>
    <t>0409469</t>
  </si>
  <si>
    <t>Rosa Guzman</t>
  </si>
  <si>
    <t>Rio Azul</t>
  </si>
  <si>
    <t>reafraf@gmail.com</t>
  </si>
  <si>
    <t>Chordeleg</t>
  </si>
  <si>
    <t>001-001-000020304</t>
  </si>
  <si>
    <t>ZP241R00290</t>
  </si>
  <si>
    <t>0419520</t>
  </si>
  <si>
    <t>Ana Delgado Palacios</t>
  </si>
  <si>
    <t xml:space="preserve">1 de Mayo </t>
  </si>
  <si>
    <t>anacristinadelgado92@gmail.com</t>
  </si>
  <si>
    <t>043-906-000023143</t>
  </si>
  <si>
    <t>Cocina GBC 64000</t>
  </si>
  <si>
    <t>ZP242N00914</t>
  </si>
  <si>
    <t>Diego Crespo</t>
  </si>
  <si>
    <t>dcrespo@hormipisos.com</t>
  </si>
  <si>
    <t>016-902-000439161</t>
  </si>
  <si>
    <t>112930048</t>
  </si>
  <si>
    <t>Campana DVT 88660</t>
  </si>
  <si>
    <t>PX234D00003</t>
  </si>
  <si>
    <t>Wilson Avila</t>
  </si>
  <si>
    <t>Miraflores</t>
  </si>
  <si>
    <t>wily19721016@gmail.com</t>
  </si>
  <si>
    <t>006-002-000134425</t>
  </si>
  <si>
    <t>41597410</t>
  </si>
  <si>
    <t>Horno HGS 750</t>
  </si>
  <si>
    <t>SC199J00812</t>
  </si>
  <si>
    <t>Tania Terreros</t>
  </si>
  <si>
    <t>Edf. Malaga</t>
  </si>
  <si>
    <t>kattyterreros@hotmail.com</t>
  </si>
  <si>
    <t>001-500-000064598</t>
  </si>
  <si>
    <t>TP242F04603</t>
  </si>
  <si>
    <t>Santiago Sarmiento</t>
  </si>
  <si>
    <t>Lamar 13-88</t>
  </si>
  <si>
    <t>sanfasarr26@yahoo.com.av</t>
  </si>
  <si>
    <t>016-903-000505932</t>
  </si>
  <si>
    <t>TP23BN04946</t>
  </si>
  <si>
    <t>Paul Carrion</t>
  </si>
  <si>
    <t>Alfonso Moreno Mora</t>
  </si>
  <si>
    <t>pcarrion@vazvay.edu.ec</t>
  </si>
  <si>
    <t>043-903-000023562</t>
  </si>
  <si>
    <t>40197255</t>
  </si>
  <si>
    <t>Triturador TR 710.1</t>
  </si>
  <si>
    <t>230710AF1819</t>
  </si>
  <si>
    <t>0406061</t>
  </si>
  <si>
    <t>Camila Talbot</t>
  </si>
  <si>
    <t>Edf. Paseo del Puente</t>
  </si>
  <si>
    <t>dannasuconota@gmail.com</t>
  </si>
  <si>
    <t>016-902-000469314</t>
  </si>
  <si>
    <t>240115AF1308</t>
  </si>
  <si>
    <t>Jaime Chacon</t>
  </si>
  <si>
    <t xml:space="preserve">San Sebastian </t>
  </si>
  <si>
    <t>alffaelec@gmail.com</t>
  </si>
  <si>
    <t>001-500-000063837</t>
  </si>
  <si>
    <t>TP241A03942</t>
  </si>
  <si>
    <t>Michelle Carrion</t>
  </si>
  <si>
    <t>Las Orquideas</t>
  </si>
  <si>
    <t>michellecarrion95@hotmail.com</t>
  </si>
  <si>
    <t>016-902-000468822</t>
  </si>
  <si>
    <t>ZP241R00346</t>
  </si>
  <si>
    <t>Nancy Coronel</t>
  </si>
  <si>
    <t>Zhullin Bajo</t>
  </si>
  <si>
    <t>n_coronel76@hotmail.com</t>
  </si>
  <si>
    <t>40487192</t>
  </si>
  <si>
    <t>TP2343L04588</t>
  </si>
  <si>
    <t>xcoellar@gmail.com</t>
  </si>
  <si>
    <t>Antonio Urgiles</t>
  </si>
  <si>
    <t>016-907-000209978</t>
  </si>
  <si>
    <t>112520025</t>
  </si>
  <si>
    <t>ZP23C101481</t>
  </si>
  <si>
    <t>0422088</t>
  </si>
  <si>
    <t>Gujibamba</t>
  </si>
  <si>
    <t>aaurgilesneira@hotmail.com</t>
  </si>
  <si>
    <t>007-006-000126854</t>
  </si>
  <si>
    <t>Juan Jose Aguilar</t>
  </si>
  <si>
    <t>Jacaranda 1-27</t>
  </si>
  <si>
    <t>jjotaquilara@hotmail.com</t>
  </si>
  <si>
    <t>001-500-000064592</t>
  </si>
  <si>
    <t>Campana C610</t>
  </si>
  <si>
    <t>ZP242N00870</t>
  </si>
  <si>
    <t>TP242501336</t>
  </si>
  <si>
    <t>Vilma Cabrera</t>
  </si>
  <si>
    <t>Ryo 3</t>
  </si>
  <si>
    <t>zumbita1000@hotmail.com</t>
  </si>
  <si>
    <t>007-000031846</t>
  </si>
  <si>
    <t>Cocina GBC 6461 GBA BM</t>
  </si>
  <si>
    <t>ZP241X00228</t>
  </si>
  <si>
    <t>TP241N00736</t>
  </si>
  <si>
    <t>TZ243T28121</t>
  </si>
  <si>
    <t>Mauricio Roman</t>
  </si>
  <si>
    <t>Edif. Ager</t>
  </si>
  <si>
    <t>frca1961@hotmail.com</t>
  </si>
  <si>
    <t>MC234D00150</t>
  </si>
  <si>
    <t>Silvana Gavilanes</t>
  </si>
  <si>
    <t>dra.silvanagavilanes@hotmail.com</t>
  </si>
  <si>
    <t>040-103-000006110</t>
  </si>
  <si>
    <t>Refrigeradora</t>
  </si>
  <si>
    <t>113430016</t>
  </si>
  <si>
    <t>Hermanos Restrepo y La prensa</t>
  </si>
  <si>
    <t>dra.silvnagavilanes@hotmail.com</t>
  </si>
  <si>
    <t>001-500-000004554</t>
  </si>
  <si>
    <t>TP242F04607</t>
  </si>
  <si>
    <t>Tatiana Alarcon</t>
  </si>
  <si>
    <t>Paseo de los Cañaris</t>
  </si>
  <si>
    <t>tatalarcon@gmail.com</t>
  </si>
  <si>
    <t>bisagra</t>
  </si>
  <si>
    <t>016-903-000520913</t>
  </si>
  <si>
    <t>016-903-000520769</t>
  </si>
  <si>
    <t xml:space="preserve">Horno HLF 824 GLP </t>
  </si>
  <si>
    <t>ZP241R00426</t>
  </si>
  <si>
    <t>TZ241B11752</t>
  </si>
  <si>
    <t>Guido Gualpa</t>
  </si>
  <si>
    <t>Edificio. Montecarlo</t>
  </si>
  <si>
    <t>bdrllc@gmail.com</t>
  </si>
  <si>
    <t>040-103-000006257</t>
  </si>
  <si>
    <t>Cocina IZS 97630 MST</t>
  </si>
  <si>
    <t>ZP22BG00050</t>
  </si>
  <si>
    <t>001-101-000003008</t>
  </si>
  <si>
    <t>TP241N00747</t>
  </si>
  <si>
    <t>TZ243N23388</t>
  </si>
  <si>
    <t>Melissa Moreno</t>
  </si>
  <si>
    <t>Vista Linda</t>
  </si>
  <si>
    <t>melimorenoc2119@gmail.com</t>
  </si>
  <si>
    <t>001-101-000003031</t>
  </si>
  <si>
    <t>Cafetera CLC 855 GM INOX</t>
  </si>
  <si>
    <t>001-501-000053055</t>
  </si>
  <si>
    <t>Cocina GZC 95320 XBB</t>
  </si>
  <si>
    <t>ZP242500139</t>
  </si>
  <si>
    <t>Pablo Cisneros</t>
  </si>
  <si>
    <t>apriscy12@gmail.com</t>
  </si>
  <si>
    <t>TZ243604746</t>
  </si>
  <si>
    <t>TP242501554</t>
  </si>
  <si>
    <t>040-103-000005339</t>
  </si>
  <si>
    <t>002-111-000021873</t>
  </si>
  <si>
    <t>TP234D04201</t>
  </si>
  <si>
    <t>TP22C205675</t>
  </si>
  <si>
    <t>Horno HLF 840 SS</t>
  </si>
  <si>
    <t>TZ232L16262</t>
  </si>
  <si>
    <t>043-904-000029591</t>
  </si>
  <si>
    <t>00233u00246</t>
  </si>
  <si>
    <t>Andrea Villavicencio</t>
  </si>
  <si>
    <t>Carmen del Guzho</t>
  </si>
  <si>
    <t>andreita_vc77@hotmail.com</t>
  </si>
  <si>
    <t>040-104-000003952</t>
  </si>
  <si>
    <t>Cocina IZF 99700 MST BK</t>
  </si>
  <si>
    <t>ZP235400072</t>
  </si>
  <si>
    <t>112570073</t>
  </si>
  <si>
    <t>Cocina GZC 96310</t>
  </si>
  <si>
    <t>ZP242700275</t>
  </si>
  <si>
    <t>Omar Bustamante</t>
  </si>
  <si>
    <t>Francisco Calderon y Antonio Vallejo</t>
  </si>
  <si>
    <t>jadomm@hotmail.com</t>
  </si>
  <si>
    <t>TZ243604778</t>
  </si>
  <si>
    <t>0422630</t>
  </si>
  <si>
    <t>Susana Maita</t>
  </si>
  <si>
    <t>Condominio Paris</t>
  </si>
  <si>
    <t>catinanovaalfajore@hotmail.com</t>
  </si>
  <si>
    <t>043-904-000030032</t>
  </si>
  <si>
    <t>ZP23C101171</t>
  </si>
  <si>
    <t>Horno HLB 760 G LPG E10</t>
  </si>
  <si>
    <t>TZ243C10714</t>
  </si>
  <si>
    <t>Alfredo Carrillo</t>
  </si>
  <si>
    <t>Cumanda 3-78</t>
  </si>
  <si>
    <t>acarrillotorres1999@gmailcom</t>
  </si>
  <si>
    <t>008-501-000007898</t>
  </si>
  <si>
    <t>ZP23C700697</t>
  </si>
  <si>
    <t>TP232N02442</t>
  </si>
  <si>
    <t>Horno HLB 830 SS</t>
  </si>
  <si>
    <t>TZ243134584</t>
  </si>
  <si>
    <t>paoeliza@hotmail.com</t>
  </si>
  <si>
    <t>Paola Cordova</t>
  </si>
  <si>
    <t>006-000155380</t>
  </si>
  <si>
    <t>TZ241405203</t>
  </si>
  <si>
    <t>001-500-000061535</t>
  </si>
  <si>
    <t>Cocina IZF 64440 MPS BK</t>
  </si>
  <si>
    <t>ZP23BW00456</t>
  </si>
  <si>
    <t>TZ241405173</t>
  </si>
  <si>
    <t>TP234D04202</t>
  </si>
  <si>
    <t>Pamela Ugalde</t>
  </si>
  <si>
    <t>Edf. Alquamari</t>
  </si>
  <si>
    <t>001-500-000044320</t>
  </si>
  <si>
    <t>ZP223N00086</t>
  </si>
  <si>
    <t>TZ234E11087</t>
  </si>
  <si>
    <t>TP223X08659</t>
  </si>
  <si>
    <t>Carolina Figueroa</t>
  </si>
  <si>
    <t>Condominio Buenaventura</t>
  </si>
  <si>
    <t>yescarol55qgmail.com</t>
  </si>
  <si>
    <t>ZP23B800537</t>
  </si>
  <si>
    <t>006-002-000156200</t>
  </si>
  <si>
    <t>Cocina GSC 64320</t>
  </si>
  <si>
    <t>ZP239600478</t>
  </si>
  <si>
    <t>Richard Chavez</t>
  </si>
  <si>
    <t>Artesanos Velasco Esq.</t>
  </si>
  <si>
    <t>richavez1990@gmail.com</t>
  </si>
  <si>
    <t>TP242L03439</t>
  </si>
  <si>
    <t>001-101-000003401</t>
  </si>
  <si>
    <t>TP241W02589</t>
  </si>
  <si>
    <t>TZ223P27905</t>
  </si>
  <si>
    <t>Santiago Arias</t>
  </si>
  <si>
    <t>Pampas del Cebollar</t>
  </si>
  <si>
    <t>santiago.arias.7694@gmail.com</t>
  </si>
  <si>
    <t>CO225R01010</t>
  </si>
  <si>
    <t>Adriana Torres</t>
  </si>
  <si>
    <t>Cdla La Berbena</t>
  </si>
  <si>
    <t>adriana_monroy@aol.com</t>
  </si>
  <si>
    <t>Comercial solis</t>
  </si>
  <si>
    <t>001-500-000064855</t>
  </si>
  <si>
    <t>CO225R00108</t>
  </si>
  <si>
    <t>vinera RVF 10032 GBK</t>
  </si>
  <si>
    <t>YH22BR00091</t>
  </si>
  <si>
    <t>043-902-000018850</t>
  </si>
  <si>
    <t>Fuga en valvula de entrada de agua, se cambia abrazadera</t>
  </si>
  <si>
    <t>Se ajusta bisagra</t>
  </si>
  <si>
    <t>bisagra derecha deformada, se desarma para enderezar y reposicionar la bisagra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</si>
</sst>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</numFmts>
  <fonts count="6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13"/>
      <name val="Arial"/>
      <family val="2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9" fillId="0" borderId="0"/>
    <xf numFmtId="0" fontId="9" fillId="2" borderId="0">
      <alignment horizontal="left"/>
    </xf>
    <xf numFmtId="0" fontId="1" fillId="0" borderId="0"/>
    <xf numFmtId="0" fontId="2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167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0" borderId="0"/>
    <xf numFmtId="43" fontId="24" fillId="0" borderId="0" applyFont="0" applyFill="0" applyBorder="0" applyAlignment="0" applyProtection="0"/>
    <xf numFmtId="0" fontId="47" fillId="0" borderId="0"/>
    <xf numFmtId="0" fontId="24" fillId="0" borderId="0"/>
    <xf numFmtId="0" fontId="1" fillId="0" borderId="0"/>
    <xf numFmtId="0" fontId="2" fillId="0" borderId="0" applyNumberFormat="0" applyFill="0" applyBorder="0" applyAlignment="0" applyProtection="0"/>
    <xf numFmtId="0" fontId="24" fillId="0" borderId="0"/>
    <xf numFmtId="0" fontId="9" fillId="0" borderId="0"/>
  </cellStyleXfs>
  <cellXfs count="228">
    <xf numFmtId="0" fontId="0" fillId="0" borderId="0" xfId="0"/>
    <xf numFmtId="0" fontId="3" fillId="0" borderId="0" xfId="0" applyFont="1" applyAlignment="1">
      <alignment horizontal="right"/>
    </xf>
    <xf numFmtId="4" fontId="4" fillId="0" borderId="0" xfId="0" applyNumberFormat="1" applyFont="1"/>
    <xf numFmtId="0" fontId="5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" fontId="0" fillId="0" borderId="0" xfId="0" applyNumberFormat="1"/>
    <xf numFmtId="2" fontId="7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10" fillId="0" borderId="0" xfId="1" applyFont="1"/>
    <xf numFmtId="0" fontId="11" fillId="2" borderId="0" xfId="2" applyFont="1" applyAlignment="1">
      <alignment horizontal="center" vertical="center"/>
    </xf>
    <xf numFmtId="1" fontId="11" fillId="2" borderId="0" xfId="2" applyNumberFormat="1" applyFont="1" applyAlignment="1">
      <alignment horizontal="right" vertical="center"/>
    </xf>
    <xf numFmtId="1" fontId="11" fillId="2" borderId="0" xfId="2" applyNumberFormat="1" applyFont="1" applyAlignment="1">
      <alignment horizontal="center" vertical="center"/>
    </xf>
    <xf numFmtId="2" fontId="11" fillId="2" borderId="0" xfId="2" applyNumberFormat="1" applyFont="1" applyAlignment="1">
      <alignment vertical="center"/>
    </xf>
    <xf numFmtId="49" fontId="0" fillId="0" borderId="0" xfId="0" quotePrefix="1" applyNumberFormat="1"/>
    <xf numFmtId="17" fontId="7" fillId="0" borderId="0" xfId="0" quotePrefix="1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3" applyFont="1" applyAlignment="1">
      <alignment horizontal="right"/>
    </xf>
    <xf numFmtId="164" fontId="14" fillId="5" borderId="2" xfId="3" applyNumberFormat="1" applyFont="1" applyFill="1" applyBorder="1" applyAlignment="1">
      <alignment horizontal="left"/>
    </xf>
    <xf numFmtId="0" fontId="14" fillId="5" borderId="2" xfId="3" applyFont="1" applyFill="1" applyBorder="1"/>
    <xf numFmtId="0" fontId="14" fillId="0" borderId="2" xfId="3" applyFont="1" applyBorder="1" applyAlignment="1">
      <alignment horizontal="center" vertical="center"/>
    </xf>
    <xf numFmtId="0" fontId="14" fillId="0" borderId="2" xfId="3" applyFont="1" applyBorder="1"/>
    <xf numFmtId="0" fontId="14" fillId="5" borderId="2" xfId="3" applyFont="1" applyFill="1" applyBorder="1" applyAlignment="1">
      <alignment horizontal="left"/>
    </xf>
    <xf numFmtId="0" fontId="14" fillId="5" borderId="2" xfId="3" applyFont="1" applyFill="1" applyBorder="1" applyAlignment="1">
      <alignment horizontal="left" vertical="center"/>
    </xf>
    <xf numFmtId="14" fontId="14" fillId="5" borderId="2" xfId="3" applyNumberFormat="1" applyFont="1" applyFill="1" applyBorder="1" applyAlignment="1">
      <alignment horizontal="left"/>
    </xf>
    <xf numFmtId="1" fontId="14" fillId="5" borderId="2" xfId="3" applyNumberFormat="1" applyFont="1" applyFill="1" applyBorder="1"/>
    <xf numFmtId="2" fontId="14" fillId="5" borderId="2" xfId="3" applyNumberFormat="1" applyFont="1" applyFill="1" applyBorder="1" applyAlignment="1">
      <alignment horizontal="center"/>
    </xf>
    <xf numFmtId="165" fontId="14" fillId="5" borderId="2" xfId="3" applyNumberFormat="1" applyFont="1" applyFill="1" applyBorder="1" applyAlignment="1">
      <alignment horizontal="center"/>
    </xf>
    <xf numFmtId="0" fontId="14" fillId="5" borderId="2" xfId="3" applyFont="1" applyFill="1" applyBorder="1" applyAlignment="1">
      <alignment horizontal="center" vertical="center"/>
    </xf>
    <xf numFmtId="0" fontId="15" fillId="5" borderId="2" xfId="4" applyNumberFormat="1" applyFont="1" applyFill="1" applyBorder="1"/>
    <xf numFmtId="0" fontId="16" fillId="5" borderId="2" xfId="4" applyNumberFormat="1" applyFont="1" applyFill="1" applyBorder="1"/>
    <xf numFmtId="0" fontId="17" fillId="0" borderId="3" xfId="3" applyFont="1" applyBorder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left" vertical="top"/>
    </xf>
    <xf numFmtId="0" fontId="19" fillId="6" borderId="0" xfId="0" applyFont="1" applyFill="1" applyAlignment="1">
      <alignment horizontal="left"/>
    </xf>
    <xf numFmtId="0" fontId="21" fillId="0" borderId="0" xfId="5" applyFont="1"/>
    <xf numFmtId="0" fontId="20" fillId="0" borderId="0" xfId="5" applyAlignment="1">
      <alignment horizontal="right"/>
    </xf>
    <xf numFmtId="4" fontId="8" fillId="0" borderId="0" xfId="6" applyNumberFormat="1" applyFont="1" applyAlignment="1">
      <alignment horizontal="left"/>
    </xf>
    <xf numFmtId="0" fontId="22" fillId="0" borderId="0" xfId="6" applyFont="1" applyAlignment="1">
      <alignment horizontal="center"/>
    </xf>
    <xf numFmtId="0" fontId="23" fillId="0" borderId="0" xfId="6" applyFont="1" applyAlignment="1">
      <alignment vertical="center"/>
    </xf>
    <xf numFmtId="0" fontId="22" fillId="0" borderId="0" xfId="6" applyFont="1"/>
    <xf numFmtId="2" fontId="24" fillId="0" borderId="0" xfId="6" applyNumberFormat="1" applyFont="1" applyAlignment="1">
      <alignment horizontal="left"/>
    </xf>
    <xf numFmtId="0" fontId="20" fillId="0" borderId="0" xfId="5"/>
    <xf numFmtId="0" fontId="25" fillId="0" borderId="0" xfId="5" applyFont="1"/>
    <xf numFmtId="4" fontId="8" fillId="0" borderId="0" xfId="6" applyNumberFormat="1" applyFont="1" applyAlignment="1">
      <alignment horizontal="left" vertical="center"/>
    </xf>
    <xf numFmtId="0" fontId="24" fillId="0" borderId="0" xfId="6" applyFont="1" applyAlignment="1">
      <alignment horizontal="center"/>
    </xf>
    <xf numFmtId="0" fontId="24" fillId="0" borderId="0" xfId="6" applyFont="1"/>
    <xf numFmtId="166" fontId="26" fillId="0" borderId="4" xfId="7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 wrapText="1" readingOrder="1"/>
    </xf>
    <xf numFmtId="0" fontId="27" fillId="0" borderId="5" xfId="7" applyFont="1" applyBorder="1" applyAlignment="1">
      <alignment horizontal="left" wrapText="1"/>
    </xf>
    <xf numFmtId="0" fontId="29" fillId="0" borderId="5" xfId="7" applyFont="1" applyBorder="1" applyAlignment="1">
      <alignment horizontal="left" wrapText="1"/>
    </xf>
    <xf numFmtId="17" fontId="30" fillId="0" borderId="5" xfId="7" quotePrefix="1" applyNumberFormat="1" applyFont="1" applyBorder="1" applyAlignment="1">
      <alignment horizontal="left"/>
    </xf>
    <xf numFmtId="0" fontId="24" fillId="0" borderId="5" xfId="7" applyFont="1" applyBorder="1" applyAlignment="1">
      <alignment horizontal="left"/>
    </xf>
    <xf numFmtId="49" fontId="31" fillId="0" borderId="6" xfId="7" quotePrefix="1" applyNumberFormat="1" applyFont="1" applyBorder="1" applyAlignment="1">
      <alignment horizontal="left"/>
    </xf>
    <xf numFmtId="0" fontId="21" fillId="0" borderId="0" xfId="0" applyFont="1"/>
    <xf numFmtId="166" fontId="26" fillId="0" borderId="7" xfId="7" applyNumberFormat="1" applyFont="1" applyBorder="1" applyAlignment="1">
      <alignment horizontal="left"/>
    </xf>
    <xf numFmtId="0" fontId="26" fillId="0" borderId="0" xfId="7" applyFont="1" applyAlignment="1">
      <alignment horizontal="left"/>
    </xf>
    <xf numFmtId="0" fontId="25" fillId="0" borderId="0" xfId="7" applyFont="1" applyAlignment="1">
      <alignment horizontal="left"/>
    </xf>
    <xf numFmtId="0" fontId="25" fillId="0" borderId="8" xfId="7" applyFont="1" applyBorder="1" applyAlignment="1">
      <alignment horizontal="left"/>
    </xf>
    <xf numFmtId="166" fontId="32" fillId="0" borderId="9" xfId="7" applyNumberFormat="1" applyFont="1" applyBorder="1" applyAlignment="1">
      <alignment horizontal="left"/>
    </xf>
    <xf numFmtId="0" fontId="25" fillId="0" borderId="10" xfId="7" applyFont="1" applyBorder="1" applyAlignment="1">
      <alignment horizontal="left"/>
    </xf>
    <xf numFmtId="0" fontId="25" fillId="0" borderId="11" xfId="7" applyFont="1" applyBorder="1" applyAlignment="1">
      <alignment horizontal="left"/>
    </xf>
    <xf numFmtId="0" fontId="34" fillId="5" borderId="2" xfId="4" applyNumberFormat="1" applyFont="1" applyFill="1" applyBorder="1"/>
    <xf numFmtId="0" fontId="35" fillId="0" borderId="0" xfId="0" applyFont="1"/>
    <xf numFmtId="0" fontId="14" fillId="0" borderId="0" xfId="0" applyFont="1" applyAlignment="1">
      <alignment horizontal="right"/>
    </xf>
    <xf numFmtId="0" fontId="37" fillId="0" borderId="0" xfId="9" applyFont="1"/>
    <xf numFmtId="0" fontId="1" fillId="0" borderId="0" xfId="14"/>
    <xf numFmtId="4" fontId="4" fillId="0" borderId="0" xfId="14" applyNumberFormat="1" applyFont="1"/>
    <xf numFmtId="0" fontId="5" fillId="0" borderId="0" xfId="14" applyFont="1" applyAlignment="1">
      <alignment vertical="center"/>
    </xf>
    <xf numFmtId="2" fontId="1" fillId="0" borderId="0" xfId="14" applyNumberFormat="1" applyAlignment="1">
      <alignment horizontal="left"/>
    </xf>
    <xf numFmtId="0" fontId="1" fillId="0" borderId="0" xfId="14" applyAlignment="1">
      <alignment horizontal="left"/>
    </xf>
    <xf numFmtId="43" fontId="1" fillId="0" borderId="0" xfId="15" applyFont="1" applyFill="1"/>
    <xf numFmtId="0" fontId="38" fillId="0" borderId="0" xfId="14" applyFont="1"/>
    <xf numFmtId="4" fontId="8" fillId="0" borderId="0" xfId="14" applyNumberFormat="1" applyFont="1" applyAlignment="1">
      <alignment horizontal="left" vertical="center"/>
    </xf>
    <xf numFmtId="0" fontId="24" fillId="0" borderId="0" xfId="9"/>
    <xf numFmtId="17" fontId="1" fillId="0" borderId="0" xfId="14" quotePrefix="1" applyNumberFormat="1"/>
    <xf numFmtId="17" fontId="38" fillId="0" borderId="0" xfId="14" quotePrefix="1" applyNumberFormat="1" applyFont="1"/>
    <xf numFmtId="0" fontId="39" fillId="7" borderId="14" xfId="14" applyFont="1" applyFill="1" applyBorder="1" applyAlignment="1">
      <alignment horizontal="center" wrapText="1"/>
    </xf>
    <xf numFmtId="0" fontId="40" fillId="7" borderId="14" xfId="9" applyFont="1" applyFill="1" applyBorder="1" applyAlignment="1">
      <alignment horizontal="left" wrapText="1"/>
    </xf>
    <xf numFmtId="43" fontId="40" fillId="7" borderId="14" xfId="15" applyFont="1" applyFill="1" applyBorder="1" applyAlignment="1">
      <alignment horizontal="left" wrapText="1"/>
    </xf>
    <xf numFmtId="0" fontId="40" fillId="7" borderId="14" xfId="9" applyFont="1" applyFill="1" applyBorder="1" applyAlignment="1">
      <alignment horizontal="center" wrapText="1"/>
    </xf>
    <xf numFmtId="0" fontId="40" fillId="7" borderId="0" xfId="9" applyFont="1" applyFill="1" applyAlignment="1">
      <alignment horizontal="left" wrapText="1"/>
    </xf>
    <xf numFmtId="0" fontId="39" fillId="7" borderId="14" xfId="9" applyFont="1" applyFill="1" applyBorder="1" applyAlignment="1">
      <alignment horizontal="left" wrapText="1"/>
    </xf>
    <xf numFmtId="0" fontId="17" fillId="0" borderId="0" xfId="14" applyFont="1" applyAlignment="1">
      <alignment horizontal="right"/>
    </xf>
    <xf numFmtId="0" fontId="41" fillId="0" borderId="0" xfId="9" applyFont="1"/>
    <xf numFmtId="0" fontId="17" fillId="0" borderId="10" xfId="14" applyFont="1" applyBorder="1" applyAlignment="1">
      <alignment horizontal="left"/>
    </xf>
    <xf numFmtId="0" fontId="17" fillId="0" borderId="16" xfId="14" applyFont="1" applyBorder="1" applyAlignment="1">
      <alignment horizontal="left"/>
    </xf>
    <xf numFmtId="0" fontId="17" fillId="0" borderId="16" xfId="14" applyFont="1" applyBorder="1"/>
    <xf numFmtId="0" fontId="17" fillId="0" borderId="10" xfId="14" applyFont="1" applyBorder="1" applyAlignment="1">
      <alignment horizontal="left" vertical="center"/>
    </xf>
    <xf numFmtId="14" fontId="17" fillId="0" borderId="15" xfId="14" applyNumberFormat="1" applyFont="1" applyBorder="1" applyAlignment="1">
      <alignment horizontal="left"/>
    </xf>
    <xf numFmtId="0" fontId="17" fillId="0" borderId="15" xfId="14" applyFont="1" applyBorder="1" applyAlignment="1">
      <alignment horizontal="left" vertical="center"/>
    </xf>
    <xf numFmtId="0" fontId="17" fillId="0" borderId="15" xfId="14" applyFont="1" applyBorder="1" applyAlignment="1">
      <alignment horizontal="left"/>
    </xf>
    <xf numFmtId="0" fontId="17" fillId="0" borderId="15" xfId="14" quotePrefix="1" applyFont="1" applyBorder="1" applyAlignment="1">
      <alignment horizontal="left"/>
    </xf>
    <xf numFmtId="14" fontId="17" fillId="0" borderId="15" xfId="14" applyNumberFormat="1" applyFont="1" applyBorder="1" applyAlignment="1">
      <alignment horizontal="left" vertical="center"/>
    </xf>
    <xf numFmtId="43" fontId="17" fillId="0" borderId="15" xfId="15" applyFont="1" applyBorder="1"/>
    <xf numFmtId="43" fontId="17" fillId="0" borderId="15" xfId="15" applyFont="1" applyBorder="1" applyAlignment="1">
      <alignment horizontal="left" vertical="center"/>
    </xf>
    <xf numFmtId="0" fontId="17" fillId="0" borderId="15" xfId="14" quotePrefix="1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7" xfId="0" applyFont="1" applyBorder="1" applyAlignment="1">
      <alignment vertical="center"/>
    </xf>
    <xf numFmtId="43" fontId="0" fillId="0" borderId="0" xfId="0" applyNumberFormat="1"/>
    <xf numFmtId="0" fontId="12" fillId="0" borderId="0" xfId="0" quotePrefix="1" applyFont="1"/>
    <xf numFmtId="0" fontId="46" fillId="7" borderId="14" xfId="0" applyFont="1" applyFill="1" applyBorder="1" applyAlignment="1">
      <alignment horizontal="center" wrapText="1"/>
    </xf>
    <xf numFmtId="0" fontId="46" fillId="7" borderId="14" xfId="0" applyFont="1" applyFill="1" applyBorder="1" applyAlignment="1">
      <alignment wrapText="1"/>
    </xf>
    <xf numFmtId="0" fontId="46" fillId="7" borderId="14" xfId="0" applyFont="1" applyFill="1" applyBorder="1" applyAlignment="1">
      <alignment horizontal="center" vertical="center" wrapText="1"/>
    </xf>
    <xf numFmtId="0" fontId="46" fillId="7" borderId="18" xfId="0" applyFont="1" applyFill="1" applyBorder="1" applyAlignment="1">
      <alignment wrapText="1"/>
    </xf>
    <xf numFmtId="0" fontId="46" fillId="7" borderId="18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7" fillId="0" borderId="0" xfId="0" applyFont="1"/>
    <xf numFmtId="0" fontId="30" fillId="0" borderId="0" xfId="17" applyFont="1"/>
    <xf numFmtId="4" fontId="30" fillId="0" borderId="0" xfId="17" applyNumberFormat="1" applyFont="1"/>
    <xf numFmtId="0" fontId="25" fillId="0" borderId="0" xfId="17" applyFont="1"/>
    <xf numFmtId="0" fontId="24" fillId="0" borderId="0" xfId="17"/>
    <xf numFmtId="49" fontId="24" fillId="0" borderId="0" xfId="17" applyNumberFormat="1"/>
    <xf numFmtId="17" fontId="30" fillId="0" borderId="0" xfId="17" quotePrefix="1" applyNumberFormat="1" applyFont="1"/>
    <xf numFmtId="4" fontId="25" fillId="0" borderId="0" xfId="17" applyNumberFormat="1" applyFont="1"/>
    <xf numFmtId="0" fontId="37" fillId="0" borderId="0" xfId="17" applyFont="1"/>
    <xf numFmtId="4" fontId="4" fillId="0" borderId="0" xfId="17" applyNumberFormat="1" applyFont="1"/>
    <xf numFmtId="0" fontId="38" fillId="0" borderId="0" xfId="8" applyFont="1"/>
    <xf numFmtId="49" fontId="38" fillId="0" borderId="0" xfId="8" applyNumberFormat="1" applyFont="1"/>
    <xf numFmtId="0" fontId="5" fillId="0" borderId="0" xfId="17" applyFont="1" applyAlignment="1">
      <alignment vertical="center"/>
    </xf>
    <xf numFmtId="2" fontId="24" fillId="0" borderId="0" xfId="17" applyNumberFormat="1" applyAlignment="1">
      <alignment horizontal="left"/>
    </xf>
    <xf numFmtId="4" fontId="8" fillId="0" borderId="0" xfId="17" applyNumberFormat="1" applyFont="1" applyAlignment="1">
      <alignment horizontal="left" vertical="center"/>
    </xf>
    <xf numFmtId="0" fontId="39" fillId="7" borderId="14" xfId="18" applyFont="1" applyFill="1" applyBorder="1" applyAlignment="1">
      <alignment wrapText="1"/>
    </xf>
    <xf numFmtId="0" fontId="48" fillId="7" borderId="14" xfId="18" applyFont="1" applyFill="1" applyBorder="1" applyAlignment="1">
      <alignment wrapText="1"/>
    </xf>
    <xf numFmtId="49" fontId="39" fillId="7" borderId="14" xfId="18" applyNumberFormat="1" applyFont="1" applyFill="1" applyBorder="1" applyAlignment="1">
      <alignment wrapText="1"/>
    </xf>
    <xf numFmtId="164" fontId="49" fillId="0" borderId="2" xfId="0" applyNumberFormat="1" applyFont="1" applyBorder="1" applyAlignment="1">
      <alignment horizontal="left"/>
    </xf>
    <xf numFmtId="0" fontId="49" fillId="0" borderId="2" xfId="0" applyFont="1" applyBorder="1"/>
    <xf numFmtId="0" fontId="49" fillId="0" borderId="2" xfId="0" applyFont="1" applyBorder="1" applyAlignment="1">
      <alignment horizontal="center" vertical="center"/>
    </xf>
    <xf numFmtId="2" fontId="49" fillId="0" borderId="2" xfId="0" applyNumberFormat="1" applyFont="1" applyBorder="1" applyAlignment="1">
      <alignment horizontal="left"/>
    </xf>
    <xf numFmtId="0" fontId="49" fillId="0" borderId="2" xfId="0" quotePrefix="1" applyFont="1" applyBorder="1" applyAlignment="1">
      <alignment horizontal="left" vertical="center"/>
    </xf>
    <xf numFmtId="49" fontId="49" fillId="0" borderId="2" xfId="0" applyNumberFormat="1" applyFont="1" applyBorder="1" applyAlignment="1">
      <alignment horizontal="left"/>
    </xf>
    <xf numFmtId="14" fontId="49" fillId="0" borderId="2" xfId="0" applyNumberFormat="1" applyFont="1" applyBorder="1" applyAlignment="1">
      <alignment horizontal="left"/>
    </xf>
    <xf numFmtId="1" fontId="49" fillId="0" borderId="2" xfId="0" applyNumberFormat="1" applyFont="1" applyBorder="1"/>
    <xf numFmtId="2" fontId="49" fillId="8" borderId="2" xfId="0" applyNumberFormat="1" applyFont="1" applyFill="1" applyBorder="1" applyAlignment="1">
      <alignment horizontal="right"/>
    </xf>
    <xf numFmtId="2" fontId="49" fillId="0" borderId="2" xfId="0" applyNumberFormat="1" applyFont="1" applyBorder="1" applyAlignment="1">
      <alignment horizontal="center"/>
    </xf>
    <xf numFmtId="49" fontId="49" fillId="0" borderId="2" xfId="0" applyNumberFormat="1" applyFont="1" applyBorder="1"/>
    <xf numFmtId="165" fontId="49" fillId="0" borderId="2" xfId="0" applyNumberFormat="1" applyFont="1" applyBorder="1" applyAlignment="1">
      <alignment horizontal="center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35" fillId="0" borderId="0" xfId="3" applyFont="1"/>
    <xf numFmtId="0" fontId="2" fillId="0" borderId="15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9" xfId="0" applyFont="1" applyFill="1" applyBorder="1" applyAlignment="1">
      <alignment horizontal="left" vertical="center" wrapText="1"/>
    </xf>
    <xf numFmtId="1" fontId="60" fillId="3" borderId="19" xfId="0" applyNumberFormat="1" applyFont="1" applyFill="1" applyBorder="1" applyAlignment="1">
      <alignment horizontal="left" vertical="center" wrapText="1"/>
    </xf>
    <xf numFmtId="2" fontId="60" fillId="3" borderId="19" xfId="0" applyNumberFormat="1" applyFont="1" applyFill="1" applyBorder="1" applyAlignment="1">
      <alignment horizontal="left" vertical="center" wrapText="1"/>
    </xf>
    <xf numFmtId="0" fontId="60" fillId="3" borderId="20" xfId="0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14" fontId="61" fillId="9" borderId="22" xfId="0" applyNumberFormat="1" applyFont="1" applyFill="1" applyBorder="1" applyAlignment="1">
      <alignment horizontal="left" vertical="center"/>
    </xf>
    <xf numFmtId="49" fontId="61" fillId="9" borderId="22" xfId="0" applyNumberFormat="1" applyFont="1" applyFill="1" applyBorder="1" applyAlignment="1">
      <alignment horizontal="left" vertical="center"/>
    </xf>
    <xf numFmtId="0" fontId="61" fillId="9" borderId="22" xfId="0" applyFont="1" applyFill="1" applyBorder="1" applyAlignment="1">
      <alignment horizontal="left" vertical="center"/>
    </xf>
    <xf numFmtId="2" fontId="61" fillId="9" borderId="22" xfId="0" applyNumberFormat="1" applyFont="1" applyFill="1" applyBorder="1" applyAlignment="1">
      <alignment horizontal="left" vertical="center"/>
    </xf>
    <xf numFmtId="0" fontId="61" fillId="10" borderId="22" xfId="0" applyFont="1" applyFill="1" applyBorder="1" applyAlignment="1">
      <alignment horizontal="left" vertical="center"/>
    </xf>
    <xf numFmtId="14" fontId="2" fillId="9" borderId="22" xfId="19" applyNumberFormat="1" applyFill="1" applyBorder="1" applyAlignment="1">
      <alignment horizontal="left" vertical="center"/>
    </xf>
    <xf numFmtId="0" fontId="49" fillId="5" borderId="15" xfId="0" applyFont="1" applyFill="1" applyBorder="1" applyAlignment="1">
      <alignment horizontal="center" vertical="center"/>
    </xf>
    <xf numFmtId="0" fontId="36" fillId="0" borderId="0" xfId="9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5" fillId="8" borderId="1" xfId="0" applyFont="1" applyFill="1" applyBorder="1" applyAlignment="1">
      <alignment vertical="center"/>
    </xf>
    <xf numFmtId="49" fontId="18" fillId="8" borderId="1" xfId="0" applyNumberFormat="1" applyFont="1" applyFill="1" applyBorder="1" applyAlignment="1">
      <alignment horizontal="center"/>
    </xf>
    <xf numFmtId="49" fontId="2" fillId="0" borderId="2" xfId="19" applyNumberFormat="1" applyBorder="1"/>
    <xf numFmtId="0" fontId="62" fillId="8" borderId="15" xfId="21" applyFont="1" applyFill="1" applyBorder="1" applyAlignment="1">
      <alignment horizontal="left"/>
    </xf>
    <xf numFmtId="165" fontId="2" fillId="5" borderId="2" xfId="19" applyNumberFormat="1" applyFill="1" applyBorder="1" applyAlignment="1">
      <alignment horizontal="left"/>
    </xf>
    <xf numFmtId="0" fontId="36" fillId="8" borderId="0" xfId="9" applyFont="1" applyFill="1" applyAlignment="1">
      <alignment vertical="center"/>
    </xf>
    <xf numFmtId="14" fontId="36" fillId="8" borderId="2" xfId="10" applyNumberFormat="1" applyFont="1" applyFill="1" applyBorder="1" applyAlignment="1">
      <alignment vertical="center" wrapText="1"/>
    </xf>
    <xf numFmtId="14" fontId="36" fillId="8" borderId="2" xfId="10" applyNumberFormat="1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left" vertical="center" wrapText="1"/>
    </xf>
    <xf numFmtId="0" fontId="36" fillId="8" borderId="12" xfId="10" applyFont="1" applyFill="1" applyBorder="1" applyAlignment="1">
      <alignment vertical="center" wrapText="1"/>
    </xf>
    <xf numFmtId="0" fontId="36" fillId="8" borderId="2" xfId="10" quotePrefix="1" applyFont="1" applyFill="1" applyBorder="1" applyAlignment="1">
      <alignment horizontal="left" vertical="center" wrapText="1"/>
    </xf>
    <xf numFmtId="1" fontId="36" fillId="8" borderId="2" xfId="11" quotePrefix="1" applyNumberFormat="1" applyFont="1" applyFill="1" applyBorder="1" applyAlignment="1">
      <alignment horizontal="left" vertical="center"/>
    </xf>
    <xf numFmtId="43" fontId="36" fillId="8" borderId="2" xfId="12" applyFont="1" applyFill="1" applyBorder="1" applyAlignment="1">
      <alignment vertical="center"/>
    </xf>
    <xf numFmtId="43" fontId="36" fillId="8" borderId="2" xfId="12" quotePrefix="1" applyFont="1" applyFill="1" applyBorder="1" applyAlignment="1">
      <alignment horizontal="left" vertical="center"/>
    </xf>
    <xf numFmtId="43" fontId="2" fillId="8" borderId="13" xfId="19" applyNumberFormat="1" applyFill="1" applyBorder="1" applyAlignment="1">
      <alignment horizontal="left" vertical="center"/>
    </xf>
    <xf numFmtId="0" fontId="2" fillId="8" borderId="0" xfId="19" applyFill="1" applyAlignment="1">
      <alignment vertical="center"/>
    </xf>
    <xf numFmtId="0" fontId="35" fillId="8" borderId="0" xfId="0" applyFont="1" applyFill="1" applyAlignment="1">
      <alignment vertical="center"/>
    </xf>
    <xf numFmtId="0" fontId="36" fillId="8" borderId="0" xfId="10" applyFont="1" applyFill="1" applyAlignment="1">
      <alignment horizontal="left" vertical="center" wrapText="1"/>
    </xf>
    <xf numFmtId="1" fontId="36" fillId="8" borderId="0" xfId="11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9"/>
    <xf numFmtId="0" fontId="2" fillId="10" borderId="22" xfId="19" applyFill="1" applyBorder="1" applyAlignment="1">
      <alignment horizontal="left" vertical="center"/>
    </xf>
    <xf numFmtId="0" fontId="14" fillId="8" borderId="0" xfId="3" applyFont="1" applyFill="1" applyAlignment="1">
      <alignment horizontal="right"/>
    </xf>
    <xf numFmtId="164" fontId="14" fillId="8" borderId="2" xfId="3" applyNumberFormat="1" applyFont="1" applyFill="1" applyBorder="1" applyAlignment="1">
      <alignment horizontal="left"/>
    </xf>
    <xf numFmtId="0" fontId="14" fillId="8" borderId="2" xfId="3" applyFont="1" applyFill="1" applyBorder="1"/>
    <xf numFmtId="0" fontId="14" fillId="8" borderId="2" xfId="3" applyFont="1" applyFill="1" applyBorder="1" applyAlignment="1">
      <alignment horizontal="center" vertical="center"/>
    </xf>
    <xf numFmtId="0" fontId="14" fillId="8" borderId="2" xfId="3" applyFont="1" applyFill="1" applyBorder="1" applyAlignment="1">
      <alignment horizontal="left"/>
    </xf>
    <xf numFmtId="0" fontId="14" fillId="8" borderId="2" xfId="3" applyFont="1" applyFill="1" applyBorder="1" applyAlignment="1">
      <alignment horizontal="left" vertical="center"/>
    </xf>
    <xf numFmtId="14" fontId="14" fillId="8" borderId="2" xfId="3" applyNumberFormat="1" applyFont="1" applyFill="1" applyBorder="1" applyAlignment="1">
      <alignment horizontal="left"/>
    </xf>
    <xf numFmtId="1" fontId="14" fillId="8" borderId="2" xfId="3" applyNumberFormat="1" applyFont="1" applyFill="1" applyBorder="1"/>
    <xf numFmtId="2" fontId="14" fillId="8" borderId="2" xfId="3" applyNumberFormat="1" applyFont="1" applyFill="1" applyBorder="1" applyAlignment="1">
      <alignment horizontal="center"/>
    </xf>
    <xf numFmtId="165" fontId="14" fillId="8" borderId="2" xfId="3" applyNumberFormat="1" applyFont="1" applyFill="1" applyBorder="1" applyAlignment="1">
      <alignment horizontal="center"/>
    </xf>
    <xf numFmtId="0" fontId="34" fillId="8" borderId="2" xfId="4" applyNumberFormat="1" applyFont="1" applyFill="1" applyBorder="1"/>
    <xf numFmtId="0" fontId="2" fillId="8" borderId="0" xfId="19" applyFill="1"/>
    <xf numFmtId="0" fontId="35" fillId="8" borderId="0" xfId="3" applyFont="1" applyFill="1"/>
    <xf numFmtId="0" fontId="35" fillId="8" borderId="0" xfId="0" applyFont="1" applyFill="1"/>
    <xf numFmtId="0" fontId="2" fillId="8" borderId="2" xfId="19" applyNumberFormat="1" applyFill="1" applyBorder="1"/>
    <xf numFmtId="0" fontId="2" fillId="8" borderId="18" xfId="19" applyFill="1" applyBorder="1"/>
    <xf numFmtId="0" fontId="35" fillId="8" borderId="3" xfId="3" applyFont="1" applyFill="1" applyBorder="1"/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aulatoledo-100@hotmail.com" TargetMode="External"/><Relationship Id="rId21" Type="http://schemas.openxmlformats.org/officeDocument/2006/relationships/hyperlink" Target="mailto:gustavoparra1104@hotmail.com" TargetMode="External"/><Relationship Id="rId42" Type="http://schemas.openxmlformats.org/officeDocument/2006/relationships/hyperlink" Target="mailto:josue.arevalo.abril@gmail.com" TargetMode="External"/><Relationship Id="rId47" Type="http://schemas.openxmlformats.org/officeDocument/2006/relationships/hyperlink" Target="mailto:ivonnemeb@gmail.com" TargetMode="External"/><Relationship Id="rId63" Type="http://schemas.openxmlformats.org/officeDocument/2006/relationships/hyperlink" Target="mailto:melimorenoc2119@gmail.com" TargetMode="External"/><Relationship Id="rId68" Type="http://schemas.openxmlformats.org/officeDocument/2006/relationships/hyperlink" Target="mailto:apriscy12@gmail.com" TargetMode="External"/><Relationship Id="rId84" Type="http://schemas.openxmlformats.org/officeDocument/2006/relationships/hyperlink" Target="mailto:gustavoparra1104@hotmail.com" TargetMode="External"/><Relationship Id="rId16" Type="http://schemas.openxmlformats.org/officeDocument/2006/relationships/hyperlink" Target="mailto:parrilladalaherredura@gmail.com" TargetMode="External"/><Relationship Id="rId11" Type="http://schemas.openxmlformats.org/officeDocument/2006/relationships/hyperlink" Target="mailto:malvarado22@hotmail.com" TargetMode="External"/><Relationship Id="rId32" Type="http://schemas.openxmlformats.org/officeDocument/2006/relationships/hyperlink" Target="mailto:remihurt@hotmail.com" TargetMode="External"/><Relationship Id="rId37" Type="http://schemas.openxmlformats.org/officeDocument/2006/relationships/hyperlink" Target="mailto:quitoangel7790@gmail.com" TargetMode="External"/><Relationship Id="rId53" Type="http://schemas.openxmlformats.org/officeDocument/2006/relationships/hyperlink" Target="mailto:gabrielamolina45@gmail.com" TargetMode="External"/><Relationship Id="rId58" Type="http://schemas.openxmlformats.org/officeDocument/2006/relationships/hyperlink" Target="mailto:frca1961@hotmail.com" TargetMode="External"/><Relationship Id="rId74" Type="http://schemas.openxmlformats.org/officeDocument/2006/relationships/hyperlink" Target="mailto:acarrillotorres1999@gmailcom" TargetMode="External"/><Relationship Id="rId79" Type="http://schemas.openxmlformats.org/officeDocument/2006/relationships/hyperlink" Target="mailto:paoeliza@hotmail.com" TargetMode="External"/><Relationship Id="rId5" Type="http://schemas.openxmlformats.org/officeDocument/2006/relationships/hyperlink" Target="mailto:macaridad.lopez@gmail.com" TargetMode="External"/><Relationship Id="rId19" Type="http://schemas.openxmlformats.org/officeDocument/2006/relationships/hyperlink" Target="mailto:gustavoparra1104@hotmail.com" TargetMode="External"/><Relationship Id="rId14" Type="http://schemas.openxmlformats.org/officeDocument/2006/relationships/hyperlink" Target="mailto:parrilladalaherredura@gmail.com" TargetMode="External"/><Relationship Id="rId22" Type="http://schemas.openxmlformats.org/officeDocument/2006/relationships/hyperlink" Target="mailto:gustavoparra1104@hotmail.com" TargetMode="External"/><Relationship Id="rId27" Type="http://schemas.openxmlformats.org/officeDocument/2006/relationships/hyperlink" Target="mailto:paulatoledo-100@hotmail.com" TargetMode="External"/><Relationship Id="rId30" Type="http://schemas.openxmlformats.org/officeDocument/2006/relationships/hyperlink" Target="mailto:isarivaflor5@hotmail.com" TargetMode="External"/><Relationship Id="rId35" Type="http://schemas.openxmlformats.org/officeDocument/2006/relationships/hyperlink" Target="mailto:fyrobalino23@gmail.com" TargetMode="External"/><Relationship Id="rId43" Type="http://schemas.openxmlformats.org/officeDocument/2006/relationships/hyperlink" Target="mailto:josue.arevalo.abril@gmail.com" TargetMode="External"/><Relationship Id="rId48" Type="http://schemas.openxmlformats.org/officeDocument/2006/relationships/hyperlink" Target="mailto:maryjuli22@gmail.com" TargetMode="External"/><Relationship Id="rId56" Type="http://schemas.openxmlformats.org/officeDocument/2006/relationships/hyperlink" Target="mailto:frca1961@hotmail.com" TargetMode="External"/><Relationship Id="rId64" Type="http://schemas.openxmlformats.org/officeDocument/2006/relationships/hyperlink" Target="mailto:melimorenoc2119@gmail.com" TargetMode="External"/><Relationship Id="rId69" Type="http://schemas.openxmlformats.org/officeDocument/2006/relationships/hyperlink" Target="mailto:andreita_vc77@hotmail.com" TargetMode="External"/><Relationship Id="rId77" Type="http://schemas.openxmlformats.org/officeDocument/2006/relationships/hyperlink" Target="mailto:paoeliza@hotmail.com" TargetMode="External"/><Relationship Id="rId8" Type="http://schemas.openxmlformats.org/officeDocument/2006/relationships/hyperlink" Target="mailto:elimerch@hotmail.com" TargetMode="External"/><Relationship Id="rId51" Type="http://schemas.openxmlformats.org/officeDocument/2006/relationships/hyperlink" Target="mailto:gabrielamolina45@gmail.com" TargetMode="External"/><Relationship Id="rId72" Type="http://schemas.openxmlformats.org/officeDocument/2006/relationships/hyperlink" Target="mailto:andreita_vc77@hotmail.com" TargetMode="External"/><Relationship Id="rId80" Type="http://schemas.openxmlformats.org/officeDocument/2006/relationships/hyperlink" Target="mailto:richavez1990@gmail.com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mailto:macaridad.lopez@gmail.com" TargetMode="External"/><Relationship Id="rId12" Type="http://schemas.openxmlformats.org/officeDocument/2006/relationships/hyperlink" Target="mailto:dannyillescas8205@gmail.com" TargetMode="External"/><Relationship Id="rId17" Type="http://schemas.openxmlformats.org/officeDocument/2006/relationships/hyperlink" Target="mailto:leay1967@hotmail.com" TargetMode="External"/><Relationship Id="rId25" Type="http://schemas.openxmlformats.org/officeDocument/2006/relationships/hyperlink" Target="mailto:atila7842@gmail.com" TargetMode="External"/><Relationship Id="rId33" Type="http://schemas.openxmlformats.org/officeDocument/2006/relationships/hyperlink" Target="mailto:katty92@gmail.com" TargetMode="External"/><Relationship Id="rId38" Type="http://schemas.openxmlformats.org/officeDocument/2006/relationships/hyperlink" Target="mailto:quitoangel7790@gmail.com" TargetMode="External"/><Relationship Id="rId46" Type="http://schemas.openxmlformats.org/officeDocument/2006/relationships/hyperlink" Target="mailto:ivonnemeb@gmail.com" TargetMode="External"/><Relationship Id="rId59" Type="http://schemas.openxmlformats.org/officeDocument/2006/relationships/hyperlink" Target="mailto:bdrllc@gmail.com" TargetMode="External"/><Relationship Id="rId67" Type="http://schemas.openxmlformats.org/officeDocument/2006/relationships/hyperlink" Target="mailto:apriscy12@gmail.com" TargetMode="External"/><Relationship Id="rId20" Type="http://schemas.openxmlformats.org/officeDocument/2006/relationships/hyperlink" Target="mailto:gustavoparra1104@hotmail.com" TargetMode="External"/><Relationship Id="rId41" Type="http://schemas.openxmlformats.org/officeDocument/2006/relationships/hyperlink" Target="mailto:josue.arevalo.abril@gmail.com" TargetMode="External"/><Relationship Id="rId54" Type="http://schemas.openxmlformats.org/officeDocument/2006/relationships/hyperlink" Target="mailto:zumbita1000@hotmail.com" TargetMode="External"/><Relationship Id="rId62" Type="http://schemas.openxmlformats.org/officeDocument/2006/relationships/hyperlink" Target="mailto:melimorenoc2119@gmail.com" TargetMode="External"/><Relationship Id="rId70" Type="http://schemas.openxmlformats.org/officeDocument/2006/relationships/hyperlink" Target="mailto:andreita_vc77@hotmail.com" TargetMode="External"/><Relationship Id="rId75" Type="http://schemas.openxmlformats.org/officeDocument/2006/relationships/hyperlink" Target="mailto:paoeliza@hotmail.com" TargetMode="External"/><Relationship Id="rId83" Type="http://schemas.openxmlformats.org/officeDocument/2006/relationships/hyperlink" Target="mailto:santiago.arias.7694@gmail.com" TargetMode="External"/><Relationship Id="rId1" Type="http://schemas.openxmlformats.org/officeDocument/2006/relationships/hyperlink" Target="mailto:eulojio77jimenes@gmail.com" TargetMode="External"/><Relationship Id="rId6" Type="http://schemas.openxmlformats.org/officeDocument/2006/relationships/hyperlink" Target="mailto:elimerch@hotmail.com" TargetMode="External"/><Relationship Id="rId15" Type="http://schemas.openxmlformats.org/officeDocument/2006/relationships/hyperlink" Target="mailto:parrilladalaherredura@gmail.com" TargetMode="External"/><Relationship Id="rId23" Type="http://schemas.openxmlformats.org/officeDocument/2006/relationships/hyperlink" Target="mailto:atila7842@gmail.com" TargetMode="External"/><Relationship Id="rId28" Type="http://schemas.openxmlformats.org/officeDocument/2006/relationships/hyperlink" Target="mailto:paulatoledo-100@hotmail.com" TargetMode="External"/><Relationship Id="rId36" Type="http://schemas.openxmlformats.org/officeDocument/2006/relationships/hyperlink" Target="mailto:fyrobalino23@gmail.com" TargetMode="External"/><Relationship Id="rId49" Type="http://schemas.openxmlformats.org/officeDocument/2006/relationships/hyperlink" Target="mailto:maryjuli22@gmail.com" TargetMode="External"/><Relationship Id="rId57" Type="http://schemas.openxmlformats.org/officeDocument/2006/relationships/hyperlink" Target="mailto:frca1961@hotmail.com" TargetMode="External"/><Relationship Id="rId10" Type="http://schemas.openxmlformats.org/officeDocument/2006/relationships/hyperlink" Target="mailto:malvarado22@hotmail.com" TargetMode="External"/><Relationship Id="rId31" Type="http://schemas.openxmlformats.org/officeDocument/2006/relationships/hyperlink" Target="mailto:remihurt@hotmail.com" TargetMode="External"/><Relationship Id="rId44" Type="http://schemas.openxmlformats.org/officeDocument/2006/relationships/hyperlink" Target="mailto:jmendietacarrera@gmail.com" TargetMode="External"/><Relationship Id="rId52" Type="http://schemas.openxmlformats.org/officeDocument/2006/relationships/hyperlink" Target="mailto:gabrielamolina45@gmail.com" TargetMode="External"/><Relationship Id="rId60" Type="http://schemas.openxmlformats.org/officeDocument/2006/relationships/hyperlink" Target="mailto:bdrllc@gmail.com" TargetMode="External"/><Relationship Id="rId65" Type="http://schemas.openxmlformats.org/officeDocument/2006/relationships/hyperlink" Target="mailto:apriscy12@gmail.com" TargetMode="External"/><Relationship Id="rId73" Type="http://schemas.openxmlformats.org/officeDocument/2006/relationships/hyperlink" Target="mailto:acarrillotorres1999@gmailcom" TargetMode="External"/><Relationship Id="rId78" Type="http://schemas.openxmlformats.org/officeDocument/2006/relationships/hyperlink" Target="mailto:paoeliza@hotmail.com" TargetMode="External"/><Relationship Id="rId81" Type="http://schemas.openxmlformats.org/officeDocument/2006/relationships/hyperlink" Target="mailto:richavez1990@gmail.com" TargetMode="External"/><Relationship Id="rId86" Type="http://schemas.openxmlformats.org/officeDocument/2006/relationships/drawing" Target="../drawings/drawing1.xml"/><Relationship Id="rId4" Type="http://schemas.openxmlformats.org/officeDocument/2006/relationships/hyperlink" Target="mailto:macaridad.lopez@gmail.com" TargetMode="External"/><Relationship Id="rId9" Type="http://schemas.openxmlformats.org/officeDocument/2006/relationships/hyperlink" Target="mailto:elimerch@hotmail.com" TargetMode="External"/><Relationship Id="rId13" Type="http://schemas.openxmlformats.org/officeDocument/2006/relationships/hyperlink" Target="mailto:dannyillescas8205@gmail.com" TargetMode="External"/><Relationship Id="rId18" Type="http://schemas.openxmlformats.org/officeDocument/2006/relationships/hyperlink" Target="mailto:leay1967@hotmail.com" TargetMode="External"/><Relationship Id="rId39" Type="http://schemas.openxmlformats.org/officeDocument/2006/relationships/hyperlink" Target="mailto:quitoangel7790@gmail.com" TargetMode="External"/><Relationship Id="rId34" Type="http://schemas.openxmlformats.org/officeDocument/2006/relationships/hyperlink" Target="mailto:katty92@gmail.com" TargetMode="External"/><Relationship Id="rId50" Type="http://schemas.openxmlformats.org/officeDocument/2006/relationships/hyperlink" Target="mailto:gabrielamolina45@gmail.com" TargetMode="External"/><Relationship Id="rId55" Type="http://schemas.openxmlformats.org/officeDocument/2006/relationships/hyperlink" Target="mailto:zumbita1000@hotmail.com" TargetMode="External"/><Relationship Id="rId76" Type="http://schemas.openxmlformats.org/officeDocument/2006/relationships/hyperlink" Target="mailto:paoeliza@hotmail.com" TargetMode="External"/><Relationship Id="rId7" Type="http://schemas.openxmlformats.org/officeDocument/2006/relationships/hyperlink" Target="mailto:elimerch@hotmail.com" TargetMode="External"/><Relationship Id="rId71" Type="http://schemas.openxmlformats.org/officeDocument/2006/relationships/hyperlink" Target="mailto:andreita_vc77@hotmail.com" TargetMode="External"/><Relationship Id="rId2" Type="http://schemas.openxmlformats.org/officeDocument/2006/relationships/hyperlink" Target="mailto:eulojio77jimenes@gmail.com" TargetMode="External"/><Relationship Id="rId29" Type="http://schemas.openxmlformats.org/officeDocument/2006/relationships/hyperlink" Target="mailto:isarivaflor5@hotmail.com" TargetMode="External"/><Relationship Id="rId24" Type="http://schemas.openxmlformats.org/officeDocument/2006/relationships/hyperlink" Target="mailto:atila7842@gmail.com" TargetMode="External"/><Relationship Id="rId40" Type="http://schemas.openxmlformats.org/officeDocument/2006/relationships/hyperlink" Target="mailto:parrilladalaherredura@gmail.com" TargetMode="External"/><Relationship Id="rId45" Type="http://schemas.openxmlformats.org/officeDocument/2006/relationships/hyperlink" Target="mailto:jmendietacarrera@gmail.com" TargetMode="External"/><Relationship Id="rId66" Type="http://schemas.openxmlformats.org/officeDocument/2006/relationships/hyperlink" Target="mailto:apriscy12@gmail.com" TargetMode="External"/><Relationship Id="rId61" Type="http://schemas.openxmlformats.org/officeDocument/2006/relationships/hyperlink" Target="mailto:melimorenoc2119@gmail.com" TargetMode="External"/><Relationship Id="rId82" Type="http://schemas.openxmlformats.org/officeDocument/2006/relationships/hyperlink" Target="mailto:santiago.arias.7694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santiago2217@icloud.com" TargetMode="External"/><Relationship Id="rId7" Type="http://schemas.openxmlformats.org/officeDocument/2006/relationships/hyperlink" Target="mailto:dra.silvanagavilanes@hotmail.com" TargetMode="External"/><Relationship Id="rId2" Type="http://schemas.openxmlformats.org/officeDocument/2006/relationships/hyperlink" Target="mailto:joseastu@etapanet.net" TargetMode="External"/><Relationship Id="rId1" Type="http://schemas.openxmlformats.org/officeDocument/2006/relationships/hyperlink" Target="mailto:franktapia13@hotmail.com" TargetMode="External"/><Relationship Id="rId6" Type="http://schemas.openxmlformats.org/officeDocument/2006/relationships/hyperlink" Target="mailto:ciaminex@hotmail.com" TargetMode="External"/><Relationship Id="rId5" Type="http://schemas.openxmlformats.org/officeDocument/2006/relationships/hyperlink" Target="mailto:joseastu@etapanet.net" TargetMode="External"/><Relationship Id="rId4" Type="http://schemas.openxmlformats.org/officeDocument/2006/relationships/hyperlink" Target="mailto:cesarpalaciosr@hotmail.com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yrobalino23@gmail.com" TargetMode="External"/><Relationship Id="rId2" Type="http://schemas.openxmlformats.org/officeDocument/2006/relationships/hyperlink" Target="mailto:freddyn@kywi.com.ec" TargetMode="External"/><Relationship Id="rId1" Type="http://schemas.openxmlformats.org/officeDocument/2006/relationships/hyperlink" Target="mailto:freddyn@kywi.com.ec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mailto:adriana_monroy@aol.com" TargetMode="External"/><Relationship Id="rId4" Type="http://schemas.openxmlformats.org/officeDocument/2006/relationships/hyperlink" Target="mailto:jjotaquilara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veritoalv86@gmail.com" TargetMode="External"/><Relationship Id="rId13" Type="http://schemas.openxmlformats.org/officeDocument/2006/relationships/hyperlink" Target="mailto:reafraf@gmail.com" TargetMode="External"/><Relationship Id="rId18" Type="http://schemas.openxmlformats.org/officeDocument/2006/relationships/hyperlink" Target="mailto:sanfasarr26@yahoo.com.av" TargetMode="External"/><Relationship Id="rId26" Type="http://schemas.openxmlformats.org/officeDocument/2006/relationships/hyperlink" Target="mailto:dra.silvnagavilanes@hotmail.com" TargetMode="External"/><Relationship Id="rId3" Type="http://schemas.openxmlformats.org/officeDocument/2006/relationships/hyperlink" Target="mailto:racine.carlos@gmail.com" TargetMode="External"/><Relationship Id="rId21" Type="http://schemas.openxmlformats.org/officeDocument/2006/relationships/hyperlink" Target="mailto:alffaelec@gmail.com" TargetMode="External"/><Relationship Id="rId7" Type="http://schemas.openxmlformats.org/officeDocument/2006/relationships/hyperlink" Target="mailto:clarapalacios58@hotmail.com" TargetMode="External"/><Relationship Id="rId12" Type="http://schemas.openxmlformats.org/officeDocument/2006/relationships/hyperlink" Target="mailto:tanias60@yahoo.com" TargetMode="External"/><Relationship Id="rId17" Type="http://schemas.openxmlformats.org/officeDocument/2006/relationships/hyperlink" Target="mailto:kattyterreros@hotmail.com" TargetMode="External"/><Relationship Id="rId25" Type="http://schemas.openxmlformats.org/officeDocument/2006/relationships/hyperlink" Target="mailto:aaurgilesneira@hotmail.com" TargetMode="External"/><Relationship Id="rId2" Type="http://schemas.openxmlformats.org/officeDocument/2006/relationships/hyperlink" Target="mailto:kennyaristizabal64@gmail.com" TargetMode="External"/><Relationship Id="rId16" Type="http://schemas.openxmlformats.org/officeDocument/2006/relationships/hyperlink" Target="mailto:wily19721016@gmail.com" TargetMode="External"/><Relationship Id="rId20" Type="http://schemas.openxmlformats.org/officeDocument/2006/relationships/hyperlink" Target="mailto:dannasuconota@gmail.com" TargetMode="External"/><Relationship Id="rId29" Type="http://schemas.openxmlformats.org/officeDocument/2006/relationships/hyperlink" Target="mailto:catinanovaalfajore@hotmail.com" TargetMode="External"/><Relationship Id="rId1" Type="http://schemas.openxmlformats.org/officeDocument/2006/relationships/hyperlink" Target="mailto:valeria_loaiza@hotmail.com" TargetMode="External"/><Relationship Id="rId6" Type="http://schemas.openxmlformats.org/officeDocument/2006/relationships/hyperlink" Target="mailto:hugo333@msn.com" TargetMode="External"/><Relationship Id="rId11" Type="http://schemas.openxmlformats.org/officeDocument/2006/relationships/hyperlink" Target="mailto:bmarlene1975@gmail.com" TargetMode="External"/><Relationship Id="rId24" Type="http://schemas.openxmlformats.org/officeDocument/2006/relationships/hyperlink" Target="mailto:xcoellar@gmail.com" TargetMode="External"/><Relationship Id="rId5" Type="http://schemas.openxmlformats.org/officeDocument/2006/relationships/hyperlink" Target="mailto:bravocristina113@gmail.com" TargetMode="External"/><Relationship Id="rId15" Type="http://schemas.openxmlformats.org/officeDocument/2006/relationships/hyperlink" Target="mailto:dcrespo@hormipisos.com" TargetMode="External"/><Relationship Id="rId23" Type="http://schemas.openxmlformats.org/officeDocument/2006/relationships/hyperlink" Target="mailto:n_coronel76@hotmail.com" TargetMode="External"/><Relationship Id="rId28" Type="http://schemas.openxmlformats.org/officeDocument/2006/relationships/hyperlink" Target="mailto:jadomm@hotmail.com" TargetMode="External"/><Relationship Id="rId10" Type="http://schemas.openxmlformats.org/officeDocument/2006/relationships/hyperlink" Target="mailto:dianadearmijos@gmail.com" TargetMode="External"/><Relationship Id="rId19" Type="http://schemas.openxmlformats.org/officeDocument/2006/relationships/hyperlink" Target="mailto:pcarrion@vazvay.edu.ec" TargetMode="External"/><Relationship Id="rId4" Type="http://schemas.openxmlformats.org/officeDocument/2006/relationships/hyperlink" Target="mailto:scarvallo89@gmail.com" TargetMode="External"/><Relationship Id="rId9" Type="http://schemas.openxmlformats.org/officeDocument/2006/relationships/hyperlink" Target="mailto:mayralemag@hotmail.com" TargetMode="External"/><Relationship Id="rId14" Type="http://schemas.openxmlformats.org/officeDocument/2006/relationships/hyperlink" Target="mailto:anacristinadelgado92@gmail.com" TargetMode="External"/><Relationship Id="rId22" Type="http://schemas.openxmlformats.org/officeDocument/2006/relationships/hyperlink" Target="mailto:michellecarrion95@hotmail.com" TargetMode="External"/><Relationship Id="rId27" Type="http://schemas.openxmlformats.org/officeDocument/2006/relationships/hyperlink" Target="mailto:tatalarc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120"/>
  <sheetViews>
    <sheetView tabSelected="1" topLeftCell="A86" zoomScale="161" zoomScaleNormal="161" workbookViewId="0">
      <selection activeCell="L68" sqref="L68:L69"/>
    </sheetView>
  </sheetViews>
  <sheetFormatPr baseColWidth="10" defaultRowHeight="15"/>
  <cols>
    <col min="1" max="2" width="11.6640625" bestFit="1" customWidth="1"/>
    <col min="4" max="4" width="11.6640625" bestFit="1" customWidth="1"/>
    <col min="5" max="5" width="18" customWidth="1"/>
    <col min="6" max="6" width="26.6640625" customWidth="1"/>
    <col min="7" max="7" width="11.16406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1640625" bestFit="1" customWidth="1"/>
    <col min="20" max="20" width="16.6640625" customWidth="1"/>
  </cols>
  <sheetData>
    <row r="3" spans="1:22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2" ht="16">
      <c r="A4" s="1"/>
      <c r="C4" s="10" t="s">
        <v>1</v>
      </c>
      <c r="E4" s="5"/>
      <c r="F4" t="s">
        <v>152</v>
      </c>
      <c r="G4" s="11"/>
      <c r="H4" s="12"/>
      <c r="I4" s="13"/>
      <c r="J4" s="14" t="s">
        <v>23</v>
      </c>
      <c r="K4" s="12"/>
      <c r="L4" s="15"/>
      <c r="M4" s="16"/>
      <c r="N4" s="5" t="s">
        <v>132</v>
      </c>
      <c r="O4" s="9"/>
      <c r="P4" s="17"/>
    </row>
    <row r="5" spans="1:22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2" s="224" customFormat="1" ht="33" customHeight="1">
      <c r="A6" s="211">
        <v>1</v>
      </c>
      <c r="B6" s="212">
        <v>45349</v>
      </c>
      <c r="C6" s="213" t="s">
        <v>112</v>
      </c>
      <c r="D6" s="213" t="s">
        <v>186</v>
      </c>
      <c r="E6" s="214">
        <v>113430018</v>
      </c>
      <c r="F6" s="213" t="s">
        <v>100</v>
      </c>
      <c r="G6" s="215" t="s">
        <v>134</v>
      </c>
      <c r="H6" s="216" t="s">
        <v>42</v>
      </c>
      <c r="I6" s="213" t="s">
        <v>77</v>
      </c>
      <c r="J6" s="215" t="s">
        <v>78</v>
      </c>
      <c r="K6" s="217">
        <v>45463</v>
      </c>
      <c r="L6" s="218" t="s">
        <v>135</v>
      </c>
      <c r="M6" s="218" t="s">
        <v>136</v>
      </c>
      <c r="N6" s="215">
        <v>999490552</v>
      </c>
      <c r="O6" s="219">
        <v>20</v>
      </c>
      <c r="P6" s="213" t="s">
        <v>22</v>
      </c>
      <c r="Q6" s="213" t="s">
        <v>77</v>
      </c>
      <c r="R6" s="220"/>
      <c r="S6" s="213" t="s">
        <v>186</v>
      </c>
      <c r="T6" s="221">
        <v>100927961</v>
      </c>
      <c r="U6" s="225" t="s">
        <v>137</v>
      </c>
      <c r="V6" s="227"/>
    </row>
    <row r="7" spans="1:22" s="224" customFormat="1" ht="33" customHeight="1">
      <c r="A7" s="211">
        <v>2</v>
      </c>
      <c r="B7" s="212">
        <v>45349</v>
      </c>
      <c r="C7" s="213" t="s">
        <v>79</v>
      </c>
      <c r="D7" s="213" t="s">
        <v>133</v>
      </c>
      <c r="E7" s="214">
        <v>111910000</v>
      </c>
      <c r="F7" s="213" t="s">
        <v>139</v>
      </c>
      <c r="G7" s="215" t="s">
        <v>134</v>
      </c>
      <c r="H7" s="216" t="s">
        <v>42</v>
      </c>
      <c r="I7" s="213" t="s">
        <v>77</v>
      </c>
      <c r="J7" s="215" t="s">
        <v>78</v>
      </c>
      <c r="K7" s="217">
        <v>45463</v>
      </c>
      <c r="L7" s="218" t="s">
        <v>135</v>
      </c>
      <c r="M7" s="218" t="s">
        <v>136</v>
      </c>
      <c r="N7" s="215">
        <v>999490552</v>
      </c>
      <c r="O7" s="219">
        <v>20</v>
      </c>
      <c r="P7" s="213" t="s">
        <v>22</v>
      </c>
      <c r="Q7" s="213" t="s">
        <v>77</v>
      </c>
      <c r="R7" s="220"/>
      <c r="S7" s="213" t="s">
        <v>133</v>
      </c>
      <c r="T7" s="221">
        <v>100927961</v>
      </c>
      <c r="U7" s="225" t="s">
        <v>137</v>
      </c>
      <c r="V7" s="223"/>
    </row>
    <row r="8" spans="1:22" s="224" customFormat="1" ht="33" customHeight="1">
      <c r="A8" s="211">
        <v>3</v>
      </c>
      <c r="B8" s="212">
        <v>45360</v>
      </c>
      <c r="C8" s="213" t="s">
        <v>94</v>
      </c>
      <c r="D8" s="213" t="s">
        <v>138</v>
      </c>
      <c r="E8" s="214">
        <v>112580027</v>
      </c>
      <c r="F8" s="213" t="s">
        <v>87</v>
      </c>
      <c r="G8" s="215" t="s">
        <v>140</v>
      </c>
      <c r="H8" s="216" t="s">
        <v>42</v>
      </c>
      <c r="I8" s="213" t="s">
        <v>77</v>
      </c>
      <c r="J8" s="215" t="s">
        <v>78</v>
      </c>
      <c r="K8" s="217">
        <v>45463</v>
      </c>
      <c r="L8" s="218" t="s">
        <v>141</v>
      </c>
      <c r="M8" s="218" t="s">
        <v>142</v>
      </c>
      <c r="N8" s="215">
        <v>992564877</v>
      </c>
      <c r="O8" s="219">
        <v>15</v>
      </c>
      <c r="P8" s="213" t="s">
        <v>22</v>
      </c>
      <c r="Q8" s="213" t="s">
        <v>77</v>
      </c>
      <c r="R8" s="220"/>
      <c r="S8" s="213" t="s">
        <v>138</v>
      </c>
      <c r="T8" s="221">
        <v>301744561</v>
      </c>
      <c r="U8" s="225" t="s">
        <v>143</v>
      </c>
      <c r="V8" s="223"/>
    </row>
    <row r="9" spans="1:22" s="224" customFormat="1" ht="33" customHeight="1">
      <c r="A9" s="211">
        <v>4</v>
      </c>
      <c r="B9" s="212">
        <v>45360</v>
      </c>
      <c r="C9" s="213" t="s">
        <v>94</v>
      </c>
      <c r="D9" s="213" t="s">
        <v>138</v>
      </c>
      <c r="E9" s="214">
        <v>111040006</v>
      </c>
      <c r="F9" s="213" t="s">
        <v>144</v>
      </c>
      <c r="G9" s="215" t="s">
        <v>145</v>
      </c>
      <c r="H9" s="216" t="s">
        <v>42</v>
      </c>
      <c r="I9" s="213" t="s">
        <v>77</v>
      </c>
      <c r="J9" s="215" t="s">
        <v>78</v>
      </c>
      <c r="K9" s="217">
        <v>45463</v>
      </c>
      <c r="L9" s="218" t="s">
        <v>141</v>
      </c>
      <c r="M9" s="218" t="s">
        <v>142</v>
      </c>
      <c r="N9" s="215">
        <v>992564877</v>
      </c>
      <c r="O9" s="219">
        <v>15</v>
      </c>
      <c r="P9" s="213" t="s">
        <v>22</v>
      </c>
      <c r="Q9" s="213" t="s">
        <v>77</v>
      </c>
      <c r="R9" s="220"/>
      <c r="S9" s="213" t="s">
        <v>138</v>
      </c>
      <c r="T9" s="221">
        <v>301744561</v>
      </c>
      <c r="U9" s="225" t="s">
        <v>143</v>
      </c>
      <c r="V9" s="223"/>
    </row>
    <row r="10" spans="1:22" s="224" customFormat="1" ht="33" customHeight="1">
      <c r="A10" s="211">
        <v>5</v>
      </c>
      <c r="B10" s="212">
        <v>45360</v>
      </c>
      <c r="C10" s="213" t="s">
        <v>94</v>
      </c>
      <c r="D10" s="213" t="s">
        <v>138</v>
      </c>
      <c r="E10" s="214">
        <v>40467305</v>
      </c>
      <c r="F10" s="213" t="s">
        <v>122</v>
      </c>
      <c r="G10" s="215" t="s">
        <v>146</v>
      </c>
      <c r="H10" s="216" t="s">
        <v>42</v>
      </c>
      <c r="I10" s="213" t="s">
        <v>77</v>
      </c>
      <c r="J10" s="215" t="s">
        <v>78</v>
      </c>
      <c r="K10" s="217">
        <v>45463</v>
      </c>
      <c r="L10" s="218" t="s">
        <v>141</v>
      </c>
      <c r="M10" s="218" t="s">
        <v>142</v>
      </c>
      <c r="N10" s="215">
        <v>992564877</v>
      </c>
      <c r="O10" s="219">
        <v>15</v>
      </c>
      <c r="P10" s="213" t="s">
        <v>22</v>
      </c>
      <c r="Q10" s="213" t="s">
        <v>77</v>
      </c>
      <c r="R10" s="220"/>
      <c r="S10" s="213" t="s">
        <v>138</v>
      </c>
      <c r="T10" s="221">
        <v>301744561</v>
      </c>
      <c r="U10" s="225" t="s">
        <v>143</v>
      </c>
      <c r="V10" s="223"/>
    </row>
    <row r="11" spans="1:22" s="224" customFormat="1" ht="33" customHeight="1">
      <c r="A11" s="211">
        <v>6</v>
      </c>
      <c r="B11" s="212">
        <v>45148</v>
      </c>
      <c r="C11" s="213" t="s">
        <v>79</v>
      </c>
      <c r="D11" s="213" t="s">
        <v>147</v>
      </c>
      <c r="E11" s="214">
        <v>112570126</v>
      </c>
      <c r="F11" s="213" t="s">
        <v>80</v>
      </c>
      <c r="G11" s="215" t="s">
        <v>148</v>
      </c>
      <c r="H11" s="216" t="s">
        <v>42</v>
      </c>
      <c r="I11" s="213" t="s">
        <v>77</v>
      </c>
      <c r="J11" s="215" t="s">
        <v>78</v>
      </c>
      <c r="K11" s="217">
        <v>45464</v>
      </c>
      <c r="L11" s="218" t="s">
        <v>149</v>
      </c>
      <c r="M11" s="218" t="s">
        <v>150</v>
      </c>
      <c r="N11" s="215">
        <v>987165813</v>
      </c>
      <c r="O11" s="219">
        <v>15</v>
      </c>
      <c r="P11" s="213" t="s">
        <v>22</v>
      </c>
      <c r="Q11" s="213" t="s">
        <v>77</v>
      </c>
      <c r="R11" s="220"/>
      <c r="S11" s="213" t="s">
        <v>147</v>
      </c>
      <c r="T11" s="221">
        <v>105472609</v>
      </c>
      <c r="U11" s="225" t="s">
        <v>151</v>
      </c>
      <c r="V11" s="223"/>
    </row>
    <row r="12" spans="1:22" s="224" customFormat="1" ht="33" customHeight="1">
      <c r="A12" s="211">
        <v>7</v>
      </c>
      <c r="B12" s="212">
        <v>45148</v>
      </c>
      <c r="C12" s="213" t="s">
        <v>79</v>
      </c>
      <c r="D12" s="213" t="s">
        <v>147</v>
      </c>
      <c r="E12" s="214">
        <v>112030009</v>
      </c>
      <c r="F12" s="213" t="s">
        <v>153</v>
      </c>
      <c r="G12" s="215" t="s">
        <v>158</v>
      </c>
      <c r="H12" s="216" t="s">
        <v>42</v>
      </c>
      <c r="I12" s="213" t="s">
        <v>77</v>
      </c>
      <c r="J12" s="215" t="s">
        <v>78</v>
      </c>
      <c r="K12" s="217">
        <v>45464</v>
      </c>
      <c r="L12" s="218" t="s">
        <v>149</v>
      </c>
      <c r="M12" s="218" t="s">
        <v>150</v>
      </c>
      <c r="N12" s="215">
        <v>987165813</v>
      </c>
      <c r="O12" s="219">
        <v>15</v>
      </c>
      <c r="P12" s="213" t="s">
        <v>22</v>
      </c>
      <c r="Q12" s="213" t="s">
        <v>77</v>
      </c>
      <c r="R12" s="220"/>
      <c r="S12" s="213" t="s">
        <v>147</v>
      </c>
      <c r="T12" s="221">
        <v>105472609</v>
      </c>
      <c r="U12" s="225" t="s">
        <v>151</v>
      </c>
      <c r="V12" s="223"/>
    </row>
    <row r="13" spans="1:22" s="224" customFormat="1" ht="33" customHeight="1">
      <c r="A13" s="211">
        <v>8</v>
      </c>
      <c r="B13" s="212">
        <v>45148</v>
      </c>
      <c r="C13" s="213" t="s">
        <v>79</v>
      </c>
      <c r="D13" s="213" t="s">
        <v>147</v>
      </c>
      <c r="E13" s="214">
        <v>111000059</v>
      </c>
      <c r="F13" s="213" t="s">
        <v>154</v>
      </c>
      <c r="G13" s="215" t="s">
        <v>157</v>
      </c>
      <c r="H13" s="216" t="s">
        <v>42</v>
      </c>
      <c r="I13" s="213" t="s">
        <v>77</v>
      </c>
      <c r="J13" s="215" t="s">
        <v>78</v>
      </c>
      <c r="K13" s="217">
        <v>45464</v>
      </c>
      <c r="L13" s="218" t="s">
        <v>149</v>
      </c>
      <c r="M13" s="218" t="s">
        <v>150</v>
      </c>
      <c r="N13" s="215">
        <v>987165813</v>
      </c>
      <c r="O13" s="219">
        <v>15</v>
      </c>
      <c r="P13" s="213" t="s">
        <v>22</v>
      </c>
      <c r="Q13" s="213" t="s">
        <v>77</v>
      </c>
      <c r="R13" s="220"/>
      <c r="S13" s="213" t="s">
        <v>147</v>
      </c>
      <c r="T13" s="221">
        <v>105472609</v>
      </c>
      <c r="U13" s="225" t="s">
        <v>151</v>
      </c>
      <c r="V13" s="223"/>
    </row>
    <row r="14" spans="1:22" s="224" customFormat="1" ht="33" customHeight="1">
      <c r="A14" s="211">
        <v>9</v>
      </c>
      <c r="B14" s="212">
        <v>45148</v>
      </c>
      <c r="C14" s="213" t="s">
        <v>79</v>
      </c>
      <c r="D14" s="213" t="s">
        <v>147</v>
      </c>
      <c r="E14" s="214">
        <v>40483182</v>
      </c>
      <c r="F14" s="213" t="s">
        <v>155</v>
      </c>
      <c r="G14" s="215" t="s">
        <v>156</v>
      </c>
      <c r="H14" s="216" t="s">
        <v>42</v>
      </c>
      <c r="I14" s="213" t="s">
        <v>77</v>
      </c>
      <c r="J14" s="215" t="s">
        <v>78</v>
      </c>
      <c r="K14" s="217">
        <v>45464</v>
      </c>
      <c r="L14" s="218" t="s">
        <v>149</v>
      </c>
      <c r="M14" s="218" t="s">
        <v>150</v>
      </c>
      <c r="N14" s="215">
        <v>987165813</v>
      </c>
      <c r="O14" s="219">
        <v>30</v>
      </c>
      <c r="P14" s="213" t="s">
        <v>22</v>
      </c>
      <c r="Q14" s="213" t="s">
        <v>77</v>
      </c>
      <c r="R14" s="220"/>
      <c r="S14" s="213" t="s">
        <v>147</v>
      </c>
      <c r="T14" s="221">
        <v>105472609</v>
      </c>
      <c r="U14" s="225" t="s">
        <v>151</v>
      </c>
      <c r="V14" s="223"/>
    </row>
    <row r="15" spans="1:22" s="224" customFormat="1" ht="33" customHeight="1">
      <c r="A15" s="211">
        <v>10</v>
      </c>
      <c r="B15" s="212">
        <v>45342</v>
      </c>
      <c r="C15" s="213" t="s">
        <v>93</v>
      </c>
      <c r="D15" s="213" t="s">
        <v>159</v>
      </c>
      <c r="E15" s="214">
        <v>112570211</v>
      </c>
      <c r="F15" s="213" t="s">
        <v>110</v>
      </c>
      <c r="G15" s="215" t="s">
        <v>160</v>
      </c>
      <c r="H15" s="216">
        <v>417221</v>
      </c>
      <c r="I15" s="213" t="s">
        <v>77</v>
      </c>
      <c r="J15" s="215" t="s">
        <v>78</v>
      </c>
      <c r="K15" s="217">
        <v>45464</v>
      </c>
      <c r="L15" s="218" t="s">
        <v>161</v>
      </c>
      <c r="M15" s="218" t="s">
        <v>162</v>
      </c>
      <c r="N15" s="215">
        <v>992203634</v>
      </c>
      <c r="O15" s="219">
        <v>20</v>
      </c>
      <c r="P15" s="213" t="s">
        <v>22</v>
      </c>
      <c r="Q15" s="213" t="s">
        <v>77</v>
      </c>
      <c r="R15" s="220"/>
      <c r="S15" s="213" t="s">
        <v>159</v>
      </c>
      <c r="T15" s="221">
        <v>103093084</v>
      </c>
      <c r="U15" s="225" t="s">
        <v>163</v>
      </c>
      <c r="V15" s="223"/>
    </row>
    <row r="16" spans="1:22" s="224" customFormat="1" ht="33" customHeight="1">
      <c r="A16" s="211">
        <v>11</v>
      </c>
      <c r="B16" s="212">
        <v>45342</v>
      </c>
      <c r="C16" s="213" t="s">
        <v>93</v>
      </c>
      <c r="D16" s="213" t="s">
        <v>159</v>
      </c>
      <c r="E16" s="214">
        <v>111000051</v>
      </c>
      <c r="F16" s="213" t="s">
        <v>99</v>
      </c>
      <c r="G16" s="215" t="s">
        <v>164</v>
      </c>
      <c r="H16" s="216">
        <v>419383</v>
      </c>
      <c r="I16" s="213" t="s">
        <v>77</v>
      </c>
      <c r="J16" s="215" t="s">
        <v>78</v>
      </c>
      <c r="K16" s="217">
        <v>45464</v>
      </c>
      <c r="L16" s="218" t="s">
        <v>161</v>
      </c>
      <c r="M16" s="218" t="s">
        <v>162</v>
      </c>
      <c r="N16" s="215">
        <v>992203634</v>
      </c>
      <c r="O16" s="219">
        <v>20</v>
      </c>
      <c r="P16" s="213" t="s">
        <v>22</v>
      </c>
      <c r="Q16" s="213" t="s">
        <v>77</v>
      </c>
      <c r="R16" s="220"/>
      <c r="S16" s="213" t="s">
        <v>159</v>
      </c>
      <c r="T16" s="221">
        <v>103093084</v>
      </c>
      <c r="U16" s="225" t="s">
        <v>163</v>
      </c>
      <c r="V16" s="223"/>
    </row>
    <row r="17" spans="1:22" s="224" customFormat="1" ht="33" customHeight="1">
      <c r="A17" s="211">
        <v>12</v>
      </c>
      <c r="B17" s="212">
        <v>45458</v>
      </c>
      <c r="C17" s="213" t="s">
        <v>94</v>
      </c>
      <c r="D17" s="213" t="s">
        <v>165</v>
      </c>
      <c r="E17" s="214">
        <v>112570126</v>
      </c>
      <c r="F17" s="213" t="s">
        <v>80</v>
      </c>
      <c r="G17" s="215" t="s">
        <v>166</v>
      </c>
      <c r="H17" s="216" t="s">
        <v>42</v>
      </c>
      <c r="I17" s="213" t="s">
        <v>77</v>
      </c>
      <c r="J17" s="215" t="s">
        <v>78</v>
      </c>
      <c r="K17" s="217">
        <v>45467</v>
      </c>
      <c r="L17" s="218" t="s">
        <v>167</v>
      </c>
      <c r="M17" s="218" t="s">
        <v>168</v>
      </c>
      <c r="N17" s="215">
        <v>986927831</v>
      </c>
      <c r="O17" s="219">
        <v>20</v>
      </c>
      <c r="P17" s="213" t="s">
        <v>22</v>
      </c>
      <c r="Q17" s="213" t="s">
        <v>77</v>
      </c>
      <c r="R17" s="220"/>
      <c r="S17" s="213" t="s">
        <v>165</v>
      </c>
      <c r="T17" s="221">
        <v>103743571</v>
      </c>
      <c r="U17" s="225" t="s">
        <v>169</v>
      </c>
      <c r="V17" s="223"/>
    </row>
    <row r="18" spans="1:22" s="224" customFormat="1" ht="33" customHeight="1">
      <c r="A18" s="211">
        <v>13</v>
      </c>
      <c r="B18" s="212">
        <v>45458</v>
      </c>
      <c r="C18" s="213" t="s">
        <v>94</v>
      </c>
      <c r="D18" s="213" t="s">
        <v>165</v>
      </c>
      <c r="E18" s="214">
        <v>41560151</v>
      </c>
      <c r="F18" s="213" t="s">
        <v>170</v>
      </c>
      <c r="G18" s="215" t="s">
        <v>166</v>
      </c>
      <c r="H18" s="216" t="s">
        <v>42</v>
      </c>
      <c r="I18" s="213" t="s">
        <v>77</v>
      </c>
      <c r="J18" s="215" t="s">
        <v>78</v>
      </c>
      <c r="K18" s="217">
        <v>45467</v>
      </c>
      <c r="L18" s="218" t="s">
        <v>167</v>
      </c>
      <c r="M18" s="218" t="s">
        <v>168</v>
      </c>
      <c r="N18" s="215">
        <v>986927831</v>
      </c>
      <c r="O18" s="219">
        <v>20</v>
      </c>
      <c r="P18" s="213" t="s">
        <v>22</v>
      </c>
      <c r="Q18" s="213" t="s">
        <v>77</v>
      </c>
      <c r="R18" s="220"/>
      <c r="S18" s="213" t="s">
        <v>165</v>
      </c>
      <c r="T18" s="221">
        <v>103743571</v>
      </c>
      <c r="U18" s="225" t="s">
        <v>169</v>
      </c>
      <c r="V18" s="223"/>
    </row>
    <row r="19" spans="1:22" s="224" customFormat="1" ht="33" customHeight="1">
      <c r="A19" s="211">
        <v>14</v>
      </c>
      <c r="B19" s="212">
        <v>45443</v>
      </c>
      <c r="C19" s="213" t="s">
        <v>79</v>
      </c>
      <c r="D19" s="213" t="s">
        <v>171</v>
      </c>
      <c r="E19" s="214">
        <v>112570093</v>
      </c>
      <c r="F19" s="213" t="s">
        <v>98</v>
      </c>
      <c r="G19" s="215" t="s">
        <v>172</v>
      </c>
      <c r="H19" s="216">
        <v>412902</v>
      </c>
      <c r="I19" s="213" t="s">
        <v>77</v>
      </c>
      <c r="J19" s="215" t="s">
        <v>78</v>
      </c>
      <c r="K19" s="217">
        <v>45468</v>
      </c>
      <c r="L19" s="218" t="s">
        <v>175</v>
      </c>
      <c r="M19" s="218" t="s">
        <v>176</v>
      </c>
      <c r="N19" s="215">
        <v>999500222</v>
      </c>
      <c r="O19" s="219">
        <v>15</v>
      </c>
      <c r="P19" s="213" t="s">
        <v>22</v>
      </c>
      <c r="Q19" s="213" t="s">
        <v>77</v>
      </c>
      <c r="R19" s="220"/>
      <c r="S19" s="213" t="s">
        <v>171</v>
      </c>
      <c r="T19" s="221">
        <v>190487997</v>
      </c>
      <c r="U19" s="225" t="s">
        <v>177</v>
      </c>
      <c r="V19" s="223"/>
    </row>
    <row r="20" spans="1:22" s="224" customFormat="1" ht="33" customHeight="1">
      <c r="A20" s="211">
        <v>15</v>
      </c>
      <c r="B20" s="212">
        <v>45443</v>
      </c>
      <c r="C20" s="213" t="s">
        <v>79</v>
      </c>
      <c r="D20" s="213" t="s">
        <v>171</v>
      </c>
      <c r="E20" s="214">
        <v>111000051</v>
      </c>
      <c r="F20" s="213" t="s">
        <v>99</v>
      </c>
      <c r="G20" s="215" t="s">
        <v>173</v>
      </c>
      <c r="H20" s="216" t="s">
        <v>42</v>
      </c>
      <c r="I20" s="213" t="s">
        <v>77</v>
      </c>
      <c r="J20" s="215" t="s">
        <v>78</v>
      </c>
      <c r="K20" s="217">
        <v>45468</v>
      </c>
      <c r="L20" s="218" t="s">
        <v>175</v>
      </c>
      <c r="M20" s="218" t="s">
        <v>176</v>
      </c>
      <c r="N20" s="215">
        <v>999500222</v>
      </c>
      <c r="O20" s="219">
        <v>15</v>
      </c>
      <c r="P20" s="213" t="s">
        <v>22</v>
      </c>
      <c r="Q20" s="213" t="s">
        <v>77</v>
      </c>
      <c r="R20" s="220"/>
      <c r="S20" s="213" t="s">
        <v>171</v>
      </c>
      <c r="T20" s="221">
        <v>190487997</v>
      </c>
      <c r="U20" s="225" t="s">
        <v>177</v>
      </c>
      <c r="V20" s="223"/>
    </row>
    <row r="21" spans="1:22" s="224" customFormat="1" ht="33" customHeight="1">
      <c r="A21" s="211">
        <v>16</v>
      </c>
      <c r="B21" s="212">
        <v>45443</v>
      </c>
      <c r="C21" s="213" t="s">
        <v>79</v>
      </c>
      <c r="D21" s="213" t="s">
        <v>171</v>
      </c>
      <c r="E21" s="214">
        <v>40584305</v>
      </c>
      <c r="F21" s="213" t="s">
        <v>95</v>
      </c>
      <c r="G21" s="215" t="s">
        <v>174</v>
      </c>
      <c r="H21" s="216" t="s">
        <v>42</v>
      </c>
      <c r="I21" s="213" t="s">
        <v>77</v>
      </c>
      <c r="J21" s="215" t="s">
        <v>78</v>
      </c>
      <c r="K21" s="217">
        <v>45468</v>
      </c>
      <c r="L21" s="218" t="s">
        <v>175</v>
      </c>
      <c r="M21" s="218" t="s">
        <v>176</v>
      </c>
      <c r="N21" s="215">
        <v>999500222</v>
      </c>
      <c r="O21" s="219">
        <v>15</v>
      </c>
      <c r="P21" s="213" t="s">
        <v>22</v>
      </c>
      <c r="Q21" s="213" t="s">
        <v>77</v>
      </c>
      <c r="R21" s="220"/>
      <c r="S21" s="213" t="s">
        <v>171</v>
      </c>
      <c r="T21" s="221">
        <v>190487997</v>
      </c>
      <c r="U21" s="225" t="s">
        <v>177</v>
      </c>
      <c r="V21" s="223"/>
    </row>
    <row r="22" spans="1:22" s="224" customFormat="1" ht="33" customHeight="1">
      <c r="A22" s="211">
        <v>17</v>
      </c>
      <c r="B22" s="212">
        <v>45478</v>
      </c>
      <c r="C22" s="213" t="s">
        <v>79</v>
      </c>
      <c r="D22" s="213" t="s">
        <v>298</v>
      </c>
      <c r="E22" s="214">
        <v>40487192</v>
      </c>
      <c r="F22" s="213" t="s">
        <v>296</v>
      </c>
      <c r="G22" s="215" t="s">
        <v>297</v>
      </c>
      <c r="H22" s="216" t="s">
        <v>42</v>
      </c>
      <c r="I22" s="213" t="s">
        <v>77</v>
      </c>
      <c r="J22" s="215" t="s">
        <v>78</v>
      </c>
      <c r="K22" s="217">
        <v>45468</v>
      </c>
      <c r="L22" s="218" t="s">
        <v>175</v>
      </c>
      <c r="M22" s="218" t="s">
        <v>176</v>
      </c>
      <c r="N22" s="215">
        <v>999500222</v>
      </c>
      <c r="O22" s="219">
        <v>15</v>
      </c>
      <c r="P22" s="213" t="s">
        <v>22</v>
      </c>
      <c r="Q22" s="213" t="s">
        <v>77</v>
      </c>
      <c r="R22" s="220"/>
      <c r="S22" s="213" t="s">
        <v>171</v>
      </c>
      <c r="T22" s="221">
        <v>190487997</v>
      </c>
      <c r="U22" s="225" t="s">
        <v>177</v>
      </c>
      <c r="V22" s="223"/>
    </row>
    <row r="23" spans="1:22" s="224" customFormat="1" ht="33" customHeight="1">
      <c r="A23" s="211">
        <v>18</v>
      </c>
      <c r="B23" s="212">
        <v>45382</v>
      </c>
      <c r="C23" s="213" t="s">
        <v>94</v>
      </c>
      <c r="D23" s="213" t="s">
        <v>178</v>
      </c>
      <c r="E23" s="214">
        <v>112570068</v>
      </c>
      <c r="F23" s="213" t="s">
        <v>179</v>
      </c>
      <c r="G23" s="215" t="s">
        <v>181</v>
      </c>
      <c r="H23" s="216">
        <v>419976</v>
      </c>
      <c r="I23" s="213" t="s">
        <v>77</v>
      </c>
      <c r="J23" s="215" t="s">
        <v>78</v>
      </c>
      <c r="K23" s="217">
        <v>45468</v>
      </c>
      <c r="L23" s="218" t="s">
        <v>183</v>
      </c>
      <c r="M23" s="218" t="s">
        <v>184</v>
      </c>
      <c r="N23" s="215">
        <v>989767358</v>
      </c>
      <c r="O23" s="219">
        <v>20</v>
      </c>
      <c r="P23" s="213" t="s">
        <v>22</v>
      </c>
      <c r="Q23" s="213" t="s">
        <v>77</v>
      </c>
      <c r="R23" s="220"/>
      <c r="S23" s="213" t="s">
        <v>178</v>
      </c>
      <c r="T23" s="221">
        <v>300218435</v>
      </c>
      <c r="U23" s="225" t="s">
        <v>185</v>
      </c>
      <c r="V23" s="223"/>
    </row>
    <row r="24" spans="1:22" s="224" customFormat="1" ht="33" customHeight="1">
      <c r="A24" s="211">
        <v>19</v>
      </c>
      <c r="B24" s="212">
        <v>45382</v>
      </c>
      <c r="C24" s="213" t="s">
        <v>94</v>
      </c>
      <c r="D24" s="213" t="s">
        <v>178</v>
      </c>
      <c r="E24" s="214">
        <v>111010028</v>
      </c>
      <c r="F24" s="213" t="s">
        <v>180</v>
      </c>
      <c r="G24" s="215" t="s">
        <v>182</v>
      </c>
      <c r="H24" s="216">
        <v>413931</v>
      </c>
      <c r="I24" s="213" t="s">
        <v>77</v>
      </c>
      <c r="J24" s="215" t="s">
        <v>78</v>
      </c>
      <c r="K24" s="217">
        <v>45468</v>
      </c>
      <c r="L24" s="218" t="s">
        <v>183</v>
      </c>
      <c r="M24" s="218" t="s">
        <v>184</v>
      </c>
      <c r="N24" s="215">
        <v>989767358</v>
      </c>
      <c r="O24" s="219">
        <v>20</v>
      </c>
      <c r="P24" s="213" t="s">
        <v>22</v>
      </c>
      <c r="Q24" s="213" t="s">
        <v>77</v>
      </c>
      <c r="R24" s="220"/>
      <c r="S24" s="213" t="s">
        <v>178</v>
      </c>
      <c r="T24" s="221">
        <v>300218435</v>
      </c>
      <c r="U24" s="225" t="s">
        <v>185</v>
      </c>
      <c r="V24" s="223"/>
    </row>
    <row r="25" spans="1:22" s="224" customFormat="1" ht="33" customHeight="1">
      <c r="A25" s="211">
        <v>20</v>
      </c>
      <c r="B25" s="212">
        <v>45374</v>
      </c>
      <c r="C25" s="213" t="s">
        <v>79</v>
      </c>
      <c r="D25" s="213" t="s">
        <v>187</v>
      </c>
      <c r="E25" s="214">
        <v>40584305</v>
      </c>
      <c r="F25" s="213" t="s">
        <v>95</v>
      </c>
      <c r="G25" s="215" t="s">
        <v>188</v>
      </c>
      <c r="H25" s="216">
        <v>403527</v>
      </c>
      <c r="I25" s="213" t="s">
        <v>77</v>
      </c>
      <c r="J25" s="215" t="s">
        <v>78</v>
      </c>
      <c r="K25" s="217">
        <v>45469</v>
      </c>
      <c r="L25" s="218" t="s">
        <v>191</v>
      </c>
      <c r="M25" s="218" t="s">
        <v>192</v>
      </c>
      <c r="N25" s="215">
        <v>4054101</v>
      </c>
      <c r="O25" s="219">
        <v>15</v>
      </c>
      <c r="P25" s="213" t="s">
        <v>22</v>
      </c>
      <c r="Q25" s="213" t="s">
        <v>77</v>
      </c>
      <c r="R25" s="220"/>
      <c r="S25" s="213" t="s">
        <v>187</v>
      </c>
      <c r="T25" s="221">
        <v>104634977</v>
      </c>
      <c r="U25" s="225" t="s">
        <v>193</v>
      </c>
      <c r="V25" s="223"/>
    </row>
    <row r="26" spans="1:22" s="224" customFormat="1" ht="33" customHeight="1">
      <c r="A26" s="211">
        <v>21</v>
      </c>
      <c r="B26" s="212">
        <v>45374</v>
      </c>
      <c r="C26" s="213" t="s">
        <v>79</v>
      </c>
      <c r="D26" s="213" t="s">
        <v>187</v>
      </c>
      <c r="E26" s="214">
        <v>111000051</v>
      </c>
      <c r="F26" s="213" t="s">
        <v>99</v>
      </c>
      <c r="G26" s="215" t="s">
        <v>190</v>
      </c>
      <c r="H26" s="216">
        <v>409876</v>
      </c>
      <c r="I26" s="213" t="s">
        <v>77</v>
      </c>
      <c r="J26" s="215" t="s">
        <v>78</v>
      </c>
      <c r="K26" s="217">
        <v>45469</v>
      </c>
      <c r="L26" s="218" t="s">
        <v>191</v>
      </c>
      <c r="M26" s="218" t="s">
        <v>192</v>
      </c>
      <c r="N26" s="215">
        <v>4054101</v>
      </c>
      <c r="O26" s="219">
        <v>15</v>
      </c>
      <c r="P26" s="213" t="s">
        <v>22</v>
      </c>
      <c r="Q26" s="213" t="s">
        <v>77</v>
      </c>
      <c r="R26" s="220"/>
      <c r="S26" s="213" t="s">
        <v>187</v>
      </c>
      <c r="T26" s="221">
        <v>104634977</v>
      </c>
      <c r="U26" s="225" t="s">
        <v>193</v>
      </c>
      <c r="V26" s="223"/>
    </row>
    <row r="27" spans="1:22" s="224" customFormat="1" ht="33" customHeight="1">
      <c r="A27" s="211">
        <v>22</v>
      </c>
      <c r="B27" s="212">
        <v>45374</v>
      </c>
      <c r="C27" s="213" t="s">
        <v>79</v>
      </c>
      <c r="D27" s="213" t="s">
        <v>187</v>
      </c>
      <c r="E27" s="214">
        <v>113430016</v>
      </c>
      <c r="F27" s="213" t="s">
        <v>96</v>
      </c>
      <c r="G27" s="215" t="s">
        <v>189</v>
      </c>
      <c r="H27" s="216">
        <v>409459</v>
      </c>
      <c r="I27" s="213" t="s">
        <v>77</v>
      </c>
      <c r="J27" s="215" t="s">
        <v>78</v>
      </c>
      <c r="K27" s="217">
        <v>45469</v>
      </c>
      <c r="L27" s="218" t="s">
        <v>191</v>
      </c>
      <c r="M27" s="218" t="s">
        <v>192</v>
      </c>
      <c r="N27" s="215">
        <v>4054101</v>
      </c>
      <c r="O27" s="219">
        <v>15</v>
      </c>
      <c r="P27" s="213" t="s">
        <v>22</v>
      </c>
      <c r="Q27" s="213" t="s">
        <v>77</v>
      </c>
      <c r="R27" s="220"/>
      <c r="S27" s="213" t="s">
        <v>187</v>
      </c>
      <c r="T27" s="221">
        <v>104634977</v>
      </c>
      <c r="U27" s="225" t="s">
        <v>193</v>
      </c>
      <c r="V27" s="223"/>
    </row>
    <row r="28" spans="1:22" s="224" customFormat="1" ht="33" customHeight="1">
      <c r="A28" s="211">
        <v>23</v>
      </c>
      <c r="B28" s="212">
        <v>45378</v>
      </c>
      <c r="C28" s="213" t="s">
        <v>79</v>
      </c>
      <c r="D28" s="213" t="s">
        <v>194</v>
      </c>
      <c r="E28" s="214">
        <v>112520025</v>
      </c>
      <c r="F28" s="213" t="s">
        <v>91</v>
      </c>
      <c r="G28" s="215" t="s">
        <v>196</v>
      </c>
      <c r="H28" s="216" t="s">
        <v>42</v>
      </c>
      <c r="I28" s="213" t="s">
        <v>77</v>
      </c>
      <c r="J28" s="215" t="s">
        <v>78</v>
      </c>
      <c r="K28" s="217">
        <v>45469</v>
      </c>
      <c r="L28" s="218" t="s">
        <v>191</v>
      </c>
      <c r="M28" s="218" t="s">
        <v>192</v>
      </c>
      <c r="N28" s="215">
        <v>4054101</v>
      </c>
      <c r="O28" s="219">
        <v>15</v>
      </c>
      <c r="P28" s="213" t="s">
        <v>22</v>
      </c>
      <c r="Q28" s="213" t="s">
        <v>77</v>
      </c>
      <c r="R28" s="220"/>
      <c r="S28" s="213" t="s">
        <v>187</v>
      </c>
      <c r="T28" s="221">
        <v>104634977</v>
      </c>
      <c r="U28" s="225" t="s">
        <v>193</v>
      </c>
      <c r="V28" s="223"/>
    </row>
    <row r="29" spans="1:22" s="224" customFormat="1" ht="33" customHeight="1">
      <c r="A29" s="211">
        <v>24</v>
      </c>
      <c r="B29" s="212">
        <v>45378</v>
      </c>
      <c r="C29" s="213" t="s">
        <v>79</v>
      </c>
      <c r="D29" s="213" t="s">
        <v>194</v>
      </c>
      <c r="E29" s="214">
        <v>113610005</v>
      </c>
      <c r="F29" s="213" t="s">
        <v>641</v>
      </c>
      <c r="G29" s="215" t="s">
        <v>642</v>
      </c>
      <c r="H29" s="216" t="s">
        <v>42</v>
      </c>
      <c r="I29" s="213" t="s">
        <v>77</v>
      </c>
      <c r="J29" s="215" t="s">
        <v>78</v>
      </c>
      <c r="K29" s="217">
        <v>45469</v>
      </c>
      <c r="L29" s="218" t="s">
        <v>191</v>
      </c>
      <c r="M29" s="218" t="s">
        <v>192</v>
      </c>
      <c r="N29" s="215">
        <v>4054101</v>
      </c>
      <c r="O29" s="219">
        <v>15</v>
      </c>
      <c r="P29" s="213" t="s">
        <v>22</v>
      </c>
      <c r="Q29" s="213" t="s">
        <v>77</v>
      </c>
      <c r="R29" s="220"/>
      <c r="S29" s="213" t="s">
        <v>187</v>
      </c>
      <c r="T29" s="221">
        <v>104634977</v>
      </c>
      <c r="U29" s="225" t="s">
        <v>193</v>
      </c>
      <c r="V29" s="223"/>
    </row>
    <row r="30" spans="1:22" s="224" customFormat="1" ht="33" customHeight="1">
      <c r="A30" s="211">
        <v>25</v>
      </c>
      <c r="B30" s="212">
        <v>45341</v>
      </c>
      <c r="C30" s="213" t="s">
        <v>93</v>
      </c>
      <c r="D30" s="213" t="s">
        <v>195</v>
      </c>
      <c r="E30" s="214">
        <v>112570128</v>
      </c>
      <c r="F30" s="213" t="s">
        <v>97</v>
      </c>
      <c r="G30" s="215" t="s">
        <v>197</v>
      </c>
      <c r="H30" s="216">
        <v>418933</v>
      </c>
      <c r="I30" s="213" t="s">
        <v>77</v>
      </c>
      <c r="J30" s="215" t="s">
        <v>78</v>
      </c>
      <c r="K30" s="217">
        <v>45471</v>
      </c>
      <c r="L30" s="218" t="s">
        <v>200</v>
      </c>
      <c r="M30" s="218" t="s">
        <v>201</v>
      </c>
      <c r="N30" s="215">
        <v>983508180</v>
      </c>
      <c r="O30" s="219">
        <v>15</v>
      </c>
      <c r="P30" s="213" t="s">
        <v>22</v>
      </c>
      <c r="Q30" s="213" t="s">
        <v>77</v>
      </c>
      <c r="R30" s="220"/>
      <c r="S30" s="213" t="s">
        <v>195</v>
      </c>
      <c r="T30" s="221">
        <v>300834868</v>
      </c>
      <c r="U30" s="225" t="s">
        <v>202</v>
      </c>
      <c r="V30" s="223"/>
    </row>
    <row r="31" spans="1:22" s="224" customFormat="1" ht="33" customHeight="1">
      <c r="A31" s="211">
        <v>26</v>
      </c>
      <c r="B31" s="212">
        <v>45341</v>
      </c>
      <c r="C31" s="213" t="s">
        <v>93</v>
      </c>
      <c r="D31" s="213" t="s">
        <v>195</v>
      </c>
      <c r="E31" s="214">
        <v>41560151</v>
      </c>
      <c r="F31" s="213" t="s">
        <v>170</v>
      </c>
      <c r="G31" s="215" t="s">
        <v>198</v>
      </c>
      <c r="H31" s="216" t="s">
        <v>42</v>
      </c>
      <c r="I31" s="213" t="s">
        <v>77</v>
      </c>
      <c r="J31" s="215" t="s">
        <v>78</v>
      </c>
      <c r="K31" s="217">
        <v>45471</v>
      </c>
      <c r="L31" s="218" t="s">
        <v>200</v>
      </c>
      <c r="M31" s="218" t="s">
        <v>201</v>
      </c>
      <c r="N31" s="215">
        <v>983508180</v>
      </c>
      <c r="O31" s="219">
        <v>15</v>
      </c>
      <c r="P31" s="213" t="s">
        <v>22</v>
      </c>
      <c r="Q31" s="213" t="s">
        <v>77</v>
      </c>
      <c r="R31" s="220"/>
      <c r="S31" s="213" t="s">
        <v>195</v>
      </c>
      <c r="T31" s="221">
        <v>300834868</v>
      </c>
      <c r="U31" s="225" t="s">
        <v>202</v>
      </c>
      <c r="V31" s="223"/>
    </row>
    <row r="32" spans="1:22" s="224" customFormat="1" ht="33" customHeight="1">
      <c r="A32" s="211">
        <v>27</v>
      </c>
      <c r="B32" s="212">
        <v>45341</v>
      </c>
      <c r="C32" s="213" t="s">
        <v>93</v>
      </c>
      <c r="D32" s="213" t="s">
        <v>195</v>
      </c>
      <c r="E32" s="214">
        <v>113430018</v>
      </c>
      <c r="F32" s="213" t="s">
        <v>100</v>
      </c>
      <c r="G32" s="215" t="s">
        <v>199</v>
      </c>
      <c r="H32" s="216" t="s">
        <v>42</v>
      </c>
      <c r="I32" s="213" t="s">
        <v>77</v>
      </c>
      <c r="J32" s="215" t="s">
        <v>78</v>
      </c>
      <c r="K32" s="217">
        <v>45471</v>
      </c>
      <c r="L32" s="218" t="s">
        <v>200</v>
      </c>
      <c r="M32" s="218" t="s">
        <v>201</v>
      </c>
      <c r="N32" s="215">
        <v>983508180</v>
      </c>
      <c r="O32" s="219">
        <v>15</v>
      </c>
      <c r="P32" s="213" t="s">
        <v>22</v>
      </c>
      <c r="Q32" s="213" t="s">
        <v>77</v>
      </c>
      <c r="R32" s="220"/>
      <c r="S32" s="213" t="s">
        <v>195</v>
      </c>
      <c r="T32" s="221">
        <v>300834868</v>
      </c>
      <c r="U32" s="225" t="s">
        <v>202</v>
      </c>
      <c r="V32" s="223"/>
    </row>
    <row r="33" spans="1:22" s="224" customFormat="1" ht="33" customHeight="1">
      <c r="A33" s="211">
        <v>28</v>
      </c>
      <c r="B33" s="212">
        <v>45450</v>
      </c>
      <c r="C33" s="213" t="s">
        <v>116</v>
      </c>
      <c r="D33" s="213" t="s">
        <v>203</v>
      </c>
      <c r="E33" s="214">
        <v>112580027</v>
      </c>
      <c r="F33" s="213" t="s">
        <v>205</v>
      </c>
      <c r="G33" s="215" t="s">
        <v>208</v>
      </c>
      <c r="H33" s="216" t="s">
        <v>42</v>
      </c>
      <c r="I33" s="213" t="s">
        <v>77</v>
      </c>
      <c r="J33" s="215" t="s">
        <v>78</v>
      </c>
      <c r="K33" s="217">
        <v>45471</v>
      </c>
      <c r="L33" s="218" t="s">
        <v>211</v>
      </c>
      <c r="M33" s="218" t="s">
        <v>212</v>
      </c>
      <c r="N33" s="215">
        <v>984155788</v>
      </c>
      <c r="O33" s="219">
        <v>15</v>
      </c>
      <c r="P33" s="213" t="s">
        <v>22</v>
      </c>
      <c r="Q33" s="213" t="s">
        <v>77</v>
      </c>
      <c r="R33" s="220"/>
      <c r="S33" s="213" t="s">
        <v>203</v>
      </c>
      <c r="T33" s="221">
        <v>105469621</v>
      </c>
      <c r="U33" s="225" t="s">
        <v>213</v>
      </c>
      <c r="V33" s="223"/>
    </row>
    <row r="34" spans="1:22" s="224" customFormat="1" ht="33" customHeight="1">
      <c r="A34" s="211">
        <v>29</v>
      </c>
      <c r="B34" s="212">
        <v>45362</v>
      </c>
      <c r="C34" s="213" t="s">
        <v>116</v>
      </c>
      <c r="D34" s="213" t="s">
        <v>204</v>
      </c>
      <c r="E34" s="214">
        <v>111010041</v>
      </c>
      <c r="F34" s="213" t="s">
        <v>206</v>
      </c>
      <c r="G34" s="215" t="s">
        <v>209</v>
      </c>
      <c r="H34" s="216" t="s">
        <v>42</v>
      </c>
      <c r="I34" s="213" t="s">
        <v>77</v>
      </c>
      <c r="J34" s="215" t="s">
        <v>78</v>
      </c>
      <c r="K34" s="217">
        <v>45471</v>
      </c>
      <c r="L34" s="218" t="s">
        <v>211</v>
      </c>
      <c r="M34" s="218" t="s">
        <v>212</v>
      </c>
      <c r="N34" s="215">
        <v>984155788</v>
      </c>
      <c r="O34" s="219">
        <v>15</v>
      </c>
      <c r="P34" s="213" t="s">
        <v>22</v>
      </c>
      <c r="Q34" s="213" t="s">
        <v>77</v>
      </c>
      <c r="R34" s="220"/>
      <c r="S34" s="213" t="s">
        <v>204</v>
      </c>
      <c r="T34" s="221">
        <v>105469621</v>
      </c>
      <c r="U34" s="225" t="s">
        <v>213</v>
      </c>
      <c r="V34" s="223"/>
    </row>
    <row r="35" spans="1:22" s="224" customFormat="1" ht="33" customHeight="1">
      <c r="A35" s="211">
        <v>30</v>
      </c>
      <c r="B35" s="212">
        <v>45362</v>
      </c>
      <c r="C35" s="213" t="s">
        <v>116</v>
      </c>
      <c r="D35" s="213" t="s">
        <v>204</v>
      </c>
      <c r="E35" s="214">
        <v>40446712</v>
      </c>
      <c r="F35" s="213" t="s">
        <v>207</v>
      </c>
      <c r="G35" s="215" t="s">
        <v>210</v>
      </c>
      <c r="H35" s="216" t="s">
        <v>42</v>
      </c>
      <c r="I35" s="213" t="s">
        <v>77</v>
      </c>
      <c r="J35" s="215" t="s">
        <v>78</v>
      </c>
      <c r="K35" s="217">
        <v>45471</v>
      </c>
      <c r="L35" s="218" t="s">
        <v>211</v>
      </c>
      <c r="M35" s="218" t="s">
        <v>212</v>
      </c>
      <c r="N35" s="215">
        <v>984155788</v>
      </c>
      <c r="O35" s="219">
        <v>15</v>
      </c>
      <c r="P35" s="213" t="s">
        <v>22</v>
      </c>
      <c r="Q35" s="213" t="s">
        <v>77</v>
      </c>
      <c r="R35" s="220"/>
      <c r="S35" s="213" t="s">
        <v>204</v>
      </c>
      <c r="T35" s="221">
        <v>105469621</v>
      </c>
      <c r="U35" s="225" t="s">
        <v>213</v>
      </c>
      <c r="V35" s="223"/>
    </row>
    <row r="36" spans="1:22" s="224" customFormat="1" ht="33" customHeight="1">
      <c r="A36" s="211">
        <v>31</v>
      </c>
      <c r="B36" s="212">
        <v>45372</v>
      </c>
      <c r="C36" s="213" t="s">
        <v>131</v>
      </c>
      <c r="D36" s="213" t="s">
        <v>214</v>
      </c>
      <c r="E36" s="214">
        <v>112580027</v>
      </c>
      <c r="F36" s="213" t="s">
        <v>87</v>
      </c>
      <c r="G36" s="215" t="s">
        <v>215</v>
      </c>
      <c r="H36" s="216" t="s">
        <v>42</v>
      </c>
      <c r="I36" s="213" t="s">
        <v>77</v>
      </c>
      <c r="J36" s="215" t="s">
        <v>78</v>
      </c>
      <c r="K36" s="217">
        <v>45472</v>
      </c>
      <c r="L36" s="218" t="s">
        <v>216</v>
      </c>
      <c r="M36" s="218" t="s">
        <v>217</v>
      </c>
      <c r="N36" s="215">
        <v>995812779</v>
      </c>
      <c r="O36" s="219">
        <v>20</v>
      </c>
      <c r="P36" s="213" t="s">
        <v>22</v>
      </c>
      <c r="Q36" s="213" t="s">
        <v>77</v>
      </c>
      <c r="R36" s="220"/>
      <c r="S36" s="213" t="s">
        <v>214</v>
      </c>
      <c r="T36" s="221">
        <v>1400135966</v>
      </c>
      <c r="U36" s="225" t="s">
        <v>218</v>
      </c>
      <c r="V36" s="223"/>
    </row>
    <row r="37" spans="1:22" s="224" customFormat="1" ht="33" customHeight="1">
      <c r="A37" s="211">
        <v>32</v>
      </c>
      <c r="B37" s="212">
        <v>45372</v>
      </c>
      <c r="C37" s="213" t="s">
        <v>131</v>
      </c>
      <c r="D37" s="213" t="s">
        <v>219</v>
      </c>
      <c r="E37" s="214">
        <v>112580017</v>
      </c>
      <c r="F37" s="213" t="s">
        <v>124</v>
      </c>
      <c r="G37" s="215" t="s">
        <v>220</v>
      </c>
      <c r="H37" s="216" t="s">
        <v>42</v>
      </c>
      <c r="I37" s="213" t="s">
        <v>77</v>
      </c>
      <c r="J37" s="215" t="s">
        <v>78</v>
      </c>
      <c r="K37" s="217">
        <v>45472</v>
      </c>
      <c r="L37" s="218" t="s">
        <v>216</v>
      </c>
      <c r="M37" s="218" t="s">
        <v>217</v>
      </c>
      <c r="N37" s="215">
        <v>995812779</v>
      </c>
      <c r="O37" s="219">
        <v>20</v>
      </c>
      <c r="P37" s="213" t="s">
        <v>22</v>
      </c>
      <c r="Q37" s="213" t="s">
        <v>77</v>
      </c>
      <c r="R37" s="220"/>
      <c r="S37" s="213" t="s">
        <v>219</v>
      </c>
      <c r="T37" s="221">
        <v>1400135966</v>
      </c>
      <c r="U37" s="225" t="s">
        <v>218</v>
      </c>
      <c r="V37" s="223"/>
    </row>
    <row r="38" spans="1:22" s="224" customFormat="1" ht="33" customHeight="1">
      <c r="A38" s="211">
        <v>33</v>
      </c>
      <c r="B38" s="212"/>
      <c r="C38" s="213"/>
      <c r="D38" s="213"/>
      <c r="E38" s="214">
        <v>112570211</v>
      </c>
      <c r="F38" s="213" t="s">
        <v>110</v>
      </c>
      <c r="G38" s="215" t="s">
        <v>221</v>
      </c>
      <c r="H38" s="216">
        <v>397320</v>
      </c>
      <c r="I38" s="213" t="s">
        <v>77</v>
      </c>
      <c r="J38" s="215" t="s">
        <v>78</v>
      </c>
      <c r="K38" s="217">
        <v>45468</v>
      </c>
      <c r="L38" s="218" t="s">
        <v>234</v>
      </c>
      <c r="M38" s="218" t="s">
        <v>229</v>
      </c>
      <c r="N38" s="215">
        <v>999773565</v>
      </c>
      <c r="O38" s="219">
        <v>15</v>
      </c>
      <c r="P38" s="213" t="s">
        <v>22</v>
      </c>
      <c r="Q38" s="213" t="s">
        <v>77</v>
      </c>
      <c r="R38" s="220"/>
      <c r="S38" s="213"/>
      <c r="T38" s="221"/>
      <c r="U38" s="225"/>
      <c r="V38" s="223"/>
    </row>
    <row r="39" spans="1:22" s="224" customFormat="1" ht="33" customHeight="1">
      <c r="A39" s="211">
        <v>34</v>
      </c>
      <c r="B39" s="212"/>
      <c r="C39" s="213"/>
      <c r="D39" s="213"/>
      <c r="E39" s="214">
        <v>111000030</v>
      </c>
      <c r="F39" s="213" t="s">
        <v>222</v>
      </c>
      <c r="G39" s="215" t="s">
        <v>223</v>
      </c>
      <c r="H39" s="216" t="s">
        <v>42</v>
      </c>
      <c r="I39" s="213" t="s">
        <v>77</v>
      </c>
      <c r="J39" s="215" t="s">
        <v>78</v>
      </c>
      <c r="K39" s="217">
        <v>45468</v>
      </c>
      <c r="L39" s="218" t="s">
        <v>234</v>
      </c>
      <c r="M39" s="218" t="s">
        <v>229</v>
      </c>
      <c r="N39" s="215">
        <v>999773565</v>
      </c>
      <c r="O39" s="219">
        <v>15</v>
      </c>
      <c r="P39" s="213" t="s">
        <v>22</v>
      </c>
      <c r="Q39" s="213" t="s">
        <v>77</v>
      </c>
      <c r="R39" s="220"/>
      <c r="S39" s="213"/>
      <c r="T39" s="221"/>
      <c r="U39" s="225"/>
      <c r="V39" s="223"/>
    </row>
    <row r="40" spans="1:22" s="224" customFormat="1" ht="33" customHeight="1">
      <c r="A40" s="211">
        <v>35</v>
      </c>
      <c r="B40" s="212"/>
      <c r="C40" s="213"/>
      <c r="D40" s="213"/>
      <c r="E40" s="214">
        <v>111000059</v>
      </c>
      <c r="F40" s="213" t="s">
        <v>154</v>
      </c>
      <c r="G40" s="215" t="s">
        <v>224</v>
      </c>
      <c r="H40" s="216" t="s">
        <v>42</v>
      </c>
      <c r="I40" s="213" t="s">
        <v>77</v>
      </c>
      <c r="J40" s="215" t="s">
        <v>78</v>
      </c>
      <c r="K40" s="217">
        <v>45468</v>
      </c>
      <c r="L40" s="218" t="s">
        <v>234</v>
      </c>
      <c r="M40" s="218" t="s">
        <v>229</v>
      </c>
      <c r="N40" s="215">
        <v>999773565</v>
      </c>
      <c r="O40" s="219">
        <v>15</v>
      </c>
      <c r="P40" s="213" t="s">
        <v>22</v>
      </c>
      <c r="Q40" s="213" t="s">
        <v>77</v>
      </c>
      <c r="R40" s="220"/>
      <c r="S40" s="213"/>
      <c r="T40" s="221"/>
      <c r="U40" s="225"/>
      <c r="V40" s="223"/>
    </row>
    <row r="41" spans="1:22" s="224" customFormat="1" ht="33" customHeight="1">
      <c r="A41" s="211">
        <v>36</v>
      </c>
      <c r="B41" s="212"/>
      <c r="C41" s="213"/>
      <c r="D41" s="213"/>
      <c r="E41" s="214">
        <v>113430016</v>
      </c>
      <c r="F41" s="213" t="s">
        <v>96</v>
      </c>
      <c r="G41" s="215" t="s">
        <v>225</v>
      </c>
      <c r="H41" s="216" t="s">
        <v>42</v>
      </c>
      <c r="I41" s="213" t="s">
        <v>77</v>
      </c>
      <c r="J41" s="215" t="s">
        <v>78</v>
      </c>
      <c r="K41" s="217">
        <v>45468</v>
      </c>
      <c r="L41" s="218" t="s">
        <v>234</v>
      </c>
      <c r="M41" s="218" t="s">
        <v>229</v>
      </c>
      <c r="N41" s="215">
        <v>999773565</v>
      </c>
      <c r="O41" s="219">
        <v>15</v>
      </c>
      <c r="P41" s="213" t="s">
        <v>22</v>
      </c>
      <c r="Q41" s="213" t="s">
        <v>77</v>
      </c>
      <c r="R41" s="220"/>
      <c r="S41" s="213"/>
      <c r="T41" s="221"/>
      <c r="U41" s="225"/>
      <c r="V41" s="223"/>
    </row>
    <row r="42" spans="1:22" s="224" customFormat="1" ht="33" customHeight="1">
      <c r="A42" s="211">
        <v>37</v>
      </c>
      <c r="B42" s="212"/>
      <c r="C42" s="213"/>
      <c r="D42" s="213"/>
      <c r="E42" s="214">
        <v>40483182</v>
      </c>
      <c r="F42" s="213" t="s">
        <v>155</v>
      </c>
      <c r="G42" s="215" t="s">
        <v>226</v>
      </c>
      <c r="H42" s="216" t="s">
        <v>42</v>
      </c>
      <c r="I42" s="213" t="s">
        <v>77</v>
      </c>
      <c r="J42" s="215" t="s">
        <v>78</v>
      </c>
      <c r="K42" s="217">
        <v>45468</v>
      </c>
      <c r="L42" s="218" t="s">
        <v>234</v>
      </c>
      <c r="M42" s="218" t="s">
        <v>229</v>
      </c>
      <c r="N42" s="215">
        <v>999773565</v>
      </c>
      <c r="O42" s="219">
        <v>30</v>
      </c>
      <c r="P42" s="213" t="s">
        <v>22</v>
      </c>
      <c r="Q42" s="213" t="s">
        <v>77</v>
      </c>
      <c r="R42" s="220"/>
      <c r="S42" s="213"/>
      <c r="T42" s="221"/>
      <c r="U42" s="225"/>
      <c r="V42" s="223"/>
    </row>
    <row r="43" spans="1:22" s="224" customFormat="1" ht="33" customHeight="1">
      <c r="A43" s="211">
        <v>38</v>
      </c>
      <c r="B43" s="212"/>
      <c r="C43" s="213"/>
      <c r="D43" s="213"/>
      <c r="E43" s="214">
        <v>113600017</v>
      </c>
      <c r="F43" s="213" t="s">
        <v>227</v>
      </c>
      <c r="G43" s="215" t="s">
        <v>228</v>
      </c>
      <c r="H43" s="216" t="s">
        <v>42</v>
      </c>
      <c r="I43" s="213" t="s">
        <v>77</v>
      </c>
      <c r="J43" s="215" t="s">
        <v>78</v>
      </c>
      <c r="K43" s="217">
        <v>45468</v>
      </c>
      <c r="L43" s="218" t="s">
        <v>234</v>
      </c>
      <c r="M43" s="218" t="s">
        <v>229</v>
      </c>
      <c r="N43" s="215">
        <v>999773565</v>
      </c>
      <c r="O43" s="219">
        <v>15</v>
      </c>
      <c r="P43" s="213" t="s">
        <v>22</v>
      </c>
      <c r="Q43" s="213" t="s">
        <v>77</v>
      </c>
      <c r="R43" s="220"/>
      <c r="S43" s="213"/>
      <c r="T43" s="221"/>
      <c r="U43" s="225"/>
      <c r="V43" s="223"/>
    </row>
    <row r="44" spans="1:22" s="224" customFormat="1" ht="33" customHeight="1">
      <c r="A44" s="211">
        <v>39</v>
      </c>
      <c r="B44" s="212">
        <v>45433</v>
      </c>
      <c r="C44" s="213" t="s">
        <v>92</v>
      </c>
      <c r="D44" s="213" t="s">
        <v>230</v>
      </c>
      <c r="E44" s="214">
        <v>111010028</v>
      </c>
      <c r="F44" s="213" t="s">
        <v>180</v>
      </c>
      <c r="G44" s="215" t="s">
        <v>231</v>
      </c>
      <c r="H44" s="216" t="s">
        <v>42</v>
      </c>
      <c r="I44" s="213" t="s">
        <v>77</v>
      </c>
      <c r="J44" s="215" t="s">
        <v>78</v>
      </c>
      <c r="K44" s="217">
        <v>45475</v>
      </c>
      <c r="L44" s="218" t="s">
        <v>235</v>
      </c>
      <c r="M44" s="218" t="s">
        <v>150</v>
      </c>
      <c r="N44" s="215">
        <v>984060402</v>
      </c>
      <c r="O44" s="219">
        <v>20</v>
      </c>
      <c r="P44" s="213" t="s">
        <v>22</v>
      </c>
      <c r="Q44" s="213" t="s">
        <v>77</v>
      </c>
      <c r="R44" s="220"/>
      <c r="S44" s="213" t="s">
        <v>230</v>
      </c>
      <c r="T44" s="221">
        <v>100011997</v>
      </c>
      <c r="U44" s="225" t="s">
        <v>236</v>
      </c>
      <c r="V44" s="223"/>
    </row>
    <row r="45" spans="1:22" s="224" customFormat="1" ht="33" customHeight="1">
      <c r="A45" s="211">
        <v>40</v>
      </c>
      <c r="B45" s="212">
        <v>45433</v>
      </c>
      <c r="C45" s="213" t="s">
        <v>92</v>
      </c>
      <c r="D45" s="213" t="s">
        <v>230</v>
      </c>
      <c r="E45" s="214">
        <v>40584012</v>
      </c>
      <c r="F45" s="213" t="s">
        <v>232</v>
      </c>
      <c r="G45" s="215" t="s">
        <v>233</v>
      </c>
      <c r="H45" s="216" t="s">
        <v>42</v>
      </c>
      <c r="I45" s="213" t="s">
        <v>77</v>
      </c>
      <c r="J45" s="215" t="s">
        <v>78</v>
      </c>
      <c r="K45" s="217">
        <v>45475</v>
      </c>
      <c r="L45" s="218" t="s">
        <v>235</v>
      </c>
      <c r="M45" s="218" t="s">
        <v>150</v>
      </c>
      <c r="N45" s="215">
        <v>984060402</v>
      </c>
      <c r="O45" s="219">
        <v>20</v>
      </c>
      <c r="P45" s="213" t="s">
        <v>22</v>
      </c>
      <c r="Q45" s="213" t="s">
        <v>77</v>
      </c>
      <c r="R45" s="220"/>
      <c r="S45" s="213" t="s">
        <v>230</v>
      </c>
      <c r="T45" s="221">
        <v>100011997</v>
      </c>
      <c r="U45" s="225" t="s">
        <v>236</v>
      </c>
      <c r="V45" s="223"/>
    </row>
    <row r="46" spans="1:22" s="224" customFormat="1" ht="33" customHeight="1">
      <c r="A46" s="211">
        <v>41</v>
      </c>
      <c r="B46" s="212">
        <v>45629</v>
      </c>
      <c r="C46" s="213" t="s">
        <v>119</v>
      </c>
      <c r="D46" s="213" t="s">
        <v>237</v>
      </c>
      <c r="E46" s="214">
        <v>41560041</v>
      </c>
      <c r="F46" s="213" t="s">
        <v>104</v>
      </c>
      <c r="G46" s="215" t="s">
        <v>238</v>
      </c>
      <c r="H46" s="216" t="s">
        <v>42</v>
      </c>
      <c r="I46" s="213" t="s">
        <v>77</v>
      </c>
      <c r="J46" s="215" t="s">
        <v>78</v>
      </c>
      <c r="K46" s="217">
        <v>45475</v>
      </c>
      <c r="L46" s="218" t="s">
        <v>240</v>
      </c>
      <c r="M46" s="218" t="s">
        <v>241</v>
      </c>
      <c r="N46" s="215">
        <v>987478879</v>
      </c>
      <c r="O46" s="219">
        <v>20</v>
      </c>
      <c r="P46" s="213" t="s">
        <v>22</v>
      </c>
      <c r="Q46" s="213" t="s">
        <v>77</v>
      </c>
      <c r="R46" s="220"/>
      <c r="S46" s="213" t="s">
        <v>237</v>
      </c>
      <c r="T46" s="221">
        <v>302237292</v>
      </c>
      <c r="U46" s="225" t="s">
        <v>242</v>
      </c>
      <c r="V46" s="223"/>
    </row>
    <row r="47" spans="1:22" s="224" customFormat="1" ht="33" customHeight="1">
      <c r="A47" s="211">
        <v>42</v>
      </c>
      <c r="B47" s="212">
        <v>45629</v>
      </c>
      <c r="C47" s="213" t="s">
        <v>119</v>
      </c>
      <c r="D47" s="213" t="s">
        <v>237</v>
      </c>
      <c r="E47" s="214">
        <v>40584012</v>
      </c>
      <c r="F47" s="213" t="s">
        <v>232</v>
      </c>
      <c r="G47" s="215" t="s">
        <v>239</v>
      </c>
      <c r="H47" s="216" t="s">
        <v>42</v>
      </c>
      <c r="I47" s="213" t="s">
        <v>77</v>
      </c>
      <c r="J47" s="215" t="s">
        <v>78</v>
      </c>
      <c r="K47" s="217">
        <v>45475</v>
      </c>
      <c r="L47" s="218" t="s">
        <v>240</v>
      </c>
      <c r="M47" s="218" t="s">
        <v>241</v>
      </c>
      <c r="N47" s="215">
        <v>987478879</v>
      </c>
      <c r="O47" s="219">
        <v>20</v>
      </c>
      <c r="P47" s="213" t="s">
        <v>22</v>
      </c>
      <c r="Q47" s="213" t="s">
        <v>77</v>
      </c>
      <c r="R47" s="220"/>
      <c r="S47" s="213" t="s">
        <v>237</v>
      </c>
      <c r="T47" s="221">
        <v>302237292</v>
      </c>
      <c r="U47" s="225" t="s">
        <v>242</v>
      </c>
      <c r="V47" s="223"/>
    </row>
    <row r="48" spans="1:22" s="224" customFormat="1" ht="33" customHeight="1">
      <c r="A48" s="211">
        <v>43</v>
      </c>
      <c r="B48" s="212">
        <v>45439</v>
      </c>
      <c r="C48" s="213" t="s">
        <v>94</v>
      </c>
      <c r="D48" s="213" t="s">
        <v>243</v>
      </c>
      <c r="E48" s="214">
        <v>40590835</v>
      </c>
      <c r="F48" s="213" t="s">
        <v>244</v>
      </c>
      <c r="G48" s="215" t="s">
        <v>249</v>
      </c>
      <c r="H48" s="216" t="s">
        <v>42</v>
      </c>
      <c r="I48" s="213" t="s">
        <v>77</v>
      </c>
      <c r="J48" s="215" t="s">
        <v>78</v>
      </c>
      <c r="K48" s="217">
        <v>45476</v>
      </c>
      <c r="L48" s="218" t="s">
        <v>245</v>
      </c>
      <c r="M48" s="218" t="s">
        <v>246</v>
      </c>
      <c r="N48" s="215">
        <v>979656380</v>
      </c>
      <c r="O48" s="219">
        <v>20</v>
      </c>
      <c r="P48" s="213" t="s">
        <v>22</v>
      </c>
      <c r="Q48" s="213" t="s">
        <v>77</v>
      </c>
      <c r="R48" s="220"/>
      <c r="S48" s="213" t="s">
        <v>243</v>
      </c>
      <c r="T48" s="221">
        <v>601095623</v>
      </c>
      <c r="U48" s="225" t="s">
        <v>247</v>
      </c>
      <c r="V48" s="223"/>
    </row>
    <row r="49" spans="1:22" s="224" customFormat="1" ht="33" customHeight="1">
      <c r="A49" s="211">
        <v>44</v>
      </c>
      <c r="B49" s="212">
        <v>45439</v>
      </c>
      <c r="C49" s="213" t="s">
        <v>94</v>
      </c>
      <c r="D49" s="213" t="s">
        <v>243</v>
      </c>
      <c r="E49" s="214">
        <v>41560041</v>
      </c>
      <c r="F49" s="213" t="s">
        <v>104</v>
      </c>
      <c r="G49" s="215" t="s">
        <v>248</v>
      </c>
      <c r="H49" s="216" t="s">
        <v>42</v>
      </c>
      <c r="I49" s="213" t="s">
        <v>77</v>
      </c>
      <c r="J49" s="215" t="s">
        <v>78</v>
      </c>
      <c r="K49" s="217">
        <v>45476</v>
      </c>
      <c r="L49" s="218" t="s">
        <v>245</v>
      </c>
      <c r="M49" s="218" t="s">
        <v>246</v>
      </c>
      <c r="N49" s="215">
        <v>979656380</v>
      </c>
      <c r="O49" s="219">
        <v>20</v>
      </c>
      <c r="P49" s="213" t="s">
        <v>22</v>
      </c>
      <c r="Q49" s="213" t="s">
        <v>77</v>
      </c>
      <c r="R49" s="220"/>
      <c r="S49" s="213" t="s">
        <v>243</v>
      </c>
      <c r="T49" s="221">
        <v>601095623</v>
      </c>
      <c r="U49" s="225" t="s">
        <v>247</v>
      </c>
      <c r="V49" s="223"/>
    </row>
    <row r="50" spans="1:22" s="224" customFormat="1" ht="33" customHeight="1">
      <c r="A50" s="211">
        <v>45</v>
      </c>
      <c r="B50" s="212">
        <v>45464</v>
      </c>
      <c r="C50" s="213" t="s">
        <v>94</v>
      </c>
      <c r="D50" s="213" t="s">
        <v>250</v>
      </c>
      <c r="E50" s="214">
        <v>40466241</v>
      </c>
      <c r="F50" s="213" t="s">
        <v>102</v>
      </c>
      <c r="G50" s="215" t="s">
        <v>251</v>
      </c>
      <c r="H50" s="216" t="s">
        <v>42</v>
      </c>
      <c r="I50" s="213" t="s">
        <v>77</v>
      </c>
      <c r="J50" s="215" t="s">
        <v>78</v>
      </c>
      <c r="K50" s="217">
        <v>45478</v>
      </c>
      <c r="L50" s="218" t="s">
        <v>252</v>
      </c>
      <c r="M50" s="218" t="s">
        <v>253</v>
      </c>
      <c r="N50" s="215">
        <v>968760858</v>
      </c>
      <c r="O50" s="219">
        <v>15</v>
      </c>
      <c r="P50" s="213" t="s">
        <v>22</v>
      </c>
      <c r="Q50" s="213" t="s">
        <v>77</v>
      </c>
      <c r="R50" s="220"/>
      <c r="S50" s="213" t="s">
        <v>250</v>
      </c>
      <c r="T50" s="221">
        <v>106581051</v>
      </c>
      <c r="U50" s="225" t="s">
        <v>254</v>
      </c>
      <c r="V50" s="223"/>
    </row>
    <row r="51" spans="1:22" s="224" customFormat="1" ht="33" customHeight="1">
      <c r="A51" s="211">
        <v>46</v>
      </c>
      <c r="B51" s="212">
        <v>45464</v>
      </c>
      <c r="C51" s="213" t="s">
        <v>94</v>
      </c>
      <c r="D51" s="213" t="s">
        <v>250</v>
      </c>
      <c r="E51" s="214">
        <v>40466241</v>
      </c>
      <c r="F51" s="213" t="s">
        <v>102</v>
      </c>
      <c r="G51" s="215" t="s">
        <v>257</v>
      </c>
      <c r="H51" s="216" t="s">
        <v>42</v>
      </c>
      <c r="I51" s="213" t="s">
        <v>77</v>
      </c>
      <c r="J51" s="215" t="s">
        <v>78</v>
      </c>
      <c r="K51" s="217">
        <v>45478</v>
      </c>
      <c r="L51" s="218" t="s">
        <v>252</v>
      </c>
      <c r="M51" s="218" t="s">
        <v>253</v>
      </c>
      <c r="N51" s="215">
        <v>968760858</v>
      </c>
      <c r="O51" s="219">
        <v>15</v>
      </c>
      <c r="P51" s="213" t="s">
        <v>22</v>
      </c>
      <c r="Q51" s="213" t="s">
        <v>77</v>
      </c>
      <c r="R51" s="220"/>
      <c r="S51" s="213" t="s">
        <v>250</v>
      </c>
      <c r="T51" s="221">
        <v>106581051</v>
      </c>
      <c r="U51" s="225" t="s">
        <v>254</v>
      </c>
      <c r="V51" s="223"/>
    </row>
    <row r="52" spans="1:22" s="224" customFormat="1" ht="33" customHeight="1">
      <c r="A52" s="211">
        <v>47</v>
      </c>
      <c r="B52" s="212">
        <v>45464</v>
      </c>
      <c r="C52" s="213" t="s">
        <v>94</v>
      </c>
      <c r="D52" s="213" t="s">
        <v>250</v>
      </c>
      <c r="E52" s="214">
        <v>40467320</v>
      </c>
      <c r="F52" s="213" t="s">
        <v>255</v>
      </c>
      <c r="G52" s="215" t="s">
        <v>256</v>
      </c>
      <c r="H52" s="216" t="s">
        <v>42</v>
      </c>
      <c r="I52" s="213" t="s">
        <v>77</v>
      </c>
      <c r="J52" s="215" t="s">
        <v>78</v>
      </c>
      <c r="K52" s="217">
        <v>45478</v>
      </c>
      <c r="L52" s="218" t="s">
        <v>252</v>
      </c>
      <c r="M52" s="218" t="s">
        <v>253</v>
      </c>
      <c r="N52" s="215">
        <v>968760858</v>
      </c>
      <c r="O52" s="219">
        <v>15</v>
      </c>
      <c r="P52" s="213" t="s">
        <v>22</v>
      </c>
      <c r="Q52" s="213" t="s">
        <v>77</v>
      </c>
      <c r="R52" s="220"/>
      <c r="S52" s="213" t="s">
        <v>250</v>
      </c>
      <c r="T52" s="221">
        <v>106581051</v>
      </c>
      <c r="U52" s="225" t="s">
        <v>254</v>
      </c>
      <c r="V52" s="223"/>
    </row>
    <row r="53" spans="1:22" s="224" customFormat="1" ht="33" customHeight="1">
      <c r="A53" s="211">
        <v>48</v>
      </c>
      <c r="B53" s="212">
        <v>45432</v>
      </c>
      <c r="C53" s="213" t="s">
        <v>79</v>
      </c>
      <c r="D53" s="213" t="s">
        <v>299</v>
      </c>
      <c r="E53" s="214">
        <v>112580058</v>
      </c>
      <c r="F53" s="213" t="s">
        <v>101</v>
      </c>
      <c r="G53" s="215" t="s">
        <v>301</v>
      </c>
      <c r="H53" s="216" t="s">
        <v>42</v>
      </c>
      <c r="I53" s="213" t="s">
        <v>77</v>
      </c>
      <c r="J53" s="215" t="s">
        <v>78</v>
      </c>
      <c r="K53" s="217">
        <v>45478</v>
      </c>
      <c r="L53" s="218" t="s">
        <v>304</v>
      </c>
      <c r="M53" s="218" t="s">
        <v>305</v>
      </c>
      <c r="N53" s="215">
        <v>984080823</v>
      </c>
      <c r="O53" s="219">
        <v>15</v>
      </c>
      <c r="P53" s="213" t="s">
        <v>22</v>
      </c>
      <c r="Q53" s="213" t="s">
        <v>77</v>
      </c>
      <c r="R53" s="220"/>
      <c r="S53" s="213" t="s">
        <v>299</v>
      </c>
      <c r="T53" s="221">
        <v>105970313</v>
      </c>
      <c r="U53" s="225" t="s">
        <v>306</v>
      </c>
      <c r="V53" s="223"/>
    </row>
    <row r="54" spans="1:22" s="224" customFormat="1" ht="33" customHeight="1">
      <c r="A54" s="211">
        <v>49</v>
      </c>
      <c r="B54" s="212">
        <v>45432</v>
      </c>
      <c r="C54" s="213" t="s">
        <v>79</v>
      </c>
      <c r="D54" s="213" t="s">
        <v>299</v>
      </c>
      <c r="E54" s="214">
        <v>111000051</v>
      </c>
      <c r="F54" s="213" t="s">
        <v>99</v>
      </c>
      <c r="G54" s="215" t="s">
        <v>302</v>
      </c>
      <c r="H54" s="216" t="s">
        <v>42</v>
      </c>
      <c r="I54" s="213" t="s">
        <v>77</v>
      </c>
      <c r="J54" s="215" t="s">
        <v>78</v>
      </c>
      <c r="K54" s="217">
        <v>45478</v>
      </c>
      <c r="L54" s="218" t="s">
        <v>304</v>
      </c>
      <c r="M54" s="218" t="s">
        <v>305</v>
      </c>
      <c r="N54" s="215">
        <v>984080823</v>
      </c>
      <c r="O54" s="219">
        <v>15</v>
      </c>
      <c r="P54" s="213" t="s">
        <v>22</v>
      </c>
      <c r="Q54" s="213" t="s">
        <v>77</v>
      </c>
      <c r="R54" s="220"/>
      <c r="S54" s="213" t="s">
        <v>299</v>
      </c>
      <c r="T54" s="221">
        <v>105970313</v>
      </c>
      <c r="U54" s="225" t="s">
        <v>306</v>
      </c>
      <c r="V54" s="223"/>
    </row>
    <row r="55" spans="1:22" s="224" customFormat="1" ht="33" customHeight="1">
      <c r="A55" s="211">
        <v>50</v>
      </c>
      <c r="B55" s="212">
        <v>45432</v>
      </c>
      <c r="C55" s="213" t="s">
        <v>79</v>
      </c>
      <c r="D55" s="213" t="s">
        <v>299</v>
      </c>
      <c r="E55" s="214">
        <v>40584202</v>
      </c>
      <c r="F55" s="213" t="s">
        <v>300</v>
      </c>
      <c r="G55" s="215" t="s">
        <v>303</v>
      </c>
      <c r="H55" s="216" t="s">
        <v>42</v>
      </c>
      <c r="I55" s="213" t="s">
        <v>77</v>
      </c>
      <c r="J55" s="215" t="s">
        <v>78</v>
      </c>
      <c r="K55" s="217">
        <v>45478</v>
      </c>
      <c r="L55" s="218" t="s">
        <v>304</v>
      </c>
      <c r="M55" s="218" t="s">
        <v>305</v>
      </c>
      <c r="N55" s="215">
        <v>984080823</v>
      </c>
      <c r="O55" s="219">
        <v>15</v>
      </c>
      <c r="P55" s="213" t="s">
        <v>22</v>
      </c>
      <c r="Q55" s="213" t="s">
        <v>77</v>
      </c>
      <c r="R55" s="220"/>
      <c r="S55" s="213" t="s">
        <v>299</v>
      </c>
      <c r="T55" s="221">
        <v>105970313</v>
      </c>
      <c r="U55" s="225" t="s">
        <v>306</v>
      </c>
      <c r="V55" s="223"/>
    </row>
    <row r="56" spans="1:22" s="224" customFormat="1" ht="33" customHeight="1">
      <c r="A56" s="211">
        <v>51</v>
      </c>
      <c r="B56" s="212">
        <v>45472</v>
      </c>
      <c r="C56" s="213" t="s">
        <v>79</v>
      </c>
      <c r="D56" s="213" t="s">
        <v>307</v>
      </c>
      <c r="E56" s="214">
        <v>40212070</v>
      </c>
      <c r="F56" s="213" t="s">
        <v>308</v>
      </c>
      <c r="G56" s="215" t="s">
        <v>310</v>
      </c>
      <c r="H56" s="216" t="s">
        <v>42</v>
      </c>
      <c r="I56" s="213" t="s">
        <v>77</v>
      </c>
      <c r="J56" s="215" t="s">
        <v>78</v>
      </c>
      <c r="K56" s="217">
        <v>45478</v>
      </c>
      <c r="L56" s="218" t="s">
        <v>311</v>
      </c>
      <c r="M56" s="218" t="s">
        <v>312</v>
      </c>
      <c r="N56" s="215">
        <v>999594323</v>
      </c>
      <c r="O56" s="219">
        <v>20</v>
      </c>
      <c r="P56" s="213" t="s">
        <v>22</v>
      </c>
      <c r="Q56" s="213" t="s">
        <v>77</v>
      </c>
      <c r="R56" s="220"/>
      <c r="S56" s="213" t="s">
        <v>307</v>
      </c>
      <c r="T56" s="221">
        <v>102370665</v>
      </c>
      <c r="U56" s="226" t="s">
        <v>313</v>
      </c>
      <c r="V56" s="223"/>
    </row>
    <row r="57" spans="1:22" s="224" customFormat="1" ht="33" customHeight="1">
      <c r="A57" s="211">
        <v>52</v>
      </c>
      <c r="B57" s="212">
        <v>45472</v>
      </c>
      <c r="C57" s="213" t="s">
        <v>79</v>
      </c>
      <c r="D57" s="213" t="s">
        <v>307</v>
      </c>
      <c r="E57" s="214">
        <v>40466111</v>
      </c>
      <c r="F57" s="213" t="s">
        <v>103</v>
      </c>
      <c r="G57" s="215" t="s">
        <v>309</v>
      </c>
      <c r="H57" s="216" t="s">
        <v>42</v>
      </c>
      <c r="I57" s="213" t="s">
        <v>77</v>
      </c>
      <c r="J57" s="215" t="s">
        <v>78</v>
      </c>
      <c r="K57" s="217">
        <v>45478</v>
      </c>
      <c r="L57" s="218" t="s">
        <v>311</v>
      </c>
      <c r="M57" s="218" t="s">
        <v>312</v>
      </c>
      <c r="N57" s="215">
        <v>999594323</v>
      </c>
      <c r="O57" s="219">
        <v>20</v>
      </c>
      <c r="P57" s="213" t="s">
        <v>22</v>
      </c>
      <c r="Q57" s="213" t="s">
        <v>77</v>
      </c>
      <c r="R57" s="220"/>
      <c r="S57" s="213" t="s">
        <v>307</v>
      </c>
      <c r="T57" s="221">
        <v>102370665</v>
      </c>
      <c r="U57" s="226" t="s">
        <v>313</v>
      </c>
      <c r="V57" s="223"/>
    </row>
    <row r="58" spans="1:22" s="224" customFormat="1" ht="33" customHeight="1">
      <c r="A58" s="211">
        <v>53</v>
      </c>
      <c r="B58" s="212">
        <v>45464</v>
      </c>
      <c r="C58" s="213" t="s">
        <v>314</v>
      </c>
      <c r="D58" s="213" t="s">
        <v>315</v>
      </c>
      <c r="E58" s="214">
        <v>112570124</v>
      </c>
      <c r="F58" s="213" t="s">
        <v>316</v>
      </c>
      <c r="G58" s="215" t="s">
        <v>317</v>
      </c>
      <c r="H58" s="216" t="s">
        <v>42</v>
      </c>
      <c r="I58" s="213" t="s">
        <v>77</v>
      </c>
      <c r="J58" s="215" t="s">
        <v>78</v>
      </c>
      <c r="K58" s="217">
        <v>45482</v>
      </c>
      <c r="L58" s="218" t="s">
        <v>320</v>
      </c>
      <c r="M58" s="218" t="s">
        <v>321</v>
      </c>
      <c r="N58" s="215">
        <v>983846427</v>
      </c>
      <c r="O58" s="219">
        <v>20</v>
      </c>
      <c r="P58" s="213" t="s">
        <v>22</v>
      </c>
      <c r="Q58" s="213" t="s">
        <v>77</v>
      </c>
      <c r="R58" s="220"/>
      <c r="S58" s="213" t="s">
        <v>315</v>
      </c>
      <c r="T58" s="221">
        <v>104167192</v>
      </c>
      <c r="U58" s="222" t="s">
        <v>322</v>
      </c>
      <c r="V58" s="223"/>
    </row>
    <row r="59" spans="1:22" s="224" customFormat="1" ht="33" customHeight="1">
      <c r="A59" s="211">
        <v>54</v>
      </c>
      <c r="B59" s="212">
        <v>45464</v>
      </c>
      <c r="C59" s="213" t="s">
        <v>94</v>
      </c>
      <c r="D59" s="213" t="s">
        <v>318</v>
      </c>
      <c r="E59" s="214">
        <v>40467305</v>
      </c>
      <c r="F59" s="213" t="s">
        <v>122</v>
      </c>
      <c r="G59" s="215" t="s">
        <v>319</v>
      </c>
      <c r="H59" s="216" t="s">
        <v>42</v>
      </c>
      <c r="I59" s="213" t="s">
        <v>77</v>
      </c>
      <c r="J59" s="215" t="s">
        <v>78</v>
      </c>
      <c r="K59" s="217">
        <v>45482</v>
      </c>
      <c r="L59" s="218" t="s">
        <v>320</v>
      </c>
      <c r="M59" s="218" t="s">
        <v>321</v>
      </c>
      <c r="N59" s="215">
        <v>983846427</v>
      </c>
      <c r="O59" s="219">
        <v>20</v>
      </c>
      <c r="P59" s="213" t="s">
        <v>22</v>
      </c>
      <c r="Q59" s="213" t="s">
        <v>77</v>
      </c>
      <c r="R59" s="220"/>
      <c r="S59" s="213" t="s">
        <v>318</v>
      </c>
      <c r="T59" s="221">
        <v>104167192</v>
      </c>
      <c r="U59" s="222" t="s">
        <v>322</v>
      </c>
      <c r="V59" s="223"/>
    </row>
    <row r="60" spans="1:22" s="224" customFormat="1" ht="33" customHeight="1">
      <c r="A60" s="211">
        <v>55</v>
      </c>
      <c r="B60" s="212">
        <v>45474</v>
      </c>
      <c r="C60" s="213" t="s">
        <v>79</v>
      </c>
      <c r="D60" s="213" t="s">
        <v>323</v>
      </c>
      <c r="E60" s="214">
        <v>40467305</v>
      </c>
      <c r="F60" s="213" t="s">
        <v>122</v>
      </c>
      <c r="G60" s="215" t="s">
        <v>326</v>
      </c>
      <c r="H60" s="216">
        <v>422684</v>
      </c>
      <c r="I60" s="213" t="s">
        <v>77</v>
      </c>
      <c r="J60" s="215" t="s">
        <v>78</v>
      </c>
      <c r="K60" s="217">
        <v>45482</v>
      </c>
      <c r="L60" s="218" t="s">
        <v>328</v>
      </c>
      <c r="M60" s="218" t="s">
        <v>329</v>
      </c>
      <c r="N60" s="215">
        <v>996344403</v>
      </c>
      <c r="O60" s="219">
        <v>20</v>
      </c>
      <c r="P60" s="213" t="s">
        <v>22</v>
      </c>
      <c r="Q60" s="213" t="s">
        <v>77</v>
      </c>
      <c r="R60" s="220"/>
      <c r="S60" s="213" t="s">
        <v>323</v>
      </c>
      <c r="T60" s="221">
        <v>151747933</v>
      </c>
      <c r="U60" s="222" t="s">
        <v>330</v>
      </c>
      <c r="V60" s="223"/>
    </row>
    <row r="61" spans="1:22" s="224" customFormat="1" ht="33" customHeight="1">
      <c r="A61" s="211">
        <v>56</v>
      </c>
      <c r="B61" s="212">
        <v>45478</v>
      </c>
      <c r="C61" s="213" t="s">
        <v>79</v>
      </c>
      <c r="D61" s="213" t="s">
        <v>324</v>
      </c>
      <c r="E61" s="214">
        <v>111030002</v>
      </c>
      <c r="F61" s="213" t="s">
        <v>325</v>
      </c>
      <c r="G61" s="215" t="s">
        <v>327</v>
      </c>
      <c r="H61" s="216" t="s">
        <v>42</v>
      </c>
      <c r="I61" s="213" t="s">
        <v>77</v>
      </c>
      <c r="J61" s="215" t="s">
        <v>78</v>
      </c>
      <c r="K61" s="217">
        <v>45482</v>
      </c>
      <c r="L61" s="218" t="s">
        <v>328</v>
      </c>
      <c r="M61" s="218" t="s">
        <v>329</v>
      </c>
      <c r="N61" s="215">
        <v>996344403</v>
      </c>
      <c r="O61" s="219">
        <v>20</v>
      </c>
      <c r="P61" s="213" t="s">
        <v>22</v>
      </c>
      <c r="Q61" s="213" t="s">
        <v>77</v>
      </c>
      <c r="R61" s="220"/>
      <c r="S61" s="213" t="s">
        <v>324</v>
      </c>
      <c r="T61" s="221">
        <v>151747933</v>
      </c>
      <c r="U61" s="222" t="s">
        <v>330</v>
      </c>
      <c r="V61" s="223"/>
    </row>
    <row r="62" spans="1:22" s="224" customFormat="1" ht="33" customHeight="1">
      <c r="A62" s="211">
        <v>57</v>
      </c>
      <c r="B62" s="212">
        <v>45244</v>
      </c>
      <c r="C62" s="213" t="s">
        <v>331</v>
      </c>
      <c r="D62" s="213" t="s">
        <v>332</v>
      </c>
      <c r="E62" s="214">
        <v>40584305</v>
      </c>
      <c r="F62" s="213" t="s">
        <v>95</v>
      </c>
      <c r="G62" s="215" t="s">
        <v>333</v>
      </c>
      <c r="H62" s="216" t="s">
        <v>42</v>
      </c>
      <c r="I62" s="213" t="s">
        <v>77</v>
      </c>
      <c r="J62" s="215" t="s">
        <v>78</v>
      </c>
      <c r="K62" s="217">
        <v>45482</v>
      </c>
      <c r="L62" s="218" t="s">
        <v>334</v>
      </c>
      <c r="M62" s="218" t="s">
        <v>335</v>
      </c>
      <c r="N62" s="215">
        <v>984883686</v>
      </c>
      <c r="O62" s="219">
        <v>15</v>
      </c>
      <c r="P62" s="213" t="s">
        <v>22</v>
      </c>
      <c r="Q62" s="213" t="s">
        <v>77</v>
      </c>
      <c r="R62" s="220"/>
      <c r="S62" s="213"/>
      <c r="T62" s="221">
        <v>104427885</v>
      </c>
      <c r="U62" s="222" t="s">
        <v>336</v>
      </c>
      <c r="V62" s="223"/>
    </row>
    <row r="63" spans="1:22" s="224" customFormat="1" ht="33" customHeight="1">
      <c r="A63" s="211">
        <v>58</v>
      </c>
      <c r="B63" s="212">
        <v>45244</v>
      </c>
      <c r="C63" s="213" t="s">
        <v>331</v>
      </c>
      <c r="D63" s="213" t="s">
        <v>332</v>
      </c>
      <c r="E63" s="214">
        <v>41560074</v>
      </c>
      <c r="F63" s="213" t="s">
        <v>337</v>
      </c>
      <c r="G63" s="215" t="s">
        <v>339</v>
      </c>
      <c r="H63" s="216" t="s">
        <v>42</v>
      </c>
      <c r="I63" s="213" t="s">
        <v>77</v>
      </c>
      <c r="J63" s="215" t="s">
        <v>78</v>
      </c>
      <c r="K63" s="217">
        <v>45482</v>
      </c>
      <c r="L63" s="218" t="s">
        <v>334</v>
      </c>
      <c r="M63" s="218" t="s">
        <v>335</v>
      </c>
      <c r="N63" s="215">
        <v>984883686</v>
      </c>
      <c r="O63" s="219">
        <v>15</v>
      </c>
      <c r="P63" s="213" t="s">
        <v>22</v>
      </c>
      <c r="Q63" s="213" t="s">
        <v>77</v>
      </c>
      <c r="R63" s="220"/>
      <c r="S63" s="213"/>
      <c r="T63" s="221">
        <v>104427885</v>
      </c>
      <c r="U63" s="222" t="s">
        <v>336</v>
      </c>
      <c r="V63" s="223"/>
    </row>
    <row r="64" spans="1:22" s="224" customFormat="1" ht="33" customHeight="1">
      <c r="A64" s="211">
        <v>59</v>
      </c>
      <c r="B64" s="212">
        <v>45244</v>
      </c>
      <c r="C64" s="213" t="s">
        <v>331</v>
      </c>
      <c r="D64" s="213" t="s">
        <v>332</v>
      </c>
      <c r="E64" s="214">
        <v>112730000</v>
      </c>
      <c r="F64" s="213" t="s">
        <v>338</v>
      </c>
      <c r="G64" s="215" t="s">
        <v>340</v>
      </c>
      <c r="H64" s="216" t="s">
        <v>42</v>
      </c>
      <c r="I64" s="213" t="s">
        <v>77</v>
      </c>
      <c r="J64" s="215" t="s">
        <v>78</v>
      </c>
      <c r="K64" s="217">
        <v>45482</v>
      </c>
      <c r="L64" s="218" t="s">
        <v>334</v>
      </c>
      <c r="M64" s="218" t="s">
        <v>335</v>
      </c>
      <c r="N64" s="215">
        <v>984883686</v>
      </c>
      <c r="O64" s="219">
        <v>15</v>
      </c>
      <c r="P64" s="213" t="s">
        <v>22</v>
      </c>
      <c r="Q64" s="213" t="s">
        <v>77</v>
      </c>
      <c r="R64" s="220"/>
      <c r="S64" s="213"/>
      <c r="T64" s="221">
        <v>104427885</v>
      </c>
      <c r="U64" s="222" t="s">
        <v>336</v>
      </c>
      <c r="V64" s="223"/>
    </row>
    <row r="65" spans="1:22" s="224" customFormat="1" ht="33" customHeight="1">
      <c r="A65" s="211">
        <v>60</v>
      </c>
      <c r="B65" s="212">
        <v>45244</v>
      </c>
      <c r="C65" s="213" t="s">
        <v>331</v>
      </c>
      <c r="D65" s="213" t="s">
        <v>332</v>
      </c>
      <c r="E65" s="214">
        <v>113430015</v>
      </c>
      <c r="F65" s="213" t="s">
        <v>96</v>
      </c>
      <c r="G65" s="215" t="s">
        <v>341</v>
      </c>
      <c r="H65" s="216" t="s">
        <v>42</v>
      </c>
      <c r="I65" s="213" t="s">
        <v>77</v>
      </c>
      <c r="J65" s="215" t="s">
        <v>78</v>
      </c>
      <c r="K65" s="217">
        <v>45482</v>
      </c>
      <c r="L65" s="218" t="s">
        <v>334</v>
      </c>
      <c r="M65" s="218" t="s">
        <v>335</v>
      </c>
      <c r="N65" s="215">
        <v>984883686</v>
      </c>
      <c r="O65" s="219">
        <v>15</v>
      </c>
      <c r="P65" s="213" t="s">
        <v>22</v>
      </c>
      <c r="Q65" s="213" t="s">
        <v>77</v>
      </c>
      <c r="R65" s="220"/>
      <c r="S65" s="213"/>
      <c r="T65" s="221">
        <v>104427885</v>
      </c>
      <c r="U65" s="222" t="s">
        <v>336</v>
      </c>
      <c r="V65" s="223"/>
    </row>
    <row r="66" spans="1:22" s="224" customFormat="1" ht="33" customHeight="1">
      <c r="A66" s="211">
        <v>61</v>
      </c>
      <c r="B66" s="212">
        <v>45449</v>
      </c>
      <c r="C66" s="213" t="s">
        <v>94</v>
      </c>
      <c r="D66" s="213" t="s">
        <v>539</v>
      </c>
      <c r="E66" s="214">
        <v>41596006</v>
      </c>
      <c r="F66" s="213" t="s">
        <v>541</v>
      </c>
      <c r="G66" s="215" t="s">
        <v>543</v>
      </c>
      <c r="H66" s="216" t="s">
        <v>42</v>
      </c>
      <c r="I66" s="213" t="s">
        <v>77</v>
      </c>
      <c r="J66" s="215" t="s">
        <v>78</v>
      </c>
      <c r="K66" s="217">
        <v>45484</v>
      </c>
      <c r="L66" s="218" t="s">
        <v>544</v>
      </c>
      <c r="M66" s="218" t="s">
        <v>545</v>
      </c>
      <c r="N66" s="215">
        <v>981383628</v>
      </c>
      <c r="O66" s="219">
        <v>20</v>
      </c>
      <c r="P66" s="213" t="s">
        <v>22</v>
      </c>
      <c r="Q66" s="213" t="s">
        <v>77</v>
      </c>
      <c r="R66" s="220"/>
      <c r="S66" s="213" t="s">
        <v>539</v>
      </c>
      <c r="T66" s="221">
        <v>102726650</v>
      </c>
      <c r="U66" s="222" t="s">
        <v>546</v>
      </c>
      <c r="V66" s="223"/>
    </row>
    <row r="67" spans="1:22" s="224" customFormat="1" ht="33" customHeight="1">
      <c r="A67" s="211">
        <v>62</v>
      </c>
      <c r="B67" s="212">
        <v>45448</v>
      </c>
      <c r="C67" s="213" t="s">
        <v>94</v>
      </c>
      <c r="D67" s="213" t="s">
        <v>540</v>
      </c>
      <c r="E67" s="214">
        <v>112580058</v>
      </c>
      <c r="F67" s="213" t="s">
        <v>101</v>
      </c>
      <c r="G67" s="215" t="s">
        <v>542</v>
      </c>
      <c r="H67" s="216" t="s">
        <v>42</v>
      </c>
      <c r="I67" s="213" t="s">
        <v>77</v>
      </c>
      <c r="J67" s="215" t="s">
        <v>78</v>
      </c>
      <c r="K67" s="217">
        <v>45484</v>
      </c>
      <c r="L67" s="218" t="s">
        <v>544</v>
      </c>
      <c r="M67" s="218" t="s">
        <v>545</v>
      </c>
      <c r="N67" s="215">
        <v>981383628</v>
      </c>
      <c r="O67" s="219">
        <v>20</v>
      </c>
      <c r="P67" s="213" t="s">
        <v>22</v>
      </c>
      <c r="Q67" s="213" t="s">
        <v>77</v>
      </c>
      <c r="R67" s="220"/>
      <c r="S67" s="213" t="s">
        <v>540</v>
      </c>
      <c r="T67" s="221">
        <v>102726650</v>
      </c>
      <c r="U67" s="222" t="s">
        <v>546</v>
      </c>
      <c r="V67" s="223"/>
    </row>
    <row r="68" spans="1:22" s="224" customFormat="1" ht="33" customHeight="1">
      <c r="A68" s="211">
        <v>63</v>
      </c>
      <c r="B68" s="212">
        <v>45479</v>
      </c>
      <c r="C68" s="213" t="s">
        <v>79</v>
      </c>
      <c r="D68" s="213" t="s">
        <v>510</v>
      </c>
      <c r="E68" s="214">
        <v>112580017</v>
      </c>
      <c r="F68" s="213" t="s">
        <v>124</v>
      </c>
      <c r="G68" s="215" t="s">
        <v>512</v>
      </c>
      <c r="H68" s="216" t="s">
        <v>42</v>
      </c>
      <c r="I68" s="213" t="s">
        <v>77</v>
      </c>
      <c r="J68" s="215" t="s">
        <v>78</v>
      </c>
      <c r="K68" s="217">
        <v>45485</v>
      </c>
      <c r="L68" s="218" t="s">
        <v>514</v>
      </c>
      <c r="M68" s="218" t="s">
        <v>515</v>
      </c>
      <c r="N68" s="215">
        <v>995403989</v>
      </c>
      <c r="O68" s="219">
        <v>20</v>
      </c>
      <c r="P68" s="213" t="s">
        <v>22</v>
      </c>
      <c r="Q68" s="213" t="s">
        <v>77</v>
      </c>
      <c r="R68" s="220"/>
      <c r="S68" s="213" t="s">
        <v>510</v>
      </c>
      <c r="T68" s="221">
        <v>103032058</v>
      </c>
      <c r="U68" s="222" t="s">
        <v>516</v>
      </c>
      <c r="V68" s="223"/>
    </row>
    <row r="69" spans="1:22" s="224" customFormat="1" ht="33" customHeight="1">
      <c r="A69" s="211">
        <v>64</v>
      </c>
      <c r="B69" s="212">
        <v>45479</v>
      </c>
      <c r="C69" s="213" t="s">
        <v>79</v>
      </c>
      <c r="D69" s="213" t="s">
        <v>510</v>
      </c>
      <c r="E69" s="214">
        <v>404615007</v>
      </c>
      <c r="F69" s="213" t="s">
        <v>511</v>
      </c>
      <c r="G69" s="215" t="s">
        <v>513</v>
      </c>
      <c r="H69" s="216" t="s">
        <v>42</v>
      </c>
      <c r="I69" s="213" t="s">
        <v>77</v>
      </c>
      <c r="J69" s="215" t="s">
        <v>78</v>
      </c>
      <c r="K69" s="217">
        <v>45485</v>
      </c>
      <c r="L69" s="218" t="s">
        <v>514</v>
      </c>
      <c r="M69" s="218" t="s">
        <v>515</v>
      </c>
      <c r="N69" s="215">
        <v>995403989</v>
      </c>
      <c r="O69" s="219">
        <v>20</v>
      </c>
      <c r="P69" s="213" t="s">
        <v>22</v>
      </c>
      <c r="Q69" s="213" t="s">
        <v>77</v>
      </c>
      <c r="R69" s="220"/>
      <c r="S69" s="213" t="s">
        <v>510</v>
      </c>
      <c r="T69" s="221">
        <v>103032058</v>
      </c>
      <c r="U69" s="222" t="s">
        <v>516</v>
      </c>
      <c r="V69" s="223"/>
    </row>
    <row r="70" spans="1:22" s="224" customFormat="1" ht="33" customHeight="1">
      <c r="A70" s="211">
        <v>65</v>
      </c>
      <c r="B70" s="212">
        <v>45304</v>
      </c>
      <c r="C70" s="213" t="s">
        <v>92</v>
      </c>
      <c r="D70" s="213" t="s">
        <v>550</v>
      </c>
      <c r="E70" s="214">
        <v>112500048</v>
      </c>
      <c r="F70" s="213" t="s">
        <v>548</v>
      </c>
      <c r="G70" s="215" t="s">
        <v>549</v>
      </c>
      <c r="H70" s="216">
        <v>409502</v>
      </c>
      <c r="I70" s="213" t="s">
        <v>77</v>
      </c>
      <c r="J70" s="215" t="s">
        <v>78</v>
      </c>
      <c r="K70" s="217">
        <v>45485</v>
      </c>
      <c r="L70" s="218" t="s">
        <v>553</v>
      </c>
      <c r="M70" s="218" t="s">
        <v>554</v>
      </c>
      <c r="N70" s="215">
        <v>990543737</v>
      </c>
      <c r="O70" s="219">
        <v>15</v>
      </c>
      <c r="P70" s="213" t="s">
        <v>22</v>
      </c>
      <c r="Q70" s="213" t="s">
        <v>77</v>
      </c>
      <c r="R70" s="220"/>
      <c r="S70" s="213" t="s">
        <v>550</v>
      </c>
      <c r="T70" s="221">
        <v>104729447</v>
      </c>
      <c r="U70" s="222" t="s">
        <v>555</v>
      </c>
      <c r="V70" s="223"/>
    </row>
    <row r="71" spans="1:22" s="224" customFormat="1" ht="33" customHeight="1">
      <c r="A71" s="211">
        <v>66</v>
      </c>
      <c r="B71" s="212">
        <v>45479</v>
      </c>
      <c r="C71" s="213" t="s">
        <v>116</v>
      </c>
      <c r="D71" s="213" t="s">
        <v>547</v>
      </c>
      <c r="E71" s="214">
        <v>40584305</v>
      </c>
      <c r="F71" s="213" t="s">
        <v>95</v>
      </c>
      <c r="G71" s="215" t="s">
        <v>551</v>
      </c>
      <c r="H71" s="216">
        <v>422511</v>
      </c>
      <c r="I71" s="213" t="s">
        <v>77</v>
      </c>
      <c r="J71" s="215" t="s">
        <v>78</v>
      </c>
      <c r="K71" s="217">
        <v>45485</v>
      </c>
      <c r="L71" s="218" t="s">
        <v>553</v>
      </c>
      <c r="M71" s="218" t="s">
        <v>554</v>
      </c>
      <c r="N71" s="215">
        <v>990543737</v>
      </c>
      <c r="O71" s="219">
        <v>15</v>
      </c>
      <c r="P71" s="213" t="s">
        <v>22</v>
      </c>
      <c r="Q71" s="213" t="s">
        <v>77</v>
      </c>
      <c r="R71" s="220"/>
      <c r="S71" s="213" t="s">
        <v>547</v>
      </c>
      <c r="T71" s="221">
        <v>104729447</v>
      </c>
      <c r="U71" s="222" t="s">
        <v>555</v>
      </c>
      <c r="V71" s="223"/>
    </row>
    <row r="72" spans="1:22" s="224" customFormat="1" ht="33" customHeight="1">
      <c r="A72" s="211">
        <v>67</v>
      </c>
      <c r="B72" s="212">
        <v>45479</v>
      </c>
      <c r="C72" s="213" t="s">
        <v>116</v>
      </c>
      <c r="D72" s="213" t="s">
        <v>547</v>
      </c>
      <c r="E72" s="214">
        <v>111000051</v>
      </c>
      <c r="F72" s="213" t="s">
        <v>99</v>
      </c>
      <c r="G72" s="215" t="s">
        <v>552</v>
      </c>
      <c r="H72" s="216" t="s">
        <v>42</v>
      </c>
      <c r="I72" s="213" t="s">
        <v>77</v>
      </c>
      <c r="J72" s="215" t="s">
        <v>78</v>
      </c>
      <c r="K72" s="217">
        <v>45485</v>
      </c>
      <c r="L72" s="218" t="s">
        <v>553</v>
      </c>
      <c r="M72" s="218" t="s">
        <v>554</v>
      </c>
      <c r="N72" s="215">
        <v>990543737</v>
      </c>
      <c r="O72" s="219">
        <v>15</v>
      </c>
      <c r="P72" s="213" t="s">
        <v>22</v>
      </c>
      <c r="Q72" s="213" t="s">
        <v>77</v>
      </c>
      <c r="R72" s="220"/>
      <c r="S72" s="213" t="s">
        <v>547</v>
      </c>
      <c r="T72" s="221">
        <v>104729447</v>
      </c>
      <c r="U72" s="222" t="s">
        <v>555</v>
      </c>
      <c r="V72" s="223"/>
    </row>
    <row r="73" spans="1:22" s="224" customFormat="1" ht="33" customHeight="1">
      <c r="A73" s="211">
        <v>68</v>
      </c>
      <c r="B73" s="212">
        <v>45309</v>
      </c>
      <c r="C73" s="213" t="s">
        <v>92</v>
      </c>
      <c r="D73" s="213" t="s">
        <v>556</v>
      </c>
      <c r="E73" s="214">
        <v>41598031</v>
      </c>
      <c r="F73" s="213" t="s">
        <v>557</v>
      </c>
      <c r="G73" s="215">
        <v>218600478</v>
      </c>
      <c r="H73" s="216" t="s">
        <v>42</v>
      </c>
      <c r="I73" s="213" t="s">
        <v>77</v>
      </c>
      <c r="J73" s="215" t="s">
        <v>78</v>
      </c>
      <c r="K73" s="217">
        <v>45485</v>
      </c>
      <c r="L73" s="218" t="s">
        <v>553</v>
      </c>
      <c r="M73" s="218" t="s">
        <v>554</v>
      </c>
      <c r="N73" s="215">
        <v>990543737</v>
      </c>
      <c r="O73" s="219">
        <v>15</v>
      </c>
      <c r="P73" s="213" t="s">
        <v>22</v>
      </c>
      <c r="Q73" s="213" t="s">
        <v>77</v>
      </c>
      <c r="R73" s="220"/>
      <c r="S73" s="213" t="s">
        <v>556</v>
      </c>
      <c r="T73" s="221">
        <v>104729447</v>
      </c>
      <c r="U73" s="222" t="s">
        <v>555</v>
      </c>
      <c r="V73" s="223"/>
    </row>
    <row r="74" spans="1:22" s="224" customFormat="1" ht="33" customHeight="1">
      <c r="A74" s="211">
        <v>69</v>
      </c>
      <c r="B74" s="212">
        <v>45443</v>
      </c>
      <c r="C74" s="213" t="s">
        <v>331</v>
      </c>
      <c r="D74" s="213" t="s">
        <v>558</v>
      </c>
      <c r="E74" s="214">
        <v>12570068</v>
      </c>
      <c r="F74" s="213" t="s">
        <v>559</v>
      </c>
      <c r="G74" s="215" t="s">
        <v>560</v>
      </c>
      <c r="H74" s="216" t="s">
        <v>42</v>
      </c>
      <c r="I74" s="213" t="s">
        <v>77</v>
      </c>
      <c r="J74" s="215" t="s">
        <v>78</v>
      </c>
      <c r="K74" s="217">
        <v>45485</v>
      </c>
      <c r="L74" s="218" t="s">
        <v>561</v>
      </c>
      <c r="M74" s="218" t="s">
        <v>150</v>
      </c>
      <c r="N74" s="215">
        <v>999673398</v>
      </c>
      <c r="O74" s="219">
        <v>15</v>
      </c>
      <c r="P74" s="213" t="s">
        <v>22</v>
      </c>
      <c r="Q74" s="213" t="s">
        <v>77</v>
      </c>
      <c r="R74" s="220"/>
      <c r="S74" s="213" t="s">
        <v>558</v>
      </c>
      <c r="T74" s="221">
        <v>104468012</v>
      </c>
      <c r="U74" s="222" t="s">
        <v>562</v>
      </c>
      <c r="V74" s="223"/>
    </row>
    <row r="75" spans="1:22" s="224" customFormat="1" ht="33" customHeight="1">
      <c r="A75" s="211">
        <v>70</v>
      </c>
      <c r="B75" s="212">
        <v>45443</v>
      </c>
      <c r="C75" s="213" t="s">
        <v>331</v>
      </c>
      <c r="D75" s="213" t="s">
        <v>558</v>
      </c>
      <c r="E75" s="214">
        <v>111000051</v>
      </c>
      <c r="F75" s="213" t="s">
        <v>99</v>
      </c>
      <c r="G75" s="215" t="s">
        <v>563</v>
      </c>
      <c r="H75" s="216" t="s">
        <v>42</v>
      </c>
      <c r="I75" s="213" t="s">
        <v>77</v>
      </c>
      <c r="J75" s="215" t="s">
        <v>78</v>
      </c>
      <c r="K75" s="217">
        <v>45485</v>
      </c>
      <c r="L75" s="218" t="s">
        <v>561</v>
      </c>
      <c r="M75" s="218" t="s">
        <v>150</v>
      </c>
      <c r="N75" s="215">
        <v>999673398</v>
      </c>
      <c r="O75" s="219">
        <v>15</v>
      </c>
      <c r="P75" s="213" t="s">
        <v>22</v>
      </c>
      <c r="Q75" s="213" t="s">
        <v>77</v>
      </c>
      <c r="R75" s="220"/>
      <c r="S75" s="213" t="s">
        <v>558</v>
      </c>
      <c r="T75" s="221">
        <v>104468012</v>
      </c>
      <c r="U75" s="222" t="s">
        <v>562</v>
      </c>
      <c r="V75" s="223"/>
    </row>
    <row r="76" spans="1:22" s="224" customFormat="1" ht="33" customHeight="1">
      <c r="A76" s="211">
        <v>71</v>
      </c>
      <c r="B76" s="212">
        <v>45434</v>
      </c>
      <c r="C76" s="213" t="s">
        <v>116</v>
      </c>
      <c r="D76" s="213" t="s">
        <v>565</v>
      </c>
      <c r="E76" s="214">
        <v>40446712</v>
      </c>
      <c r="F76" s="213" t="s">
        <v>207</v>
      </c>
      <c r="G76" s="215" t="s">
        <v>564</v>
      </c>
      <c r="H76" s="216" t="s">
        <v>42</v>
      </c>
      <c r="I76" s="213" t="s">
        <v>77</v>
      </c>
      <c r="J76" s="215" t="s">
        <v>78</v>
      </c>
      <c r="K76" s="217">
        <v>45485</v>
      </c>
      <c r="L76" s="218" t="s">
        <v>561</v>
      </c>
      <c r="M76" s="218" t="s">
        <v>150</v>
      </c>
      <c r="N76" s="215">
        <v>999673398</v>
      </c>
      <c r="O76" s="219">
        <v>15</v>
      </c>
      <c r="P76" s="213" t="s">
        <v>22</v>
      </c>
      <c r="Q76" s="213" t="s">
        <v>77</v>
      </c>
      <c r="R76" s="220"/>
      <c r="S76" s="213" t="s">
        <v>565</v>
      </c>
      <c r="T76" s="221">
        <v>104468012</v>
      </c>
      <c r="U76" s="222" t="s">
        <v>562</v>
      </c>
      <c r="V76" s="223"/>
    </row>
    <row r="77" spans="1:22" s="224" customFormat="1" ht="33" customHeight="1">
      <c r="A77" s="211">
        <v>72</v>
      </c>
      <c r="B77" s="212">
        <v>45434</v>
      </c>
      <c r="C77" s="213" t="s">
        <v>116</v>
      </c>
      <c r="D77" s="213" t="s">
        <v>565</v>
      </c>
      <c r="E77" s="214">
        <v>40584202</v>
      </c>
      <c r="F77" s="213" t="s">
        <v>300</v>
      </c>
      <c r="G77" s="215" t="s">
        <v>567</v>
      </c>
      <c r="H77" s="216" t="s">
        <v>42</v>
      </c>
      <c r="I77" s="213" t="s">
        <v>77</v>
      </c>
      <c r="J77" s="215" t="s">
        <v>78</v>
      </c>
      <c r="K77" s="217">
        <v>45485</v>
      </c>
      <c r="L77" s="218" t="s">
        <v>561</v>
      </c>
      <c r="M77" s="218" t="s">
        <v>150</v>
      </c>
      <c r="N77" s="215">
        <v>999673398</v>
      </c>
      <c r="O77" s="219">
        <v>15</v>
      </c>
      <c r="P77" s="213" t="s">
        <v>22</v>
      </c>
      <c r="Q77" s="213" t="s">
        <v>77</v>
      </c>
      <c r="R77" s="220"/>
      <c r="S77" s="213" t="s">
        <v>565</v>
      </c>
      <c r="T77" s="221">
        <v>104468012</v>
      </c>
      <c r="U77" s="222" t="s">
        <v>562</v>
      </c>
      <c r="V77" s="223"/>
    </row>
    <row r="78" spans="1:22" s="224" customFormat="1" ht="33" customHeight="1">
      <c r="A78" s="211">
        <v>73</v>
      </c>
      <c r="B78" s="212">
        <v>45177</v>
      </c>
      <c r="C78" s="213" t="s">
        <v>116</v>
      </c>
      <c r="D78" s="213" t="s">
        <v>566</v>
      </c>
      <c r="E78" s="214">
        <v>40584305</v>
      </c>
      <c r="F78" s="213" t="s">
        <v>95</v>
      </c>
      <c r="G78" s="215" t="s">
        <v>568</v>
      </c>
      <c r="H78" s="216">
        <v>395074</v>
      </c>
      <c r="I78" s="213" t="s">
        <v>77</v>
      </c>
      <c r="J78" s="215" t="s">
        <v>78</v>
      </c>
      <c r="K78" s="217">
        <v>45485</v>
      </c>
      <c r="L78" s="218" t="s">
        <v>573</v>
      </c>
      <c r="M78" s="218" t="s">
        <v>574</v>
      </c>
      <c r="N78" s="215">
        <v>992598515</v>
      </c>
      <c r="O78" s="219">
        <v>15</v>
      </c>
      <c r="P78" s="213" t="s">
        <v>22</v>
      </c>
      <c r="Q78" s="213" t="s">
        <v>77</v>
      </c>
      <c r="R78" s="220"/>
      <c r="S78" s="213" t="s">
        <v>566</v>
      </c>
      <c r="T78" s="221">
        <v>104976329</v>
      </c>
      <c r="U78" s="222" t="s">
        <v>575</v>
      </c>
      <c r="V78" s="223"/>
    </row>
    <row r="79" spans="1:22" s="224" customFormat="1" ht="33" customHeight="1">
      <c r="A79" s="211">
        <v>74</v>
      </c>
      <c r="B79" s="212">
        <v>45177</v>
      </c>
      <c r="C79" s="213" t="s">
        <v>116</v>
      </c>
      <c r="D79" s="213" t="s">
        <v>566</v>
      </c>
      <c r="E79" s="214">
        <v>41592306</v>
      </c>
      <c r="F79" s="213" t="s">
        <v>569</v>
      </c>
      <c r="G79" s="215" t="s">
        <v>570</v>
      </c>
      <c r="H79" s="216">
        <v>397217</v>
      </c>
      <c r="I79" s="213" t="s">
        <v>77</v>
      </c>
      <c r="J79" s="215" t="s">
        <v>78</v>
      </c>
      <c r="K79" s="217">
        <v>45485</v>
      </c>
      <c r="L79" s="218" t="s">
        <v>573</v>
      </c>
      <c r="M79" s="218" t="s">
        <v>574</v>
      </c>
      <c r="N79" s="215">
        <v>992598515</v>
      </c>
      <c r="O79" s="219">
        <v>15</v>
      </c>
      <c r="P79" s="213" t="s">
        <v>22</v>
      </c>
      <c r="Q79" s="213" t="s">
        <v>77</v>
      </c>
      <c r="R79" s="220"/>
      <c r="S79" s="213" t="s">
        <v>566</v>
      </c>
      <c r="T79" s="221">
        <v>104976329</v>
      </c>
      <c r="U79" s="222" t="s">
        <v>575</v>
      </c>
      <c r="V79" s="223"/>
    </row>
    <row r="80" spans="1:22" s="224" customFormat="1" ht="33" customHeight="1">
      <c r="A80" s="211">
        <v>75</v>
      </c>
      <c r="B80" s="212">
        <v>41831</v>
      </c>
      <c r="C80" s="213" t="s">
        <v>94</v>
      </c>
      <c r="D80" s="213" t="s">
        <v>571</v>
      </c>
      <c r="E80" s="214">
        <v>41598031</v>
      </c>
      <c r="F80" s="213" t="s">
        <v>557</v>
      </c>
      <c r="G80" s="215" t="s">
        <v>572</v>
      </c>
      <c r="H80" s="216">
        <v>407587</v>
      </c>
      <c r="I80" s="213" t="s">
        <v>77</v>
      </c>
      <c r="J80" s="215" t="s">
        <v>78</v>
      </c>
      <c r="K80" s="217">
        <v>45485</v>
      </c>
      <c r="L80" s="218" t="s">
        <v>573</v>
      </c>
      <c r="M80" s="218" t="s">
        <v>574</v>
      </c>
      <c r="N80" s="215">
        <v>992598515</v>
      </c>
      <c r="O80" s="219">
        <v>15</v>
      </c>
      <c r="P80" s="213" t="s">
        <v>22</v>
      </c>
      <c r="Q80" s="213" t="s">
        <v>77</v>
      </c>
      <c r="R80" s="220"/>
      <c r="S80" s="213" t="s">
        <v>571</v>
      </c>
      <c r="T80" s="221">
        <v>104976329</v>
      </c>
      <c r="U80" s="222" t="s">
        <v>575</v>
      </c>
      <c r="V80" s="223"/>
    </row>
    <row r="81" spans="1:22" s="224" customFormat="1" ht="33" customHeight="1">
      <c r="A81" s="211">
        <v>76</v>
      </c>
      <c r="B81" s="212">
        <v>45763</v>
      </c>
      <c r="C81" s="213" t="s">
        <v>116</v>
      </c>
      <c r="D81" s="213" t="s">
        <v>576</v>
      </c>
      <c r="E81" s="214">
        <v>112500047</v>
      </c>
      <c r="F81" s="213" t="s">
        <v>577</v>
      </c>
      <c r="G81" s="215" t="s">
        <v>578</v>
      </c>
      <c r="H81" s="216">
        <v>397217</v>
      </c>
      <c r="I81" s="213" t="s">
        <v>77</v>
      </c>
      <c r="J81" s="215" t="s">
        <v>78</v>
      </c>
      <c r="K81" s="217">
        <v>45485</v>
      </c>
      <c r="L81" s="218" t="s">
        <v>573</v>
      </c>
      <c r="M81" s="218" t="s">
        <v>574</v>
      </c>
      <c r="N81" s="215">
        <v>992598515</v>
      </c>
      <c r="O81" s="219">
        <v>15</v>
      </c>
      <c r="P81" s="213" t="s">
        <v>22</v>
      </c>
      <c r="Q81" s="213" t="s">
        <v>77</v>
      </c>
      <c r="R81" s="220"/>
      <c r="S81" s="213" t="s">
        <v>576</v>
      </c>
      <c r="T81" s="221">
        <v>104976329</v>
      </c>
      <c r="U81" s="222" t="s">
        <v>575</v>
      </c>
      <c r="V81" s="223"/>
    </row>
    <row r="82" spans="1:22" s="224" customFormat="1" ht="33" customHeight="1">
      <c r="A82" s="211">
        <v>77</v>
      </c>
      <c r="B82" s="212">
        <v>45448</v>
      </c>
      <c r="C82" s="213" t="s">
        <v>93</v>
      </c>
      <c r="D82" s="213" t="s">
        <v>517</v>
      </c>
      <c r="E82" s="214">
        <v>112570209</v>
      </c>
      <c r="F82" s="213" t="s">
        <v>518</v>
      </c>
      <c r="G82" s="215" t="s">
        <v>519</v>
      </c>
      <c r="H82" s="216" t="s">
        <v>42</v>
      </c>
      <c r="I82" s="213" t="s">
        <v>77</v>
      </c>
      <c r="J82" s="215" t="s">
        <v>78</v>
      </c>
      <c r="K82" s="217">
        <v>45488</v>
      </c>
      <c r="L82" s="218" t="s">
        <v>522</v>
      </c>
      <c r="M82" s="218" t="s">
        <v>523</v>
      </c>
      <c r="N82" s="215">
        <v>15612997214</v>
      </c>
      <c r="O82" s="219">
        <v>15</v>
      </c>
      <c r="P82" s="213" t="s">
        <v>22</v>
      </c>
      <c r="Q82" s="213" t="s">
        <v>77</v>
      </c>
      <c r="R82" s="220"/>
      <c r="S82" s="213" t="s">
        <v>517</v>
      </c>
      <c r="T82" s="221">
        <v>101317410</v>
      </c>
      <c r="U82" s="222" t="s">
        <v>524</v>
      </c>
      <c r="V82" s="223"/>
    </row>
    <row r="83" spans="1:22" s="224" customFormat="1" ht="33" customHeight="1">
      <c r="A83" s="211">
        <v>78</v>
      </c>
      <c r="B83" s="212">
        <v>45448</v>
      </c>
      <c r="C83" s="213" t="s">
        <v>93</v>
      </c>
      <c r="D83" s="213" t="s">
        <v>517</v>
      </c>
      <c r="E83" s="214">
        <v>40584305</v>
      </c>
      <c r="F83" s="213" t="s">
        <v>95</v>
      </c>
      <c r="G83" s="215" t="s">
        <v>520</v>
      </c>
      <c r="H83" s="216" t="s">
        <v>42</v>
      </c>
      <c r="I83" s="213" t="s">
        <v>77</v>
      </c>
      <c r="J83" s="215" t="s">
        <v>78</v>
      </c>
      <c r="K83" s="217">
        <v>45488</v>
      </c>
      <c r="L83" s="218" t="s">
        <v>522</v>
      </c>
      <c r="M83" s="218" t="s">
        <v>523</v>
      </c>
      <c r="N83" s="215">
        <v>15612997214</v>
      </c>
      <c r="O83" s="219">
        <v>15</v>
      </c>
      <c r="P83" s="213" t="s">
        <v>22</v>
      </c>
      <c r="Q83" s="213" t="s">
        <v>77</v>
      </c>
      <c r="R83" s="220"/>
      <c r="S83" s="213" t="s">
        <v>517</v>
      </c>
      <c r="T83" s="221">
        <v>101317410</v>
      </c>
      <c r="U83" s="222" t="s">
        <v>524</v>
      </c>
      <c r="V83" s="223"/>
    </row>
    <row r="84" spans="1:22" s="224" customFormat="1" ht="33" customHeight="1">
      <c r="A84" s="211">
        <v>79</v>
      </c>
      <c r="B84" s="212">
        <v>45448</v>
      </c>
      <c r="C84" s="213" t="s">
        <v>93</v>
      </c>
      <c r="D84" s="213" t="s">
        <v>517</v>
      </c>
      <c r="E84" s="214">
        <v>111030002</v>
      </c>
      <c r="F84" s="213" t="s">
        <v>325</v>
      </c>
      <c r="G84" s="215" t="s">
        <v>521</v>
      </c>
      <c r="H84" s="216" t="s">
        <v>42</v>
      </c>
      <c r="I84" s="213" t="s">
        <v>77</v>
      </c>
      <c r="J84" s="215" t="s">
        <v>78</v>
      </c>
      <c r="K84" s="217">
        <v>45488</v>
      </c>
      <c r="L84" s="218" t="s">
        <v>522</v>
      </c>
      <c r="M84" s="218" t="s">
        <v>523</v>
      </c>
      <c r="N84" s="215">
        <v>15612997214</v>
      </c>
      <c r="O84" s="219">
        <v>15</v>
      </c>
      <c r="P84" s="213" t="s">
        <v>22</v>
      </c>
      <c r="Q84" s="213" t="s">
        <v>77</v>
      </c>
      <c r="R84" s="220"/>
      <c r="S84" s="213" t="s">
        <v>517</v>
      </c>
      <c r="T84" s="221">
        <v>101317410</v>
      </c>
      <c r="U84" s="222" t="s">
        <v>524</v>
      </c>
      <c r="V84" s="223"/>
    </row>
    <row r="85" spans="1:22" s="224" customFormat="1" ht="33" customHeight="1">
      <c r="A85" s="211">
        <v>80</v>
      </c>
      <c r="B85" s="212">
        <v>45487</v>
      </c>
      <c r="C85" s="213" t="s">
        <v>94</v>
      </c>
      <c r="D85" s="213" t="s">
        <v>590</v>
      </c>
      <c r="E85" s="214">
        <v>112570124</v>
      </c>
      <c r="F85" s="213" t="s">
        <v>316</v>
      </c>
      <c r="G85" s="215" t="s">
        <v>591</v>
      </c>
      <c r="H85" s="216" t="s">
        <v>42</v>
      </c>
      <c r="I85" s="213" t="s">
        <v>77</v>
      </c>
      <c r="J85" s="215" t="s">
        <v>78</v>
      </c>
      <c r="K85" s="217">
        <v>45491</v>
      </c>
      <c r="L85" s="218" t="s">
        <v>594</v>
      </c>
      <c r="M85" s="218" t="s">
        <v>595</v>
      </c>
      <c r="N85" s="215">
        <v>999080074</v>
      </c>
      <c r="O85" s="219">
        <v>20</v>
      </c>
      <c r="P85" s="213" t="s">
        <v>22</v>
      </c>
      <c r="Q85" s="213" t="s">
        <v>77</v>
      </c>
      <c r="R85" s="220"/>
      <c r="S85" s="213" t="s">
        <v>590</v>
      </c>
      <c r="T85" s="221">
        <v>102020278</v>
      </c>
      <c r="U85" s="222" t="s">
        <v>596</v>
      </c>
      <c r="V85" s="223"/>
    </row>
    <row r="86" spans="1:22" s="224" customFormat="1" ht="33" customHeight="1">
      <c r="A86" s="211">
        <v>81</v>
      </c>
      <c r="B86" s="212">
        <v>45487</v>
      </c>
      <c r="C86" s="213" t="s">
        <v>94</v>
      </c>
      <c r="D86" s="213" t="s">
        <v>590</v>
      </c>
      <c r="E86" s="214">
        <v>111030002</v>
      </c>
      <c r="F86" s="213" t="s">
        <v>592</v>
      </c>
      <c r="G86" s="215" t="s">
        <v>593</v>
      </c>
      <c r="H86" s="216" t="s">
        <v>42</v>
      </c>
      <c r="I86" s="213" t="s">
        <v>77</v>
      </c>
      <c r="J86" s="215" t="s">
        <v>78</v>
      </c>
      <c r="K86" s="217">
        <v>45491</v>
      </c>
      <c r="L86" s="218" t="s">
        <v>594</v>
      </c>
      <c r="M86" s="218" t="s">
        <v>595</v>
      </c>
      <c r="N86" s="215">
        <v>999080074</v>
      </c>
      <c r="O86" s="219">
        <v>20</v>
      </c>
      <c r="P86" s="213" t="s">
        <v>22</v>
      </c>
      <c r="Q86" s="213" t="s">
        <v>77</v>
      </c>
      <c r="R86" s="220"/>
      <c r="S86" s="213" t="s">
        <v>590</v>
      </c>
      <c r="T86" s="221">
        <v>102020278</v>
      </c>
      <c r="U86" s="222" t="s">
        <v>596</v>
      </c>
      <c r="V86" s="223"/>
    </row>
    <row r="87" spans="1:22" s="224" customFormat="1" ht="33" customHeight="1">
      <c r="A87" s="211">
        <v>82</v>
      </c>
      <c r="B87" s="212">
        <v>45353</v>
      </c>
      <c r="C87" s="213" t="s">
        <v>131</v>
      </c>
      <c r="D87" s="213" t="s">
        <v>597</v>
      </c>
      <c r="E87" s="214">
        <v>112570126</v>
      </c>
      <c r="F87" s="213" t="s">
        <v>80</v>
      </c>
      <c r="G87" s="215" t="s">
        <v>598</v>
      </c>
      <c r="H87" s="216">
        <v>417280</v>
      </c>
      <c r="I87" s="213" t="s">
        <v>77</v>
      </c>
      <c r="J87" s="215" t="s">
        <v>78</v>
      </c>
      <c r="K87" s="217">
        <v>45491</v>
      </c>
      <c r="L87" s="218" t="s">
        <v>603</v>
      </c>
      <c r="M87" s="218" t="s">
        <v>523</v>
      </c>
      <c r="N87" s="215">
        <v>987595719</v>
      </c>
      <c r="O87" s="219">
        <v>15</v>
      </c>
      <c r="P87" s="213" t="s">
        <v>22</v>
      </c>
      <c r="Q87" s="213" t="s">
        <v>77</v>
      </c>
      <c r="R87" s="220"/>
      <c r="S87" s="213" t="s">
        <v>597</v>
      </c>
      <c r="T87" s="221">
        <v>1101086401</v>
      </c>
      <c r="U87" s="222" t="s">
        <v>602</v>
      </c>
      <c r="V87" s="223"/>
    </row>
    <row r="88" spans="1:22" s="224" customFormat="1" ht="33" customHeight="1">
      <c r="A88" s="211">
        <v>83</v>
      </c>
      <c r="B88" s="212">
        <v>45353</v>
      </c>
      <c r="C88" s="213" t="s">
        <v>131</v>
      </c>
      <c r="D88" s="213" t="s">
        <v>597</v>
      </c>
      <c r="E88" s="214">
        <v>40584202</v>
      </c>
      <c r="F88" s="213" t="s">
        <v>300</v>
      </c>
      <c r="G88" s="215" t="s">
        <v>599</v>
      </c>
      <c r="H88" s="216" t="s">
        <v>42</v>
      </c>
      <c r="I88" s="213" t="s">
        <v>77</v>
      </c>
      <c r="J88" s="215" t="s">
        <v>78</v>
      </c>
      <c r="K88" s="217">
        <v>45491</v>
      </c>
      <c r="L88" s="218" t="s">
        <v>603</v>
      </c>
      <c r="M88" s="218" t="s">
        <v>523</v>
      </c>
      <c r="N88" s="215">
        <v>987595719</v>
      </c>
      <c r="O88" s="219">
        <v>15</v>
      </c>
      <c r="P88" s="213" t="s">
        <v>22</v>
      </c>
      <c r="Q88" s="213" t="s">
        <v>77</v>
      </c>
      <c r="R88" s="220"/>
      <c r="S88" s="213" t="s">
        <v>597</v>
      </c>
      <c r="T88" s="221">
        <v>1101086401</v>
      </c>
      <c r="U88" s="222" t="s">
        <v>602</v>
      </c>
      <c r="V88" s="223"/>
    </row>
    <row r="89" spans="1:22" s="224" customFormat="1" ht="33" customHeight="1">
      <c r="A89" s="211">
        <v>84</v>
      </c>
      <c r="B89" s="212">
        <v>45353</v>
      </c>
      <c r="C89" s="213" t="s">
        <v>131</v>
      </c>
      <c r="D89" s="213" t="s">
        <v>597</v>
      </c>
      <c r="E89" s="214">
        <v>41560061</v>
      </c>
      <c r="F89" s="213" t="s">
        <v>600</v>
      </c>
      <c r="G89" s="215" t="s">
        <v>601</v>
      </c>
      <c r="H89" s="216" t="s">
        <v>42</v>
      </c>
      <c r="I89" s="213" t="s">
        <v>77</v>
      </c>
      <c r="J89" s="215" t="s">
        <v>78</v>
      </c>
      <c r="K89" s="217">
        <v>45491</v>
      </c>
      <c r="L89" s="218" t="s">
        <v>603</v>
      </c>
      <c r="M89" s="218" t="s">
        <v>523</v>
      </c>
      <c r="N89" s="215">
        <v>987595719</v>
      </c>
      <c r="O89" s="219">
        <v>15</v>
      </c>
      <c r="P89" s="213" t="s">
        <v>22</v>
      </c>
      <c r="Q89" s="213" t="s">
        <v>77</v>
      </c>
      <c r="R89" s="220"/>
      <c r="S89" s="213" t="s">
        <v>597</v>
      </c>
      <c r="T89" s="221">
        <v>1101086401</v>
      </c>
      <c r="U89" s="222" t="s">
        <v>602</v>
      </c>
      <c r="V89" s="223"/>
    </row>
    <row r="90" spans="1:22" s="224" customFormat="1" ht="33" customHeight="1">
      <c r="A90" s="211">
        <v>85</v>
      </c>
      <c r="B90" s="212">
        <v>45339</v>
      </c>
      <c r="C90" s="213" t="s">
        <v>93</v>
      </c>
      <c r="D90" s="213" t="s">
        <v>604</v>
      </c>
      <c r="E90" s="214">
        <v>112570209</v>
      </c>
      <c r="F90" s="213" t="s">
        <v>518</v>
      </c>
      <c r="G90" s="215" t="s">
        <v>620</v>
      </c>
      <c r="H90" s="216">
        <v>416467</v>
      </c>
      <c r="I90" s="213" t="s">
        <v>77</v>
      </c>
      <c r="J90" s="215" t="s">
        <v>78</v>
      </c>
      <c r="K90" s="217">
        <v>45492</v>
      </c>
      <c r="L90" s="218" t="s">
        <v>603</v>
      </c>
      <c r="M90" s="218" t="s">
        <v>523</v>
      </c>
      <c r="N90" s="215">
        <v>987595719</v>
      </c>
      <c r="O90" s="219">
        <v>15</v>
      </c>
      <c r="P90" s="213" t="s">
        <v>22</v>
      </c>
      <c r="Q90" s="213" t="s">
        <v>77</v>
      </c>
      <c r="R90" s="220"/>
      <c r="S90" s="213" t="s">
        <v>597</v>
      </c>
      <c r="T90" s="221">
        <v>1101086401</v>
      </c>
      <c r="U90" s="222" t="s">
        <v>602</v>
      </c>
      <c r="V90" s="223"/>
    </row>
    <row r="91" spans="1:22" s="224" customFormat="1" ht="33" customHeight="1">
      <c r="A91" s="211">
        <v>86</v>
      </c>
      <c r="B91" s="212">
        <v>45339</v>
      </c>
      <c r="C91" s="213" t="s">
        <v>93</v>
      </c>
      <c r="D91" s="213" t="s">
        <v>604</v>
      </c>
      <c r="E91" s="214">
        <v>111000051</v>
      </c>
      <c r="F91" s="213" t="s">
        <v>99</v>
      </c>
      <c r="G91" s="215" t="s">
        <v>605</v>
      </c>
      <c r="H91" s="216" t="s">
        <v>42</v>
      </c>
      <c r="I91" s="213" t="s">
        <v>77</v>
      </c>
      <c r="J91" s="215" t="s">
        <v>78</v>
      </c>
      <c r="K91" s="217">
        <v>45492</v>
      </c>
      <c r="L91" s="218" t="s">
        <v>603</v>
      </c>
      <c r="M91" s="218" t="s">
        <v>523</v>
      </c>
      <c r="N91" s="215">
        <v>987595719</v>
      </c>
      <c r="O91" s="219">
        <v>15</v>
      </c>
      <c r="P91" s="213" t="s">
        <v>22</v>
      </c>
      <c r="Q91" s="213" t="s">
        <v>77</v>
      </c>
      <c r="R91" s="220"/>
      <c r="S91" s="213" t="s">
        <v>597</v>
      </c>
      <c r="T91" s="221">
        <v>1101086401</v>
      </c>
      <c r="U91" s="222" t="s">
        <v>602</v>
      </c>
      <c r="V91" s="223"/>
    </row>
    <row r="92" spans="1:22" s="224" customFormat="1" ht="33" customHeight="1">
      <c r="A92" s="211">
        <v>87</v>
      </c>
      <c r="B92" s="212">
        <v>45377</v>
      </c>
      <c r="C92" s="213" t="s">
        <v>79</v>
      </c>
      <c r="D92" s="213" t="s">
        <v>606</v>
      </c>
      <c r="E92" s="214">
        <v>112510035</v>
      </c>
      <c r="F92" s="213" t="s">
        <v>607</v>
      </c>
      <c r="G92" s="215" t="s">
        <v>608</v>
      </c>
      <c r="H92" s="216" t="s">
        <v>42</v>
      </c>
      <c r="I92" s="213" t="s">
        <v>77</v>
      </c>
      <c r="J92" s="215" t="s">
        <v>78</v>
      </c>
      <c r="K92" s="217">
        <v>45491</v>
      </c>
      <c r="L92" s="218" t="s">
        <v>611</v>
      </c>
      <c r="M92" s="218" t="s">
        <v>612</v>
      </c>
      <c r="N92" s="215">
        <v>978717324</v>
      </c>
      <c r="O92" s="219">
        <v>15</v>
      </c>
      <c r="P92" s="213" t="s">
        <v>22</v>
      </c>
      <c r="Q92" s="213" t="s">
        <v>77</v>
      </c>
      <c r="R92" s="220"/>
      <c r="S92" s="213" t="s">
        <v>606</v>
      </c>
      <c r="T92" s="221"/>
      <c r="U92" s="222"/>
      <c r="V92" s="223"/>
    </row>
    <row r="93" spans="1:22" s="224" customFormat="1" ht="33" customHeight="1">
      <c r="A93" s="211">
        <v>88</v>
      </c>
      <c r="B93" s="212">
        <v>45377</v>
      </c>
      <c r="C93" s="213" t="s">
        <v>79</v>
      </c>
      <c r="D93" s="213" t="s">
        <v>606</v>
      </c>
      <c r="E93" s="214">
        <v>111000051</v>
      </c>
      <c r="F93" s="213" t="s">
        <v>99</v>
      </c>
      <c r="G93" s="215" t="s">
        <v>609</v>
      </c>
      <c r="H93" s="216" t="s">
        <v>42</v>
      </c>
      <c r="I93" s="213" t="s">
        <v>77</v>
      </c>
      <c r="J93" s="215" t="s">
        <v>78</v>
      </c>
      <c r="K93" s="217">
        <v>45491</v>
      </c>
      <c r="L93" s="218" t="s">
        <v>611</v>
      </c>
      <c r="M93" s="218" t="s">
        <v>612</v>
      </c>
      <c r="N93" s="215">
        <v>978717324</v>
      </c>
      <c r="O93" s="219">
        <v>15</v>
      </c>
      <c r="P93" s="213" t="s">
        <v>22</v>
      </c>
      <c r="Q93" s="213" t="s">
        <v>77</v>
      </c>
      <c r="R93" s="220"/>
      <c r="S93" s="213" t="s">
        <v>606</v>
      </c>
      <c r="T93" s="221"/>
      <c r="U93" s="222"/>
      <c r="V93" s="223"/>
    </row>
    <row r="94" spans="1:22" s="224" customFormat="1" ht="33" customHeight="1">
      <c r="A94" s="211">
        <v>89</v>
      </c>
      <c r="B94" s="212">
        <v>45377</v>
      </c>
      <c r="C94" s="213" t="s">
        <v>79</v>
      </c>
      <c r="D94" s="213" t="s">
        <v>606</v>
      </c>
      <c r="E94" s="214">
        <v>40584202</v>
      </c>
      <c r="F94" s="213" t="s">
        <v>300</v>
      </c>
      <c r="G94" s="215" t="s">
        <v>610</v>
      </c>
      <c r="H94" s="216" t="s">
        <v>42</v>
      </c>
      <c r="I94" s="213" t="s">
        <v>77</v>
      </c>
      <c r="J94" s="215" t="s">
        <v>78</v>
      </c>
      <c r="K94" s="217">
        <v>45491</v>
      </c>
      <c r="L94" s="218" t="s">
        <v>611</v>
      </c>
      <c r="M94" s="218" t="s">
        <v>612</v>
      </c>
      <c r="N94" s="215">
        <v>978717324</v>
      </c>
      <c r="O94" s="219">
        <v>15</v>
      </c>
      <c r="P94" s="213" t="s">
        <v>22</v>
      </c>
      <c r="Q94" s="213" t="s">
        <v>77</v>
      </c>
      <c r="R94" s="220"/>
      <c r="S94" s="213" t="s">
        <v>606</v>
      </c>
      <c r="T94" s="221"/>
      <c r="U94" s="222"/>
      <c r="V94" s="223"/>
    </row>
    <row r="95" spans="1:22" s="224" customFormat="1" ht="33" customHeight="1">
      <c r="A95" s="211">
        <v>90</v>
      </c>
      <c r="B95" s="212">
        <v>45527</v>
      </c>
      <c r="C95" s="213" t="s">
        <v>79</v>
      </c>
      <c r="D95" s="213" t="s">
        <v>613</v>
      </c>
      <c r="E95" s="214">
        <v>112580027</v>
      </c>
      <c r="F95" s="213" t="s">
        <v>87</v>
      </c>
      <c r="G95" s="215" t="s">
        <v>614</v>
      </c>
      <c r="H95" s="216" t="s">
        <v>42</v>
      </c>
      <c r="I95" s="213" t="s">
        <v>77</v>
      </c>
      <c r="J95" s="215" t="s">
        <v>78</v>
      </c>
      <c r="K95" s="217">
        <v>45490</v>
      </c>
      <c r="L95" s="218" t="s">
        <v>617</v>
      </c>
      <c r="M95" s="218" t="s">
        <v>618</v>
      </c>
      <c r="N95" s="215">
        <v>987287714</v>
      </c>
      <c r="O95" s="219">
        <v>15</v>
      </c>
      <c r="P95" s="213" t="s">
        <v>22</v>
      </c>
      <c r="Q95" s="213" t="s">
        <v>77</v>
      </c>
      <c r="R95" s="220"/>
      <c r="S95" s="213" t="s">
        <v>613</v>
      </c>
      <c r="T95" s="221">
        <v>101322865</v>
      </c>
      <c r="U95" s="222" t="s">
        <v>619</v>
      </c>
      <c r="V95" s="223"/>
    </row>
    <row r="96" spans="1:22" s="224" customFormat="1" ht="33" customHeight="1">
      <c r="A96" s="211">
        <v>91</v>
      </c>
      <c r="B96" s="212">
        <v>45527</v>
      </c>
      <c r="C96" s="213" t="s">
        <v>79</v>
      </c>
      <c r="D96" s="213" t="s">
        <v>613</v>
      </c>
      <c r="E96" s="214">
        <v>111010028</v>
      </c>
      <c r="F96" s="213" t="s">
        <v>180</v>
      </c>
      <c r="G96" s="215" t="s">
        <v>615</v>
      </c>
      <c r="H96" s="216" t="s">
        <v>42</v>
      </c>
      <c r="I96" s="213" t="s">
        <v>77</v>
      </c>
      <c r="J96" s="215" t="s">
        <v>78</v>
      </c>
      <c r="K96" s="217">
        <v>45490</v>
      </c>
      <c r="L96" s="218" t="s">
        <v>617</v>
      </c>
      <c r="M96" s="218" t="s">
        <v>618</v>
      </c>
      <c r="N96" s="215">
        <v>987287714</v>
      </c>
      <c r="O96" s="219">
        <v>15</v>
      </c>
      <c r="P96" s="213" t="s">
        <v>22</v>
      </c>
      <c r="Q96" s="213" t="s">
        <v>77</v>
      </c>
      <c r="R96" s="220"/>
      <c r="S96" s="213" t="s">
        <v>613</v>
      </c>
      <c r="T96" s="221">
        <v>101322865</v>
      </c>
      <c r="U96" s="222" t="s">
        <v>619</v>
      </c>
      <c r="V96" s="223"/>
    </row>
    <row r="97" spans="1:22" s="224" customFormat="1" ht="33" customHeight="1">
      <c r="A97" s="211">
        <v>92</v>
      </c>
      <c r="B97" s="212">
        <v>45527</v>
      </c>
      <c r="C97" s="213" t="s">
        <v>79</v>
      </c>
      <c r="D97" s="213" t="s">
        <v>613</v>
      </c>
      <c r="E97" s="214">
        <v>40467320</v>
      </c>
      <c r="F97" s="213" t="s">
        <v>255</v>
      </c>
      <c r="G97" s="215" t="s">
        <v>616</v>
      </c>
      <c r="H97" s="216" t="s">
        <v>42</v>
      </c>
      <c r="I97" s="213" t="s">
        <v>77</v>
      </c>
      <c r="J97" s="215" t="s">
        <v>78</v>
      </c>
      <c r="K97" s="217">
        <v>45490</v>
      </c>
      <c r="L97" s="218" t="s">
        <v>617</v>
      </c>
      <c r="M97" s="218" t="s">
        <v>618</v>
      </c>
      <c r="N97" s="215">
        <v>987287714</v>
      </c>
      <c r="O97" s="219">
        <v>15</v>
      </c>
      <c r="P97" s="213" t="s">
        <v>22</v>
      </c>
      <c r="Q97" s="213" t="s">
        <v>77</v>
      </c>
      <c r="R97" s="220"/>
      <c r="S97" s="213" t="s">
        <v>613</v>
      </c>
      <c r="T97" s="221">
        <v>101322865</v>
      </c>
      <c r="U97" s="222" t="s">
        <v>619</v>
      </c>
      <c r="V97" s="223"/>
    </row>
    <row r="98" spans="1:22" s="224" customFormat="1" ht="33" customHeight="1">
      <c r="A98" s="211">
        <v>93</v>
      </c>
      <c r="B98" s="212">
        <v>45469</v>
      </c>
      <c r="C98" s="213" t="s">
        <v>93</v>
      </c>
      <c r="D98" s="213" t="s">
        <v>621</v>
      </c>
      <c r="E98" s="214">
        <v>112610071</v>
      </c>
      <c r="F98" s="213" t="s">
        <v>622</v>
      </c>
      <c r="G98" s="215" t="s">
        <v>623</v>
      </c>
      <c r="H98" s="216" t="s">
        <v>42</v>
      </c>
      <c r="I98" s="213" t="s">
        <v>77</v>
      </c>
      <c r="J98" s="215" t="s">
        <v>78</v>
      </c>
      <c r="K98" s="217">
        <v>45492</v>
      </c>
      <c r="L98" s="218" t="s">
        <v>624</v>
      </c>
      <c r="M98" s="218" t="s">
        <v>625</v>
      </c>
      <c r="N98" s="215">
        <v>980040122</v>
      </c>
      <c r="O98" s="219">
        <v>20</v>
      </c>
      <c r="P98" s="213" t="s">
        <v>22</v>
      </c>
      <c r="Q98" s="213" t="s">
        <v>77</v>
      </c>
      <c r="R98" s="220"/>
      <c r="S98" s="213" t="s">
        <v>621</v>
      </c>
      <c r="T98" s="221">
        <v>1104894728</v>
      </c>
      <c r="U98" s="222" t="s">
        <v>626</v>
      </c>
      <c r="V98" s="223"/>
    </row>
    <row r="99" spans="1:22" s="224" customFormat="1" ht="33" customHeight="1">
      <c r="A99" s="211">
        <v>94</v>
      </c>
      <c r="B99" s="212">
        <v>45469</v>
      </c>
      <c r="C99" s="213" t="s">
        <v>93</v>
      </c>
      <c r="D99" s="213" t="s">
        <v>621</v>
      </c>
      <c r="E99" s="214">
        <v>40467320</v>
      </c>
      <c r="F99" s="213" t="s">
        <v>255</v>
      </c>
      <c r="G99" s="215" t="s">
        <v>627</v>
      </c>
      <c r="H99" s="216" t="s">
        <v>42</v>
      </c>
      <c r="I99" s="213" t="s">
        <v>77</v>
      </c>
      <c r="J99" s="215" t="s">
        <v>78</v>
      </c>
      <c r="K99" s="217">
        <v>45492</v>
      </c>
      <c r="L99" s="218" t="s">
        <v>624</v>
      </c>
      <c r="M99" s="218" t="s">
        <v>625</v>
      </c>
      <c r="N99" s="215">
        <v>980040122</v>
      </c>
      <c r="O99" s="219">
        <v>20</v>
      </c>
      <c r="P99" s="213" t="s">
        <v>22</v>
      </c>
      <c r="Q99" s="213" t="s">
        <v>77</v>
      </c>
      <c r="R99" s="220"/>
      <c r="S99" s="213" t="s">
        <v>621</v>
      </c>
      <c r="T99" s="221">
        <v>1104894728</v>
      </c>
      <c r="U99" s="222" t="s">
        <v>626</v>
      </c>
      <c r="V99" s="223"/>
    </row>
    <row r="100" spans="1:22" s="224" customFormat="1" ht="33" customHeight="1">
      <c r="A100" s="211">
        <v>95</v>
      </c>
      <c r="B100" s="212">
        <v>45422</v>
      </c>
      <c r="C100" s="213" t="s">
        <v>92</v>
      </c>
      <c r="D100" s="213" t="s">
        <v>628</v>
      </c>
      <c r="E100" s="214">
        <v>40466241</v>
      </c>
      <c r="F100" s="213" t="s">
        <v>118</v>
      </c>
      <c r="G100" s="215" t="s">
        <v>629</v>
      </c>
      <c r="H100" s="216" t="s">
        <v>42</v>
      </c>
      <c r="I100" s="213" t="s">
        <v>77</v>
      </c>
      <c r="J100" s="215" t="s">
        <v>78</v>
      </c>
      <c r="K100" s="217">
        <v>45492</v>
      </c>
      <c r="L100" s="218" t="s">
        <v>631</v>
      </c>
      <c r="M100" s="218" t="s">
        <v>632</v>
      </c>
      <c r="N100" s="215">
        <v>985539645</v>
      </c>
      <c r="O100" s="219">
        <v>20</v>
      </c>
      <c r="P100" s="213" t="s">
        <v>22</v>
      </c>
      <c r="Q100" s="213" t="s">
        <v>77</v>
      </c>
      <c r="R100" s="220"/>
      <c r="S100" s="213" t="s">
        <v>628</v>
      </c>
      <c r="T100" s="221">
        <v>105953863</v>
      </c>
      <c r="U100" s="222" t="s">
        <v>633</v>
      </c>
      <c r="V100" s="223"/>
    </row>
    <row r="101" spans="1:22" s="224" customFormat="1" ht="33" customHeight="1">
      <c r="A101" s="211">
        <v>96</v>
      </c>
      <c r="B101" s="212">
        <v>45422</v>
      </c>
      <c r="C101" s="213" t="s">
        <v>92</v>
      </c>
      <c r="D101" s="213" t="s">
        <v>628</v>
      </c>
      <c r="E101" s="214">
        <v>41560041</v>
      </c>
      <c r="F101" s="213" t="s">
        <v>104</v>
      </c>
      <c r="G101" s="215" t="s">
        <v>630</v>
      </c>
      <c r="H101" s="216" t="s">
        <v>42</v>
      </c>
      <c r="I101" s="213" t="s">
        <v>77</v>
      </c>
      <c r="J101" s="215" t="s">
        <v>78</v>
      </c>
      <c r="K101" s="217">
        <v>45492</v>
      </c>
      <c r="L101" s="218" t="s">
        <v>631</v>
      </c>
      <c r="M101" s="218" t="s">
        <v>632</v>
      </c>
      <c r="N101" s="215">
        <v>985539645</v>
      </c>
      <c r="O101" s="219">
        <v>20</v>
      </c>
      <c r="P101" s="213" t="s">
        <v>22</v>
      </c>
      <c r="Q101" s="213" t="s">
        <v>77</v>
      </c>
      <c r="R101" s="220"/>
      <c r="S101" s="213" t="s">
        <v>628</v>
      </c>
      <c r="T101" s="221">
        <v>105953863</v>
      </c>
      <c r="U101" s="222" t="s">
        <v>633</v>
      </c>
      <c r="V101" s="223"/>
    </row>
    <row r="102" spans="1:22" s="224" customFormat="1" ht="33" customHeight="1">
      <c r="A102" s="211">
        <v>97</v>
      </c>
      <c r="B102" s="212"/>
      <c r="C102" s="213"/>
      <c r="D102" s="213"/>
      <c r="E102" s="214"/>
      <c r="F102" s="213"/>
      <c r="G102" s="215"/>
      <c r="H102" s="216" t="s">
        <v>42</v>
      </c>
      <c r="I102" s="213" t="s">
        <v>77</v>
      </c>
      <c r="J102" s="215" t="s">
        <v>78</v>
      </c>
      <c r="K102" s="217"/>
      <c r="L102" s="218"/>
      <c r="M102" s="218"/>
      <c r="N102" s="215"/>
      <c r="O102" s="219"/>
      <c r="P102" s="213" t="s">
        <v>22</v>
      </c>
      <c r="Q102" s="213" t="s">
        <v>77</v>
      </c>
      <c r="R102" s="220"/>
      <c r="S102" s="213"/>
      <c r="T102" s="221"/>
      <c r="U102" s="222"/>
      <c r="V102" s="223"/>
    </row>
    <row r="103" spans="1:22" s="74" customFormat="1" ht="33" customHeight="1">
      <c r="A103" s="211">
        <v>98</v>
      </c>
      <c r="B103" s="25"/>
      <c r="C103" s="26"/>
      <c r="D103" s="26"/>
      <c r="E103" s="27"/>
      <c r="F103" s="28"/>
      <c r="G103" s="29"/>
      <c r="H103" s="30" t="s">
        <v>42</v>
      </c>
      <c r="I103" s="26" t="s">
        <v>77</v>
      </c>
      <c r="J103" s="29" t="s">
        <v>78</v>
      </c>
      <c r="K103" s="31"/>
      <c r="L103" s="32"/>
      <c r="M103" s="32"/>
      <c r="N103" s="29"/>
      <c r="O103" s="33"/>
      <c r="P103" s="26" t="s">
        <v>22</v>
      </c>
      <c r="Q103" s="26" t="s">
        <v>77</v>
      </c>
      <c r="R103" s="34"/>
      <c r="S103" s="26"/>
      <c r="T103" s="73"/>
      <c r="U103" s="209"/>
      <c r="V103" s="153"/>
    </row>
    <row r="104" spans="1:22" s="74" customFormat="1" ht="33" customHeight="1">
      <c r="A104"/>
      <c r="B104"/>
      <c r="C104"/>
      <c r="D104"/>
      <c r="E104"/>
      <c r="F104"/>
      <c r="G104"/>
      <c r="H104"/>
      <c r="I104"/>
      <c r="J104"/>
      <c r="K104">
        <v>2</v>
      </c>
      <c r="L104">
        <v>30</v>
      </c>
      <c r="M104">
        <f>K104*L104</f>
        <v>60</v>
      </c>
      <c r="N104"/>
      <c r="O104" s="149">
        <f>SUM(O6:O103)</f>
        <v>1630</v>
      </c>
      <c r="P104"/>
      <c r="Q104"/>
      <c r="R104"/>
      <c r="S104"/>
      <c r="T104"/>
      <c r="U104"/>
      <c r="V104" s="153"/>
    </row>
    <row r="105" spans="1:22" s="74" customFormat="1" ht="33" customHeight="1">
      <c r="A105"/>
      <c r="B105"/>
      <c r="C105"/>
      <c r="D105"/>
      <c r="E105"/>
      <c r="F105"/>
      <c r="G105"/>
      <c r="H105"/>
      <c r="I105"/>
      <c r="J105"/>
      <c r="K105">
        <v>32</v>
      </c>
      <c r="L105" s="74">
        <v>20</v>
      </c>
      <c r="M105" s="74">
        <f>K105*L105</f>
        <v>640</v>
      </c>
      <c r="N105"/>
      <c r="O105"/>
      <c r="P105"/>
      <c r="Q105"/>
      <c r="R105"/>
      <c r="S105"/>
      <c r="T105"/>
      <c r="U105"/>
      <c r="V105" s="153"/>
    </row>
    <row r="106" spans="1:22" s="74" customFormat="1" ht="33" customHeight="1">
      <c r="A106"/>
      <c r="B106"/>
      <c r="C106"/>
      <c r="D106"/>
      <c r="E106"/>
      <c r="F106"/>
      <c r="G106"/>
      <c r="H106"/>
      <c r="I106"/>
      <c r="J106"/>
      <c r="K106">
        <v>62</v>
      </c>
      <c r="L106" s="74">
        <v>15</v>
      </c>
      <c r="M106" s="74">
        <f>K106*L106</f>
        <v>930</v>
      </c>
      <c r="N106"/>
      <c r="O106"/>
      <c r="P106"/>
      <c r="Q106"/>
      <c r="R106"/>
      <c r="S106"/>
      <c r="T106"/>
      <c r="U106"/>
      <c r="V106" s="153"/>
    </row>
    <row r="107" spans="1:22" s="74" customFormat="1" ht="33" customHeight="1">
      <c r="A107"/>
      <c r="B107"/>
      <c r="C107"/>
      <c r="D107"/>
      <c r="E107"/>
      <c r="F107"/>
      <c r="G107"/>
      <c r="H107"/>
      <c r="I107"/>
      <c r="J107"/>
      <c r="K107"/>
      <c r="M107" s="74">
        <f>SUM(M104:M106)</f>
        <v>1630</v>
      </c>
      <c r="N107"/>
      <c r="O107"/>
      <c r="P107"/>
      <c r="Q107"/>
      <c r="R107"/>
      <c r="S107"/>
      <c r="T107"/>
      <c r="U107"/>
      <c r="V107" s="153"/>
    </row>
    <row r="108" spans="1:22" s="74" customFormat="1" ht="33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s="153"/>
    </row>
    <row r="109" spans="1:22" s="74" customFormat="1" ht="33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 s="153"/>
    </row>
    <row r="110" spans="1:22" s="74" customFormat="1" ht="33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s="153"/>
    </row>
    <row r="111" spans="1:22" s="74" customFormat="1" ht="33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 s="153"/>
    </row>
    <row r="112" spans="1:22" s="74" customFormat="1" ht="33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74" customFormat="1" ht="33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74" customFormat="1" ht="33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 s="74" customFormat="1" ht="33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 s="74" customFormat="1" ht="33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s="74" customFormat="1" ht="33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 ht="32.25" customHeight="1"/>
    <row r="119" spans="1:21" ht="35.25" customHeight="1"/>
    <row r="120" spans="1:21" ht="31.5" customHeight="1"/>
  </sheetData>
  <hyperlinks>
    <hyperlink ref="U6" r:id="rId1" xr:uid="{00000000-0004-0000-0000-000000000000}"/>
    <hyperlink ref="U7" r:id="rId2" xr:uid="{00000000-0004-0000-0000-000001000000}"/>
    <hyperlink ref="U8" r:id="rId3" xr:uid="{00000000-0004-0000-0000-000002000000}"/>
    <hyperlink ref="U9" r:id="rId4" xr:uid="{00000000-0004-0000-0000-000003000000}"/>
    <hyperlink ref="U10" r:id="rId5" xr:uid="{00000000-0004-0000-0000-000004000000}"/>
    <hyperlink ref="U11" r:id="rId6" xr:uid="{00000000-0004-0000-0000-000005000000}"/>
    <hyperlink ref="U12" r:id="rId7" xr:uid="{00000000-0004-0000-0000-000006000000}"/>
    <hyperlink ref="U13" r:id="rId8" xr:uid="{00000000-0004-0000-0000-000007000000}"/>
    <hyperlink ref="U14" r:id="rId9" xr:uid="{00000000-0004-0000-0000-000008000000}"/>
    <hyperlink ref="U15" r:id="rId10" xr:uid="{00000000-0004-0000-0000-000009000000}"/>
    <hyperlink ref="U16" r:id="rId11" xr:uid="{00000000-0004-0000-0000-00000A000000}"/>
    <hyperlink ref="U17" r:id="rId12" xr:uid="{00000000-0004-0000-0000-00000B000000}"/>
    <hyperlink ref="U18" r:id="rId13" xr:uid="{00000000-0004-0000-0000-00000C000000}"/>
    <hyperlink ref="U19" r:id="rId14" xr:uid="{00000000-0004-0000-0000-00000D000000}"/>
    <hyperlink ref="U20" r:id="rId15" xr:uid="{00000000-0004-0000-0000-00000E000000}"/>
    <hyperlink ref="U21" r:id="rId16" xr:uid="{00000000-0004-0000-0000-00000F000000}"/>
    <hyperlink ref="U23" r:id="rId17" xr:uid="{00000000-0004-0000-0000-000010000000}"/>
    <hyperlink ref="U24" r:id="rId18" xr:uid="{00000000-0004-0000-0000-000011000000}"/>
    <hyperlink ref="U25" r:id="rId19" xr:uid="{00000000-0004-0000-0000-000012000000}"/>
    <hyperlink ref="U26" r:id="rId20" xr:uid="{00000000-0004-0000-0000-000013000000}"/>
    <hyperlink ref="U27" r:id="rId21" xr:uid="{00000000-0004-0000-0000-000014000000}"/>
    <hyperlink ref="U28" r:id="rId22" xr:uid="{00000000-0004-0000-0000-000015000000}"/>
    <hyperlink ref="U30" r:id="rId23" xr:uid="{00000000-0004-0000-0000-000016000000}"/>
    <hyperlink ref="U31" r:id="rId24" xr:uid="{00000000-0004-0000-0000-000017000000}"/>
    <hyperlink ref="U32" r:id="rId25" xr:uid="{00000000-0004-0000-0000-000018000000}"/>
    <hyperlink ref="U33" r:id="rId26" xr:uid="{00000000-0004-0000-0000-000019000000}"/>
    <hyperlink ref="U34" r:id="rId27" xr:uid="{00000000-0004-0000-0000-00001A000000}"/>
    <hyperlink ref="U35" r:id="rId28" xr:uid="{00000000-0004-0000-0000-00001B000000}"/>
    <hyperlink ref="U36" r:id="rId29" xr:uid="{00000000-0004-0000-0000-00001C000000}"/>
    <hyperlink ref="U37" r:id="rId30" xr:uid="{00000000-0004-0000-0000-00001D000000}"/>
    <hyperlink ref="U44" r:id="rId31" xr:uid="{00000000-0004-0000-0000-00001E000000}"/>
    <hyperlink ref="U45" r:id="rId32" xr:uid="{00000000-0004-0000-0000-00001F000000}"/>
    <hyperlink ref="U46" r:id="rId33" xr:uid="{00000000-0004-0000-0000-000020000000}"/>
    <hyperlink ref="U47" r:id="rId34" xr:uid="{00000000-0004-0000-0000-000021000000}"/>
    <hyperlink ref="U48" r:id="rId35" xr:uid="{00000000-0004-0000-0000-000022000000}"/>
    <hyperlink ref="U49" r:id="rId36" xr:uid="{00000000-0004-0000-0000-000023000000}"/>
    <hyperlink ref="U50" r:id="rId37" xr:uid="{00000000-0004-0000-0000-000024000000}"/>
    <hyperlink ref="U51" r:id="rId38" xr:uid="{00000000-0004-0000-0000-000025000000}"/>
    <hyperlink ref="U52" r:id="rId39" xr:uid="{00000000-0004-0000-0000-000026000000}"/>
    <hyperlink ref="U22" r:id="rId40" xr:uid="{00000000-0004-0000-0000-000027000000}"/>
    <hyperlink ref="U53" r:id="rId41" xr:uid="{00000000-0004-0000-0000-000028000000}"/>
    <hyperlink ref="U54" r:id="rId42" xr:uid="{00000000-0004-0000-0000-000029000000}"/>
    <hyperlink ref="U55" r:id="rId43" xr:uid="{00000000-0004-0000-0000-00002A000000}"/>
    <hyperlink ref="U56" r:id="rId44" xr:uid="{00000000-0004-0000-0000-00002B000000}"/>
    <hyperlink ref="U57" r:id="rId45" xr:uid="{00000000-0004-0000-0000-00002C000000}"/>
    <hyperlink ref="U58" r:id="rId46" xr:uid="{00000000-0004-0000-0000-00002D000000}"/>
    <hyperlink ref="U59" r:id="rId47" xr:uid="{00000000-0004-0000-0000-00002E000000}"/>
    <hyperlink ref="U60" r:id="rId48" xr:uid="{00000000-0004-0000-0000-00002F000000}"/>
    <hyperlink ref="U61" r:id="rId49" xr:uid="{00000000-0004-0000-0000-000030000000}"/>
    <hyperlink ref="U62" r:id="rId50" xr:uid="{00000000-0004-0000-0000-000031000000}"/>
    <hyperlink ref="U63" r:id="rId51" xr:uid="{00000000-0004-0000-0000-000032000000}"/>
    <hyperlink ref="U64" r:id="rId52" xr:uid="{00000000-0004-0000-0000-000033000000}"/>
    <hyperlink ref="U65" r:id="rId53" xr:uid="{00000000-0004-0000-0000-000034000000}"/>
    <hyperlink ref="U68" r:id="rId54" xr:uid="{00000000-0004-0000-0000-000035000000}"/>
    <hyperlink ref="U69" r:id="rId55" xr:uid="{00000000-0004-0000-0000-000036000000}"/>
    <hyperlink ref="U82" r:id="rId56" xr:uid="{00000000-0004-0000-0000-000037000000}"/>
    <hyperlink ref="U83" r:id="rId57" xr:uid="{00000000-0004-0000-0000-000038000000}"/>
    <hyperlink ref="U84" r:id="rId58" xr:uid="{00000000-0004-0000-0000-000039000000}"/>
    <hyperlink ref="U66" r:id="rId59" xr:uid="{00000000-0004-0000-0000-00003A000000}"/>
    <hyperlink ref="U67" r:id="rId60" xr:uid="{00000000-0004-0000-0000-00003B000000}"/>
    <hyperlink ref="U70" r:id="rId61" xr:uid="{00000000-0004-0000-0000-00003C000000}"/>
    <hyperlink ref="U71" r:id="rId62" xr:uid="{00000000-0004-0000-0000-00003D000000}"/>
    <hyperlink ref="U72" r:id="rId63" xr:uid="{00000000-0004-0000-0000-00003E000000}"/>
    <hyperlink ref="U73" r:id="rId64" xr:uid="{00000000-0004-0000-0000-00003F000000}"/>
    <hyperlink ref="U74" r:id="rId65" xr:uid="{00000000-0004-0000-0000-000040000000}"/>
    <hyperlink ref="U75" r:id="rId66" xr:uid="{00000000-0004-0000-0000-000041000000}"/>
    <hyperlink ref="U76" r:id="rId67" xr:uid="{00000000-0004-0000-0000-000042000000}"/>
    <hyperlink ref="U77" r:id="rId68" xr:uid="{00000000-0004-0000-0000-000043000000}"/>
    <hyperlink ref="U78" r:id="rId69" xr:uid="{00000000-0004-0000-0000-000044000000}"/>
    <hyperlink ref="U79" r:id="rId70" xr:uid="{00000000-0004-0000-0000-000045000000}"/>
    <hyperlink ref="U80" r:id="rId71" xr:uid="{00000000-0004-0000-0000-000046000000}"/>
    <hyperlink ref="U81" r:id="rId72" xr:uid="{00000000-0004-0000-0000-000047000000}"/>
    <hyperlink ref="U85" r:id="rId73" xr:uid="{00000000-0004-0000-0000-000048000000}"/>
    <hyperlink ref="U86" r:id="rId74" xr:uid="{00000000-0004-0000-0000-000049000000}"/>
    <hyperlink ref="U87" r:id="rId75" xr:uid="{00000000-0004-0000-0000-00004A000000}"/>
    <hyperlink ref="U88" r:id="rId76" xr:uid="{00000000-0004-0000-0000-00004B000000}"/>
    <hyperlink ref="U89" r:id="rId77" xr:uid="{00000000-0004-0000-0000-00004C000000}"/>
    <hyperlink ref="U90" r:id="rId78" xr:uid="{00000000-0004-0000-0000-00004D000000}"/>
    <hyperlink ref="U91" r:id="rId79" xr:uid="{00000000-0004-0000-0000-00004E000000}"/>
    <hyperlink ref="U98" r:id="rId80" xr:uid="{00000000-0004-0000-0000-00004F000000}"/>
    <hyperlink ref="U99" r:id="rId81" xr:uid="{00000000-0004-0000-0000-000050000000}"/>
    <hyperlink ref="U100" r:id="rId82" xr:uid="{00000000-0004-0000-0000-000051000000}"/>
    <hyperlink ref="U101" r:id="rId83" xr:uid="{00000000-0004-0000-0000-000052000000}"/>
    <hyperlink ref="U29" r:id="rId84" xr:uid="{00000000-0004-0000-0000-000053000000}"/>
  </hyperlinks>
  <pageMargins left="0.7" right="0.7" top="0.75" bottom="0.75" header="0.3" footer="0.3"/>
  <pageSetup paperSize="9" orientation="portrait" horizontalDpi="0" verticalDpi="0" r:id="rId85"/>
  <drawing r:id="rId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1"/>
  <sheetViews>
    <sheetView topLeftCell="C1" zoomScale="69" zoomScaleNormal="69" workbookViewId="0">
      <selection activeCell="M18" sqref="M18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7" width="11.1640625" bestFit="1" customWidth="1"/>
    <col min="18" max="18" width="11.6640625" bestFit="1" customWidth="1"/>
    <col min="19" max="19" width="12.1640625" bestFit="1" customWidth="1"/>
  </cols>
  <sheetData>
    <row r="2" spans="1:20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20">
      <c r="A3" s="43"/>
      <c r="B3" s="44"/>
      <c r="C3" s="45" t="s">
        <v>0</v>
      </c>
      <c r="D3" s="46"/>
      <c r="E3" s="47"/>
      <c r="F3" s="48"/>
      <c r="G3" s="49"/>
      <c r="H3" s="50"/>
      <c r="I3" s="50"/>
      <c r="J3" s="50"/>
      <c r="K3" s="50"/>
      <c r="L3" s="50"/>
      <c r="M3" s="51"/>
      <c r="N3" s="50"/>
      <c r="O3" s="43"/>
      <c r="P3" s="50"/>
      <c r="Q3" s="50"/>
      <c r="R3" s="50"/>
      <c r="S3" s="50"/>
    </row>
    <row r="4" spans="1:20">
      <c r="A4" s="43"/>
      <c r="B4" s="44"/>
      <c r="C4" s="52" t="s">
        <v>1</v>
      </c>
      <c r="D4" s="53"/>
      <c r="E4" s="54"/>
      <c r="F4" s="54"/>
      <c r="G4" s="49"/>
      <c r="H4" s="50"/>
      <c r="I4" s="50"/>
      <c r="J4" s="50"/>
      <c r="K4" s="50"/>
      <c r="L4" s="50"/>
      <c r="M4" s="51"/>
      <c r="N4" s="50"/>
      <c r="O4" s="43"/>
      <c r="P4" s="50"/>
      <c r="Q4" s="50"/>
      <c r="R4" s="50"/>
      <c r="S4" s="50"/>
    </row>
    <row r="5" spans="1:20" ht="28.5" customHeight="1">
      <c r="B5" s="55" t="s">
        <v>84</v>
      </c>
      <c r="C5" s="56"/>
      <c r="D5" s="57"/>
      <c r="E5" s="58" t="s">
        <v>24</v>
      </c>
      <c r="F5" s="59"/>
      <c r="G5" s="60"/>
      <c r="H5" s="61"/>
      <c r="I5" s="57"/>
      <c r="J5" s="62"/>
      <c r="K5" s="62"/>
      <c r="L5" s="63"/>
      <c r="M5" s="64" t="s">
        <v>258</v>
      </c>
      <c r="O5" s="65"/>
    </row>
    <row r="6" spans="1:20">
      <c r="B6" s="66" t="s">
        <v>25</v>
      </c>
      <c r="C6" s="67"/>
      <c r="D6" s="68"/>
      <c r="E6" s="68"/>
      <c r="F6" s="68"/>
      <c r="G6" s="68"/>
      <c r="H6" s="68"/>
      <c r="I6" s="68"/>
      <c r="J6" s="68"/>
      <c r="K6" s="68"/>
      <c r="L6" s="68"/>
      <c r="M6" s="69"/>
      <c r="O6" s="65"/>
    </row>
    <row r="7" spans="1:20">
      <c r="B7" s="70" t="s">
        <v>259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2"/>
      <c r="O7" s="65"/>
    </row>
    <row r="8" spans="1:20" s="40" customFormat="1" ht="34">
      <c r="A8"/>
      <c r="B8" s="150" t="s">
        <v>26</v>
      </c>
      <c r="C8" s="150" t="s">
        <v>27</v>
      </c>
      <c r="D8" s="150" t="s">
        <v>28</v>
      </c>
      <c r="E8" s="150" t="s">
        <v>29</v>
      </c>
      <c r="F8" s="150" t="s">
        <v>30</v>
      </c>
      <c r="G8" s="150" t="s">
        <v>31</v>
      </c>
      <c r="H8" s="150" t="s">
        <v>32</v>
      </c>
      <c r="I8" s="150" t="s">
        <v>33</v>
      </c>
      <c r="J8" s="150" t="s">
        <v>34</v>
      </c>
      <c r="K8" s="150" t="s">
        <v>35</v>
      </c>
      <c r="L8" s="150" t="s">
        <v>36</v>
      </c>
      <c r="M8" s="150" t="s">
        <v>37</v>
      </c>
      <c r="N8" s="150" t="s">
        <v>38</v>
      </c>
      <c r="O8" s="150" t="s">
        <v>39</v>
      </c>
      <c r="P8" s="150" t="s">
        <v>40</v>
      </c>
      <c r="Q8" s="150" t="s">
        <v>41</v>
      </c>
      <c r="R8" s="151" t="s">
        <v>18</v>
      </c>
      <c r="S8" s="152" t="s">
        <v>19</v>
      </c>
    </row>
    <row r="9" spans="1:20" s="205" customFormat="1" ht="56.25" customHeight="1">
      <c r="A9" s="192">
        <v>1</v>
      </c>
      <c r="B9" s="193">
        <v>44725</v>
      </c>
      <c r="C9" s="194">
        <v>45468</v>
      </c>
      <c r="D9" s="195">
        <v>1</v>
      </c>
      <c r="E9" s="195">
        <v>60803252</v>
      </c>
      <c r="F9" s="196" t="s">
        <v>263</v>
      </c>
      <c r="G9" s="197">
        <v>1125220025</v>
      </c>
      <c r="H9" s="198" t="s">
        <v>91</v>
      </c>
      <c r="I9" s="199" t="s">
        <v>264</v>
      </c>
      <c r="J9" s="200" t="s">
        <v>42</v>
      </c>
      <c r="K9" s="197" t="s">
        <v>81</v>
      </c>
      <c r="L9" s="197" t="s">
        <v>265</v>
      </c>
      <c r="M9" s="196" t="s">
        <v>266</v>
      </c>
      <c r="N9" s="201">
        <v>12.5</v>
      </c>
      <c r="O9" s="202">
        <v>1713896510001</v>
      </c>
      <c r="P9" s="203"/>
      <c r="Q9" s="187">
        <v>94408935</v>
      </c>
      <c r="R9" s="187"/>
      <c r="S9" s="187" t="s">
        <v>267</v>
      </c>
      <c r="T9" s="204"/>
    </row>
    <row r="10" spans="1:20" s="205" customFormat="1" ht="56.25" customHeight="1">
      <c r="A10" s="192">
        <v>2</v>
      </c>
      <c r="B10" s="193">
        <v>44725</v>
      </c>
      <c r="C10" s="194">
        <v>45474</v>
      </c>
      <c r="D10" s="195">
        <v>1</v>
      </c>
      <c r="E10" s="195">
        <v>60803252</v>
      </c>
      <c r="F10" s="196" t="s">
        <v>263</v>
      </c>
      <c r="G10" s="197">
        <v>1125220025</v>
      </c>
      <c r="H10" s="198" t="s">
        <v>91</v>
      </c>
      <c r="I10" s="199" t="s">
        <v>264</v>
      </c>
      <c r="J10" s="200" t="s">
        <v>42</v>
      </c>
      <c r="K10" s="197" t="s">
        <v>81</v>
      </c>
      <c r="L10" s="197" t="s">
        <v>265</v>
      </c>
      <c r="M10" s="196" t="s">
        <v>268</v>
      </c>
      <c r="N10" s="201">
        <v>12.5</v>
      </c>
      <c r="O10" s="202">
        <v>1713896510001</v>
      </c>
      <c r="P10" s="203"/>
      <c r="Q10" s="187">
        <v>94408935</v>
      </c>
      <c r="R10" s="187"/>
      <c r="S10" s="187" t="s">
        <v>267</v>
      </c>
      <c r="T10" s="204"/>
    </row>
    <row r="11" spans="1:20" s="205" customFormat="1" ht="56.25" customHeight="1">
      <c r="A11" s="192">
        <v>3</v>
      </c>
      <c r="B11" s="193">
        <v>45364</v>
      </c>
      <c r="C11" s="194">
        <v>45470</v>
      </c>
      <c r="D11" s="195">
        <v>1</v>
      </c>
      <c r="E11" s="195">
        <v>60803326</v>
      </c>
      <c r="F11" s="196" t="s">
        <v>269</v>
      </c>
      <c r="G11" s="197">
        <v>112500045</v>
      </c>
      <c r="H11" s="198" t="s">
        <v>270</v>
      </c>
      <c r="I11" s="199" t="s">
        <v>271</v>
      </c>
      <c r="J11" s="200" t="s">
        <v>42</v>
      </c>
      <c r="K11" s="197" t="s">
        <v>81</v>
      </c>
      <c r="L11" s="197" t="s">
        <v>272</v>
      </c>
      <c r="M11" s="196" t="s">
        <v>266</v>
      </c>
      <c r="N11" s="201">
        <v>12.5</v>
      </c>
      <c r="O11" s="202">
        <v>301913943001</v>
      </c>
      <c r="P11" s="203" t="s">
        <v>273</v>
      </c>
      <c r="Q11" s="187">
        <v>2270006</v>
      </c>
      <c r="R11" s="187"/>
      <c r="S11" s="187" t="s">
        <v>274</v>
      </c>
      <c r="T11" s="204"/>
    </row>
    <row r="12" spans="1:20" s="205" customFormat="1" ht="56.25" customHeight="1">
      <c r="A12" s="192">
        <v>4</v>
      </c>
      <c r="B12" s="193">
        <v>45264</v>
      </c>
      <c r="C12" s="194">
        <v>45472</v>
      </c>
      <c r="D12" s="195">
        <v>1</v>
      </c>
      <c r="E12" s="195">
        <v>83340315</v>
      </c>
      <c r="F12" s="196" t="s">
        <v>275</v>
      </c>
      <c r="G12" s="197">
        <v>111030002</v>
      </c>
      <c r="H12" s="198" t="s">
        <v>276</v>
      </c>
      <c r="I12" s="199" t="s">
        <v>277</v>
      </c>
      <c r="J12" s="200" t="s">
        <v>42</v>
      </c>
      <c r="K12" s="197" t="s">
        <v>81</v>
      </c>
      <c r="L12" s="197" t="s">
        <v>278</v>
      </c>
      <c r="M12" s="196" t="s">
        <v>279</v>
      </c>
      <c r="N12" s="201">
        <v>15</v>
      </c>
      <c r="O12" s="202">
        <v>101351732001</v>
      </c>
      <c r="P12" s="203" t="s">
        <v>280</v>
      </c>
      <c r="Q12" s="187">
        <v>993442428</v>
      </c>
      <c r="R12" s="187"/>
      <c r="S12" s="187" t="s">
        <v>281</v>
      </c>
      <c r="T12" s="204"/>
    </row>
    <row r="13" spans="1:20" s="205" customFormat="1" ht="56.25" customHeight="1">
      <c r="A13" s="192">
        <v>5</v>
      </c>
      <c r="B13" s="193">
        <v>45264</v>
      </c>
      <c r="C13" s="194">
        <v>45472</v>
      </c>
      <c r="D13" s="195"/>
      <c r="E13" s="195"/>
      <c r="F13" s="196" t="s">
        <v>282</v>
      </c>
      <c r="G13" s="197">
        <v>114270008</v>
      </c>
      <c r="H13" s="198" t="s">
        <v>283</v>
      </c>
      <c r="I13" s="199" t="s">
        <v>284</v>
      </c>
      <c r="J13" s="200" t="s">
        <v>42</v>
      </c>
      <c r="K13" s="197" t="s">
        <v>81</v>
      </c>
      <c r="L13" s="197" t="s">
        <v>278</v>
      </c>
      <c r="M13" s="196" t="s">
        <v>644</v>
      </c>
      <c r="N13" s="201">
        <v>18.75</v>
      </c>
      <c r="O13" s="202">
        <v>101351732001</v>
      </c>
      <c r="P13" s="203" t="s">
        <v>280</v>
      </c>
      <c r="Q13" s="187">
        <v>993442428</v>
      </c>
      <c r="R13" s="187"/>
      <c r="S13" s="187" t="s">
        <v>281</v>
      </c>
      <c r="T13" s="204"/>
    </row>
    <row r="14" spans="1:20" s="205" customFormat="1" ht="56.25" customHeight="1">
      <c r="A14" s="192">
        <v>6</v>
      </c>
      <c r="B14" s="193">
        <v>45346</v>
      </c>
      <c r="C14" s="194">
        <v>45475</v>
      </c>
      <c r="D14" s="195"/>
      <c r="E14" s="195"/>
      <c r="F14" s="196" t="s">
        <v>285</v>
      </c>
      <c r="G14" s="197">
        <v>111000051</v>
      </c>
      <c r="H14" s="198" t="s">
        <v>99</v>
      </c>
      <c r="I14" s="199" t="s">
        <v>287</v>
      </c>
      <c r="J14" s="200" t="s">
        <v>42</v>
      </c>
      <c r="K14" s="197" t="s">
        <v>81</v>
      </c>
      <c r="L14" s="197" t="s">
        <v>286</v>
      </c>
      <c r="M14" s="196" t="s">
        <v>645</v>
      </c>
      <c r="N14" s="201">
        <v>15</v>
      </c>
      <c r="O14" s="202">
        <v>101608123</v>
      </c>
      <c r="P14" s="203" t="s">
        <v>288</v>
      </c>
      <c r="Q14" s="187">
        <v>999352423</v>
      </c>
      <c r="R14" s="187"/>
      <c r="S14" s="187" t="s">
        <v>289</v>
      </c>
      <c r="T14" s="204"/>
    </row>
    <row r="15" spans="1:20" s="205" customFormat="1" ht="56.25" customHeight="1">
      <c r="A15" s="192">
        <v>7</v>
      </c>
      <c r="B15" s="193">
        <v>45538</v>
      </c>
      <c r="C15" s="194">
        <v>45498</v>
      </c>
      <c r="D15" s="195">
        <v>1</v>
      </c>
      <c r="E15" s="195">
        <v>89632036</v>
      </c>
      <c r="F15" s="196" t="s">
        <v>342</v>
      </c>
      <c r="G15" s="197">
        <v>40584401</v>
      </c>
      <c r="H15" s="198" t="s">
        <v>343</v>
      </c>
      <c r="I15" s="199" t="s">
        <v>344</v>
      </c>
      <c r="J15" s="200" t="s">
        <v>42</v>
      </c>
      <c r="K15" s="197" t="s">
        <v>81</v>
      </c>
      <c r="L15" s="197" t="s">
        <v>345</v>
      </c>
      <c r="M15" s="196" t="s">
        <v>346</v>
      </c>
      <c r="N15" s="201">
        <v>15</v>
      </c>
      <c r="O15" s="202">
        <v>703988089</v>
      </c>
      <c r="P15" s="203" t="s">
        <v>347</v>
      </c>
      <c r="Q15" s="187">
        <v>993015960</v>
      </c>
      <c r="R15" s="187"/>
      <c r="S15" s="187">
        <v>16006000015085</v>
      </c>
    </row>
    <row r="16" spans="1:20" s="205" customFormat="1" ht="56.25" customHeight="1">
      <c r="A16" s="192">
        <v>8</v>
      </c>
      <c r="B16" s="193">
        <v>45472</v>
      </c>
      <c r="C16" s="194">
        <v>45489</v>
      </c>
      <c r="D16" s="195"/>
      <c r="E16" s="195"/>
      <c r="F16" s="196" t="s">
        <v>538</v>
      </c>
      <c r="G16" s="197">
        <v>113430016</v>
      </c>
      <c r="H16" s="198" t="s">
        <v>96</v>
      </c>
      <c r="I16" s="199" t="s">
        <v>525</v>
      </c>
      <c r="J16" s="200" t="s">
        <v>42</v>
      </c>
      <c r="K16" s="197" t="s">
        <v>81</v>
      </c>
      <c r="L16" s="197" t="s">
        <v>526</v>
      </c>
      <c r="M16" s="196" t="s">
        <v>646</v>
      </c>
      <c r="N16" s="201">
        <v>18.75</v>
      </c>
      <c r="O16" s="202">
        <v>103066064</v>
      </c>
      <c r="P16" s="203" t="s">
        <v>527</v>
      </c>
      <c r="Q16" s="187">
        <v>984012317</v>
      </c>
      <c r="R16" s="187"/>
      <c r="S16" s="187" t="s">
        <v>528</v>
      </c>
    </row>
    <row r="17" spans="1:19" s="205" customFormat="1" ht="51" customHeight="1">
      <c r="A17" s="192"/>
      <c r="B17"/>
      <c r="C17"/>
      <c r="D17"/>
      <c r="E17"/>
      <c r="F17"/>
      <c r="G17"/>
      <c r="H17"/>
      <c r="I17"/>
      <c r="J17" s="208">
        <v>3</v>
      </c>
      <c r="K17" s="206" t="s">
        <v>107</v>
      </c>
      <c r="L17" s="208">
        <v>12.5</v>
      </c>
      <c r="M17" s="208">
        <f>J17*L17</f>
        <v>37.5</v>
      </c>
      <c r="N17" s="111">
        <f>SUM(N9:N16)</f>
        <v>120</v>
      </c>
      <c r="O17"/>
      <c r="P17"/>
      <c r="Q17"/>
      <c r="R17"/>
      <c r="S17"/>
    </row>
    <row r="18" spans="1:19" s="205" customFormat="1" ht="56.25" customHeight="1">
      <c r="A18" s="192"/>
      <c r="B18"/>
      <c r="C18"/>
      <c r="D18"/>
      <c r="E18"/>
      <c r="F18"/>
      <c r="G18"/>
      <c r="H18"/>
      <c r="I18"/>
      <c r="J18" s="207">
        <v>1</v>
      </c>
      <c r="K18" s="206" t="s">
        <v>108</v>
      </c>
      <c r="L18" s="208">
        <v>18.75</v>
      </c>
      <c r="M18" s="208">
        <v>18.75</v>
      </c>
      <c r="N18"/>
      <c r="O18"/>
      <c r="P18"/>
      <c r="Q18"/>
      <c r="R18"/>
      <c r="S18"/>
    </row>
    <row r="19" spans="1:19" s="205" customFormat="1" ht="36.75" customHeight="1">
      <c r="A19" s="192"/>
      <c r="B19"/>
      <c r="C19"/>
      <c r="D19"/>
      <c r="E19"/>
      <c r="F19"/>
      <c r="G19"/>
      <c r="H19"/>
      <c r="I19"/>
      <c r="J19" s="208">
        <v>2</v>
      </c>
      <c r="K19" s="206" t="s">
        <v>290</v>
      </c>
      <c r="L19" s="208">
        <v>15</v>
      </c>
      <c r="M19" s="208">
        <v>30</v>
      </c>
      <c r="N19"/>
      <c r="O19"/>
      <c r="P19">
        <v>3</v>
      </c>
      <c r="Q19"/>
      <c r="R19"/>
      <c r="S19"/>
    </row>
    <row r="20" spans="1:19" s="185" customFormat="1" ht="56.25" customHeight="1">
      <c r="A20" s="184"/>
      <c r="B20"/>
      <c r="C20"/>
      <c r="D20"/>
      <c r="E20"/>
      <c r="F20"/>
      <c r="G20"/>
      <c r="H20"/>
      <c r="I20"/>
      <c r="J20" s="208">
        <v>1</v>
      </c>
      <c r="K20" s="206" t="s">
        <v>348</v>
      </c>
      <c r="L20" s="208">
        <v>15</v>
      </c>
      <c r="M20" s="5">
        <v>15</v>
      </c>
      <c r="N20"/>
      <c r="O20"/>
      <c r="P20"/>
      <c r="Q20"/>
      <c r="R20"/>
      <c r="S20"/>
    </row>
    <row r="21" spans="1:19" s="185" customFormat="1" ht="31.5" customHeight="1">
      <c r="A21" s="184"/>
      <c r="B21"/>
      <c r="C21"/>
      <c r="D21"/>
      <c r="E21"/>
      <c r="F21"/>
      <c r="G21"/>
      <c r="H21"/>
      <c r="I21"/>
      <c r="J21" s="208">
        <v>1</v>
      </c>
      <c r="K21" s="206" t="s">
        <v>529</v>
      </c>
      <c r="L21" s="208">
        <v>18.75</v>
      </c>
      <c r="M21">
        <v>18.75</v>
      </c>
      <c r="N21"/>
      <c r="O21"/>
      <c r="P21"/>
      <c r="Q21"/>
      <c r="R21"/>
      <c r="S21"/>
    </row>
    <row r="22" spans="1:19" s="185" customFormat="1" ht="30" customHeight="1">
      <c r="A22" s="184"/>
      <c r="B22"/>
      <c r="C22"/>
      <c r="D22"/>
      <c r="E22"/>
      <c r="F22"/>
      <c r="G22"/>
      <c r="H22"/>
      <c r="I22"/>
      <c r="J22"/>
      <c r="K22"/>
      <c r="L22"/>
      <c r="M22">
        <f>SUM(M17:M21)</f>
        <v>120</v>
      </c>
      <c r="N22"/>
      <c r="O22"/>
      <c r="P22"/>
      <c r="Q22"/>
      <c r="R22"/>
      <c r="S22"/>
    </row>
    <row r="23" spans="1:19" s="185" customFormat="1" ht="30" customHeight="1">
      <c r="A23" s="184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s="185" customFormat="1" ht="24.75" customHeight="1">
      <c r="A24" s="18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s="185" customFormat="1" ht="56.25" customHeight="1">
      <c r="A25" s="184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s="185" customFormat="1" ht="56.25" customHeight="1">
      <c r="A26" s="184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9" s="185" customFormat="1" ht="56.25" customHeight="1">
      <c r="A27" s="184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4"/>
      <c r="Q27" s="74"/>
      <c r="R27" s="74"/>
      <c r="S27" s="74"/>
    </row>
    <row r="28" spans="1:19" s="185" customFormat="1" ht="17">
      <c r="A28" s="186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s="74"/>
      <c r="Q28" s="74"/>
      <c r="R28" s="74"/>
      <c r="S28" s="74"/>
    </row>
    <row r="29" spans="1:19" s="185" customFormat="1" ht="17">
      <c r="A29" s="186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s="74" customFormat="1" ht="17">
      <c r="A30" s="75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s="74" customFormat="1" ht="17">
      <c r="A31" s="75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</sheetData>
  <hyperlinks>
    <hyperlink ref="P11" r:id="rId1" xr:uid="{00000000-0004-0000-0100-000000000000}"/>
    <hyperlink ref="P12" r:id="rId2" xr:uid="{00000000-0004-0000-0100-000001000000}"/>
    <hyperlink ref="V27" r:id="rId3" display="santiago2217@icloud.com" xr:uid="{00000000-0004-0000-0100-000002000000}"/>
    <hyperlink ref="P14" r:id="rId4" xr:uid="{00000000-0004-0000-0100-000003000000}"/>
    <hyperlink ref="P13" r:id="rId5" xr:uid="{00000000-0004-0000-0100-000004000000}"/>
    <hyperlink ref="P15" r:id="rId6" xr:uid="{00000000-0004-0000-0100-000005000000}"/>
    <hyperlink ref="P16" r:id="rId7" xr:uid="{00000000-0004-0000-0100-000006000000}"/>
  </hyperlinks>
  <pageMargins left="0.7" right="0.7" top="0.75" bottom="0.75" header="0.3" footer="0.3"/>
  <pageSetup paperSize="9" orientation="portrait" horizontalDpi="0" verticalDpi="0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11"/>
  <sheetViews>
    <sheetView workbookViewId="0">
      <selection activeCell="H9" sqref="H9"/>
    </sheetView>
  </sheetViews>
  <sheetFormatPr baseColWidth="10" defaultRowHeight="15"/>
  <cols>
    <col min="2" max="2" width="11.33203125" bestFit="1" customWidth="1"/>
    <col min="5" max="5" width="16.6640625" customWidth="1"/>
    <col min="6" max="6" width="26.1640625" customWidth="1"/>
    <col min="7" max="7" width="16" customWidth="1"/>
    <col min="11" max="11" width="11.33203125" bestFit="1" customWidth="1"/>
    <col min="14" max="14" width="11.1640625" bestFit="1" customWidth="1"/>
    <col min="16" max="16" width="13.33203125" bestFit="1" customWidth="1"/>
    <col min="20" max="20" width="13.83203125" bestFit="1" customWidth="1"/>
  </cols>
  <sheetData>
    <row r="3" spans="1:21">
      <c r="A3" s="76"/>
      <c r="B3" s="77"/>
      <c r="C3" s="78" t="s">
        <v>43</v>
      </c>
      <c r="D3" s="77"/>
      <c r="E3" s="79"/>
      <c r="F3" s="77"/>
      <c r="G3" s="80"/>
      <c r="H3" s="77"/>
      <c r="I3" s="77"/>
      <c r="J3" s="77"/>
      <c r="K3" s="81"/>
      <c r="L3" s="81"/>
      <c r="M3" s="77"/>
      <c r="N3" s="77"/>
      <c r="O3" s="82"/>
      <c r="P3" s="77"/>
      <c r="Q3" s="77"/>
      <c r="R3" s="77"/>
      <c r="S3" s="77"/>
      <c r="T3" s="77"/>
      <c r="U3" s="83"/>
    </row>
    <row r="4" spans="1:21">
      <c r="A4" s="76"/>
      <c r="B4" s="77"/>
      <c r="C4" s="84" t="s">
        <v>44</v>
      </c>
      <c r="D4" s="77"/>
      <c r="E4" s="77"/>
      <c r="F4" s="77"/>
      <c r="G4" s="80"/>
      <c r="H4" s="77"/>
      <c r="I4" s="77" t="s">
        <v>45</v>
      </c>
      <c r="J4" s="77"/>
      <c r="K4" s="81"/>
      <c r="L4" s="81"/>
      <c r="M4" s="155" t="s">
        <v>260</v>
      </c>
      <c r="N4" s="77"/>
      <c r="O4" s="82"/>
      <c r="P4" s="77"/>
      <c r="Q4" s="85"/>
      <c r="R4" s="77"/>
      <c r="S4" s="77"/>
      <c r="T4" s="86"/>
      <c r="U4" s="87">
        <v>45474</v>
      </c>
    </row>
    <row r="5" spans="1:21" ht="37">
      <c r="A5" s="83"/>
      <c r="B5" s="88" t="s">
        <v>2</v>
      </c>
      <c r="C5" s="88" t="s">
        <v>3</v>
      </c>
      <c r="D5" s="88" t="s">
        <v>4</v>
      </c>
      <c r="E5" s="88" t="s">
        <v>5</v>
      </c>
      <c r="F5" s="88" t="s">
        <v>6</v>
      </c>
      <c r="G5" s="88" t="s">
        <v>7</v>
      </c>
      <c r="H5" s="88" t="s">
        <v>8</v>
      </c>
      <c r="I5" s="88" t="s">
        <v>9</v>
      </c>
      <c r="J5" s="88" t="s">
        <v>10</v>
      </c>
      <c r="K5" s="89" t="s">
        <v>46</v>
      </c>
      <c r="L5" s="89" t="s">
        <v>12</v>
      </c>
      <c r="M5" s="89" t="s">
        <v>13</v>
      </c>
      <c r="N5" s="89" t="s">
        <v>14</v>
      </c>
      <c r="O5" s="90" t="s">
        <v>15</v>
      </c>
      <c r="P5" s="89" t="s">
        <v>47</v>
      </c>
      <c r="Q5" s="89" t="s">
        <v>48</v>
      </c>
      <c r="R5" s="91" t="s">
        <v>49</v>
      </c>
      <c r="S5" s="91" t="s">
        <v>19</v>
      </c>
      <c r="T5" s="92" t="s">
        <v>20</v>
      </c>
      <c r="U5" s="93" t="s">
        <v>50</v>
      </c>
    </row>
    <row r="6" spans="1:21" s="39" customFormat="1" ht="23.25" customHeight="1">
      <c r="A6" s="94">
        <v>1</v>
      </c>
      <c r="B6" s="100">
        <v>45474</v>
      </c>
      <c r="C6" s="101" t="s">
        <v>51</v>
      </c>
      <c r="D6" s="96" t="s">
        <v>106</v>
      </c>
      <c r="E6" s="97">
        <v>111570003</v>
      </c>
      <c r="F6" s="98" t="s">
        <v>83</v>
      </c>
      <c r="G6" s="102" t="s">
        <v>291</v>
      </c>
      <c r="H6" s="103">
        <v>421303</v>
      </c>
      <c r="I6" s="104" t="s">
        <v>77</v>
      </c>
      <c r="J6" s="104" t="s">
        <v>78</v>
      </c>
      <c r="K6" s="100">
        <v>45474</v>
      </c>
      <c r="L6" s="101" t="s">
        <v>293</v>
      </c>
      <c r="M6" s="99" t="s">
        <v>105</v>
      </c>
      <c r="N6" s="190">
        <v>963511443</v>
      </c>
      <c r="O6" s="105">
        <v>29</v>
      </c>
      <c r="P6" s="101" t="s">
        <v>52</v>
      </c>
      <c r="Q6" s="101" t="s">
        <v>77</v>
      </c>
      <c r="R6" s="106">
        <v>0</v>
      </c>
      <c r="S6" s="106">
        <v>0</v>
      </c>
      <c r="T6" s="107">
        <v>1714494646</v>
      </c>
      <c r="U6" s="154" t="s">
        <v>130</v>
      </c>
    </row>
    <row r="7" spans="1:21" ht="18">
      <c r="A7">
        <v>2</v>
      </c>
      <c r="B7" s="100">
        <v>45474</v>
      </c>
      <c r="C7" s="101" t="s">
        <v>51</v>
      </c>
      <c r="D7" s="96" t="s">
        <v>106</v>
      </c>
      <c r="E7" s="97">
        <v>111570003</v>
      </c>
      <c r="F7" s="98" t="s">
        <v>83</v>
      </c>
      <c r="G7" s="102" t="s">
        <v>292</v>
      </c>
      <c r="H7" s="103">
        <v>418703</v>
      </c>
      <c r="I7" s="104" t="s">
        <v>77</v>
      </c>
      <c r="J7" s="104" t="s">
        <v>78</v>
      </c>
      <c r="K7" s="100">
        <v>45462</v>
      </c>
      <c r="L7" s="101" t="s">
        <v>293</v>
      </c>
      <c r="M7" s="99" t="s">
        <v>105</v>
      </c>
      <c r="N7" s="190">
        <v>963511443</v>
      </c>
      <c r="O7" s="105">
        <v>29</v>
      </c>
      <c r="P7" s="101" t="s">
        <v>52</v>
      </c>
      <c r="Q7" s="101" t="s">
        <v>77</v>
      </c>
      <c r="R7" s="106">
        <v>0</v>
      </c>
      <c r="S7" s="106">
        <v>0</v>
      </c>
      <c r="T7" s="107">
        <v>1714494646</v>
      </c>
      <c r="U7" s="154" t="s">
        <v>130</v>
      </c>
    </row>
    <row r="8" spans="1:21" ht="18">
      <c r="A8" s="94">
        <v>3</v>
      </c>
      <c r="B8" s="100">
        <v>45439</v>
      </c>
      <c r="C8" s="101" t="s">
        <v>51</v>
      </c>
      <c r="D8" s="96" t="s">
        <v>243</v>
      </c>
      <c r="E8" s="97">
        <v>111570002</v>
      </c>
      <c r="F8" s="98" t="s">
        <v>294</v>
      </c>
      <c r="G8" s="102" t="s">
        <v>295</v>
      </c>
      <c r="H8" s="103" t="s">
        <v>42</v>
      </c>
      <c r="I8" s="104" t="s">
        <v>77</v>
      </c>
      <c r="J8" s="104" t="s">
        <v>78</v>
      </c>
      <c r="K8" s="100">
        <v>45477</v>
      </c>
      <c r="L8" s="101" t="s">
        <v>245</v>
      </c>
      <c r="M8" s="99" t="s">
        <v>246</v>
      </c>
      <c r="N8" s="190">
        <v>979656380</v>
      </c>
      <c r="O8" s="105">
        <v>29</v>
      </c>
      <c r="P8" s="101" t="s">
        <v>52</v>
      </c>
      <c r="Q8" s="101" t="s">
        <v>77</v>
      </c>
      <c r="R8" s="106">
        <v>0</v>
      </c>
      <c r="S8" s="106">
        <v>0</v>
      </c>
      <c r="T8" s="107">
        <v>601095623</v>
      </c>
      <c r="U8" s="154" t="s">
        <v>247</v>
      </c>
    </row>
    <row r="9" spans="1:21" ht="18">
      <c r="A9">
        <v>4</v>
      </c>
      <c r="B9" s="100">
        <v>45395</v>
      </c>
      <c r="C9" s="101" t="s">
        <v>119</v>
      </c>
      <c r="D9" s="96" t="s">
        <v>506</v>
      </c>
      <c r="E9" s="97">
        <v>111570003</v>
      </c>
      <c r="F9" s="98" t="s">
        <v>83</v>
      </c>
      <c r="G9" s="102" t="s">
        <v>640</v>
      </c>
      <c r="H9" s="103">
        <v>421836</v>
      </c>
      <c r="I9" s="104" t="s">
        <v>77</v>
      </c>
      <c r="J9" s="104" t="s">
        <v>78</v>
      </c>
      <c r="K9" s="100">
        <v>45486</v>
      </c>
      <c r="L9" s="101" t="s">
        <v>507</v>
      </c>
      <c r="M9" s="99" t="s">
        <v>508</v>
      </c>
      <c r="N9" s="190">
        <v>998164646</v>
      </c>
      <c r="O9" s="105">
        <v>29</v>
      </c>
      <c r="P9" s="101" t="s">
        <v>52</v>
      </c>
      <c r="Q9" s="101" t="s">
        <v>77</v>
      </c>
      <c r="R9" s="106">
        <v>0</v>
      </c>
      <c r="S9" s="106">
        <v>0</v>
      </c>
      <c r="T9" s="107">
        <v>103247276</v>
      </c>
      <c r="U9" s="154" t="s">
        <v>509</v>
      </c>
    </row>
    <row r="10" spans="1:21" ht="18">
      <c r="A10">
        <v>5</v>
      </c>
      <c r="B10" s="100">
        <v>45491</v>
      </c>
      <c r="C10" s="101" t="s">
        <v>638</v>
      </c>
      <c r="D10" s="96" t="s">
        <v>639</v>
      </c>
      <c r="E10" s="97">
        <v>111570003</v>
      </c>
      <c r="F10" s="98" t="s">
        <v>83</v>
      </c>
      <c r="G10" s="102" t="s">
        <v>634</v>
      </c>
      <c r="H10" s="103">
        <v>420284</v>
      </c>
      <c r="I10" s="104" t="s">
        <v>77</v>
      </c>
      <c r="J10" s="104" t="s">
        <v>78</v>
      </c>
      <c r="K10" s="100">
        <v>45492</v>
      </c>
      <c r="L10" s="101" t="s">
        <v>635</v>
      </c>
      <c r="M10" s="99" t="s">
        <v>636</v>
      </c>
      <c r="N10" s="190">
        <v>963845316</v>
      </c>
      <c r="O10" s="105">
        <v>29</v>
      </c>
      <c r="P10" s="101" t="s">
        <v>52</v>
      </c>
      <c r="Q10" s="101" t="s">
        <v>77</v>
      </c>
      <c r="R10" s="106">
        <v>0</v>
      </c>
      <c r="S10" s="106">
        <v>0</v>
      </c>
      <c r="T10" s="107">
        <v>101419703</v>
      </c>
      <c r="U10" s="154" t="s">
        <v>637</v>
      </c>
    </row>
    <row r="11" spans="1:21" ht="17">
      <c r="I11" s="95">
        <v>5</v>
      </c>
      <c r="J11" t="s">
        <v>45</v>
      </c>
      <c r="K11" s="95">
        <v>29</v>
      </c>
      <c r="L11" s="95">
        <f>I11*K11</f>
        <v>145</v>
      </c>
      <c r="O11" s="111">
        <f>SUM(O6:O10)</f>
        <v>145</v>
      </c>
    </row>
  </sheetData>
  <hyperlinks>
    <hyperlink ref="U6" r:id="rId1" xr:uid="{00000000-0004-0000-0200-000000000000}"/>
    <hyperlink ref="U7" r:id="rId2" xr:uid="{00000000-0004-0000-0200-000001000000}"/>
    <hyperlink ref="U8" r:id="rId3" xr:uid="{00000000-0004-0000-0200-000002000000}"/>
    <hyperlink ref="U9" r:id="rId4" xr:uid="{00000000-0004-0000-0200-000003000000}"/>
    <hyperlink ref="U10" r:id="rId5" xr:uid="{00000000-0004-0000-0200-000004000000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9"/>
  <sheetViews>
    <sheetView workbookViewId="0">
      <selection activeCell="M9" sqref="M9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8" t="s">
        <v>53</v>
      </c>
      <c r="D4" s="109"/>
      <c r="E4" s="109"/>
      <c r="F4" s="5"/>
      <c r="G4" s="109"/>
      <c r="H4" s="109"/>
      <c r="I4" s="109"/>
      <c r="J4" s="109"/>
      <c r="K4" s="109"/>
      <c r="L4" s="109"/>
      <c r="M4" s="109"/>
      <c r="N4" s="109"/>
      <c r="O4" s="109"/>
      <c r="P4" s="5"/>
    </row>
    <row r="5" spans="1:22" ht="16" thickBot="1">
      <c r="A5" s="5"/>
      <c r="B5" s="109"/>
      <c r="C5" s="110" t="s">
        <v>1</v>
      </c>
      <c r="D5" s="110"/>
      <c r="E5" s="110"/>
      <c r="F5" s="5"/>
      <c r="J5" t="s">
        <v>65</v>
      </c>
      <c r="K5" s="5"/>
      <c r="L5" s="118" t="s">
        <v>132</v>
      </c>
      <c r="P5" s="5"/>
    </row>
    <row r="6" spans="1:22" s="23" customFormat="1" ht="58.5" customHeight="1">
      <c r="A6" s="112"/>
      <c r="B6" s="113" t="s">
        <v>54</v>
      </c>
      <c r="C6" s="114" t="s">
        <v>55</v>
      </c>
      <c r="D6" s="114" t="s">
        <v>4</v>
      </c>
      <c r="E6" s="115" t="s">
        <v>56</v>
      </c>
      <c r="F6" s="114" t="s">
        <v>57</v>
      </c>
      <c r="G6" s="114" t="s">
        <v>58</v>
      </c>
      <c r="H6" s="113" t="s">
        <v>8</v>
      </c>
      <c r="I6" s="114" t="s">
        <v>59</v>
      </c>
      <c r="J6" s="114" t="s">
        <v>60</v>
      </c>
      <c r="K6" s="114" t="s">
        <v>61</v>
      </c>
      <c r="L6" s="114" t="s">
        <v>12</v>
      </c>
      <c r="M6" s="116" t="s">
        <v>62</v>
      </c>
      <c r="N6" s="114" t="s">
        <v>14</v>
      </c>
      <c r="O6" s="117" t="s">
        <v>15</v>
      </c>
      <c r="P6" s="114" t="s">
        <v>63</v>
      </c>
      <c r="Q6" s="116"/>
      <c r="R6" s="116"/>
    </row>
    <row r="7" spans="1:22" s="39" customFormat="1" ht="24" customHeight="1">
      <c r="A7" s="24">
        <v>1</v>
      </c>
      <c r="B7" s="25"/>
      <c r="C7" s="26" t="s">
        <v>79</v>
      </c>
      <c r="D7" s="26" t="s">
        <v>64</v>
      </c>
      <c r="E7" s="27"/>
      <c r="F7" s="28"/>
      <c r="G7" s="29"/>
      <c r="H7" s="30" t="s">
        <v>42</v>
      </c>
      <c r="I7" s="26" t="s">
        <v>81</v>
      </c>
      <c r="J7" s="29" t="s">
        <v>82</v>
      </c>
      <c r="K7" s="31"/>
      <c r="L7" s="32" t="s">
        <v>79</v>
      </c>
      <c r="M7" s="32"/>
      <c r="N7" s="188"/>
      <c r="O7" s="33"/>
      <c r="P7" s="26" t="s">
        <v>109</v>
      </c>
      <c r="Q7" s="26"/>
      <c r="R7" s="191"/>
      <c r="S7" s="35"/>
      <c r="T7" s="36"/>
      <c r="U7" s="37"/>
      <c r="V7" s="38"/>
    </row>
    <row r="8" spans="1:22">
      <c r="O8" s="111"/>
    </row>
    <row r="9" spans="1:22">
      <c r="N9">
        <f>K9*M9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H12" sqref="H12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9"/>
      <c r="B1" s="120" t="s">
        <v>66</v>
      </c>
      <c r="C1" s="121"/>
      <c r="D1" s="120"/>
      <c r="E1" s="122"/>
      <c r="F1" s="122"/>
      <c r="G1" s="123"/>
      <c r="H1" s="123"/>
      <c r="I1" s="123"/>
      <c r="J1" s="123"/>
      <c r="K1" s="123"/>
      <c r="L1" s="123"/>
      <c r="M1" s="124"/>
      <c r="N1" s="123"/>
      <c r="O1" s="123"/>
      <c r="P1" s="123"/>
    </row>
    <row r="2" spans="1:21">
      <c r="A2" s="119"/>
      <c r="B2" s="125" t="s">
        <v>88</v>
      </c>
      <c r="C2" s="126"/>
      <c r="D2" s="122"/>
      <c r="E2" s="122"/>
      <c r="F2" s="122"/>
      <c r="G2" s="123"/>
      <c r="H2" s="123"/>
      <c r="I2" s="123"/>
      <c r="J2" s="123"/>
      <c r="K2" s="123"/>
      <c r="L2" s="123"/>
      <c r="M2" s="124"/>
      <c r="N2" s="123"/>
      <c r="O2" s="123"/>
      <c r="P2" s="123"/>
    </row>
    <row r="3" spans="1:21">
      <c r="A3" s="119"/>
      <c r="B3" s="127"/>
      <c r="C3" s="128"/>
      <c r="D3" s="127"/>
      <c r="E3" s="127"/>
      <c r="F3" s="127"/>
      <c r="G3" s="127"/>
      <c r="H3" s="127"/>
      <c r="I3" s="129"/>
      <c r="J3" s="127"/>
      <c r="K3" s="122"/>
      <c r="L3" s="122"/>
      <c r="M3" s="130"/>
      <c r="N3" s="123"/>
      <c r="O3" s="123"/>
      <c r="P3" s="127"/>
    </row>
    <row r="4" spans="1:21">
      <c r="A4" s="119"/>
      <c r="B4" s="123"/>
      <c r="C4" s="128" t="s">
        <v>0</v>
      </c>
      <c r="D4" s="123"/>
      <c r="E4" s="131"/>
      <c r="F4" s="123"/>
      <c r="G4" s="132"/>
      <c r="H4" s="123"/>
      <c r="I4" s="123"/>
      <c r="J4" s="123"/>
      <c r="K4" s="122"/>
      <c r="L4" s="126"/>
      <c r="M4" s="124"/>
      <c r="N4" s="123"/>
      <c r="O4" s="123"/>
      <c r="P4" s="123"/>
    </row>
    <row r="5" spans="1:21">
      <c r="A5" s="119"/>
      <c r="B5" s="123"/>
      <c r="C5" s="133" t="s">
        <v>1</v>
      </c>
      <c r="D5" s="133" t="s">
        <v>1</v>
      </c>
      <c r="E5" s="123"/>
      <c r="G5" s="123"/>
      <c r="H5" s="123"/>
      <c r="I5" s="123"/>
      <c r="J5" s="123" t="s">
        <v>76</v>
      </c>
      <c r="K5" s="123"/>
      <c r="L5" s="123"/>
      <c r="M5" s="123" t="s">
        <v>261</v>
      </c>
    </row>
    <row r="6" spans="1:21" ht="37">
      <c r="A6" s="119"/>
      <c r="B6" s="134" t="s">
        <v>2</v>
      </c>
      <c r="C6" s="134" t="s">
        <v>3</v>
      </c>
      <c r="D6" s="134" t="s">
        <v>4</v>
      </c>
      <c r="E6" s="134" t="s">
        <v>5</v>
      </c>
      <c r="F6" s="135" t="s">
        <v>6</v>
      </c>
      <c r="G6" s="134" t="s">
        <v>7</v>
      </c>
      <c r="H6" s="134" t="s">
        <v>8</v>
      </c>
      <c r="I6" s="134" t="s">
        <v>9</v>
      </c>
      <c r="J6" s="134" t="s">
        <v>10</v>
      </c>
      <c r="K6" s="134" t="s">
        <v>11</v>
      </c>
      <c r="L6" s="134" t="s">
        <v>68</v>
      </c>
      <c r="M6" s="136" t="s">
        <v>69</v>
      </c>
      <c r="N6" s="134" t="s">
        <v>70</v>
      </c>
      <c r="O6" s="134" t="s">
        <v>67</v>
      </c>
      <c r="P6" s="134" t="s">
        <v>71</v>
      </c>
      <c r="Q6" s="134" t="s">
        <v>72</v>
      </c>
      <c r="R6" s="134" t="s">
        <v>73</v>
      </c>
      <c r="S6" s="134" t="s">
        <v>74</v>
      </c>
      <c r="T6" s="136" t="s">
        <v>75</v>
      </c>
      <c r="U6" s="134" t="s">
        <v>13</v>
      </c>
    </row>
    <row r="7" spans="1:21" s="40" customFormat="1" ht="24" customHeight="1">
      <c r="A7" s="40">
        <v>1</v>
      </c>
      <c r="B7" s="137"/>
      <c r="C7" s="138"/>
      <c r="D7" s="138"/>
      <c r="E7" s="139"/>
      <c r="F7" s="138"/>
      <c r="G7" s="140"/>
      <c r="H7" s="141" t="s">
        <v>42</v>
      </c>
      <c r="I7" s="142" t="s">
        <v>89</v>
      </c>
      <c r="J7" s="142" t="s">
        <v>78</v>
      </c>
      <c r="K7" s="143"/>
      <c r="L7" s="144"/>
      <c r="M7" s="144"/>
      <c r="N7" s="145"/>
      <c r="O7" s="146" t="s">
        <v>90</v>
      </c>
      <c r="P7" s="138"/>
      <c r="Q7" s="189"/>
      <c r="R7" s="148"/>
      <c r="S7" s="144"/>
      <c r="T7" s="144"/>
      <c r="U7" s="147"/>
    </row>
    <row r="8" spans="1:21" s="40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 s="149"/>
      <c r="O8"/>
      <c r="P8"/>
      <c r="Q8"/>
      <c r="R8"/>
      <c r="S8"/>
      <c r="T8"/>
      <c r="U8"/>
    </row>
    <row r="9" spans="1:21" s="40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40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40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40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40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40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40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40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40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40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40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40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40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40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40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40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40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40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40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40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40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40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40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40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40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40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40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40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40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40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40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40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40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40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9"/>
  <sheetViews>
    <sheetView topLeftCell="A16" zoomScale="110" zoomScaleNormal="110" workbookViewId="0">
      <selection activeCell="L6" sqref="L6"/>
    </sheetView>
  </sheetViews>
  <sheetFormatPr baseColWidth="10" defaultRowHeight="15"/>
  <sheetData>
    <row r="1" spans="1:21" ht="16">
      <c r="G1" s="183"/>
    </row>
    <row r="2" spans="1:21">
      <c r="B2" s="156"/>
      <c r="C2" s="157" t="s">
        <v>0</v>
      </c>
      <c r="F2" s="158"/>
      <c r="G2" s="159"/>
      <c r="H2" s="160"/>
      <c r="I2" s="161"/>
      <c r="J2" s="162"/>
      <c r="K2" s="163"/>
      <c r="L2" s="164"/>
      <c r="M2" s="164"/>
      <c r="N2" s="156"/>
      <c r="O2" s="165"/>
      <c r="T2" s="166"/>
    </row>
    <row r="3" spans="1:21">
      <c r="B3" s="156"/>
      <c r="C3" s="167" t="s">
        <v>1</v>
      </c>
      <c r="F3" s="168"/>
      <c r="G3" s="159"/>
      <c r="H3" s="160"/>
      <c r="I3" s="161"/>
      <c r="J3" s="162" t="s">
        <v>85</v>
      </c>
      <c r="K3" s="163"/>
      <c r="L3" s="164"/>
      <c r="M3" s="169"/>
      <c r="N3" s="170" t="s">
        <v>262</v>
      </c>
      <c r="O3" s="165"/>
      <c r="P3" s="171"/>
      <c r="T3" s="166"/>
    </row>
    <row r="4" spans="1:21" ht="20">
      <c r="B4" s="172" t="s">
        <v>11</v>
      </c>
      <c r="C4" s="172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9</v>
      </c>
      <c r="K4" s="172" t="s">
        <v>10</v>
      </c>
      <c r="L4" s="173" t="s">
        <v>12</v>
      </c>
      <c r="M4" s="173" t="s">
        <v>13</v>
      </c>
      <c r="N4" s="172" t="s">
        <v>14</v>
      </c>
      <c r="O4" s="174" t="s">
        <v>15</v>
      </c>
      <c r="P4" s="172" t="s">
        <v>16</v>
      </c>
      <c r="Q4" s="172" t="s">
        <v>17</v>
      </c>
      <c r="R4" s="175" t="s">
        <v>18</v>
      </c>
      <c r="S4" s="172" t="s">
        <v>19</v>
      </c>
      <c r="T4" s="172" t="s">
        <v>20</v>
      </c>
      <c r="U4" s="176" t="s">
        <v>21</v>
      </c>
    </row>
    <row r="5" spans="1:21">
      <c r="A5">
        <v>1</v>
      </c>
      <c r="B5" s="177">
        <v>45464</v>
      </c>
      <c r="C5" s="177">
        <v>45456</v>
      </c>
      <c r="D5" s="177" t="s">
        <v>111</v>
      </c>
      <c r="E5" s="177" t="s">
        <v>349</v>
      </c>
      <c r="F5" s="178" t="s">
        <v>125</v>
      </c>
      <c r="G5" s="177" t="s">
        <v>126</v>
      </c>
      <c r="H5" s="177" t="s">
        <v>350</v>
      </c>
      <c r="I5" s="178" t="s">
        <v>42</v>
      </c>
      <c r="J5" s="177" t="s">
        <v>81</v>
      </c>
      <c r="K5" s="177" t="s">
        <v>82</v>
      </c>
      <c r="L5" s="177" t="s">
        <v>351</v>
      </c>
      <c r="M5" s="177" t="s">
        <v>352</v>
      </c>
      <c r="N5" s="179">
        <v>969934895</v>
      </c>
      <c r="O5" s="180">
        <v>15</v>
      </c>
      <c r="P5" s="177" t="s">
        <v>86</v>
      </c>
      <c r="Q5" s="177" t="s">
        <v>81</v>
      </c>
      <c r="R5" s="177"/>
      <c r="S5" s="177" t="s">
        <v>349</v>
      </c>
      <c r="T5" s="181">
        <v>10340923</v>
      </c>
      <c r="U5" s="210" t="s">
        <v>353</v>
      </c>
    </row>
    <row r="6" spans="1:21">
      <c r="A6">
        <v>2</v>
      </c>
      <c r="B6" s="177">
        <v>45463</v>
      </c>
      <c r="C6" s="177">
        <v>45464</v>
      </c>
      <c r="D6" s="177" t="s">
        <v>111</v>
      </c>
      <c r="E6" s="177" t="s">
        <v>354</v>
      </c>
      <c r="F6" s="178" t="s">
        <v>120</v>
      </c>
      <c r="G6" s="177" t="s">
        <v>355</v>
      </c>
      <c r="H6" s="177" t="s">
        <v>356</v>
      </c>
      <c r="I6" s="178" t="s">
        <v>42</v>
      </c>
      <c r="J6" s="177" t="s">
        <v>81</v>
      </c>
      <c r="K6" s="177" t="s">
        <v>82</v>
      </c>
      <c r="L6" s="177" t="s">
        <v>357</v>
      </c>
      <c r="M6" s="177" t="s">
        <v>359</v>
      </c>
      <c r="N6" s="179">
        <v>984617241</v>
      </c>
      <c r="O6" s="180">
        <v>15</v>
      </c>
      <c r="P6" s="177" t="s">
        <v>86</v>
      </c>
      <c r="Q6" s="177" t="s">
        <v>81</v>
      </c>
      <c r="R6" s="177"/>
      <c r="S6" s="177" t="s">
        <v>354</v>
      </c>
      <c r="T6" s="181">
        <v>152540571</v>
      </c>
      <c r="U6" s="182" t="s">
        <v>358</v>
      </c>
    </row>
    <row r="7" spans="1:21">
      <c r="A7">
        <v>3</v>
      </c>
      <c r="B7" s="177" t="s">
        <v>360</v>
      </c>
      <c r="C7" s="177">
        <v>45456</v>
      </c>
      <c r="D7" s="177" t="s">
        <v>361</v>
      </c>
      <c r="E7" s="177" t="s">
        <v>362</v>
      </c>
      <c r="F7" s="178" t="s">
        <v>363</v>
      </c>
      <c r="G7" s="177" t="s">
        <v>364</v>
      </c>
      <c r="H7" s="177" t="s">
        <v>365</v>
      </c>
      <c r="I7" s="178" t="s">
        <v>42</v>
      </c>
      <c r="J7" s="177" t="s">
        <v>81</v>
      </c>
      <c r="K7" s="177" t="s">
        <v>82</v>
      </c>
      <c r="L7" s="177" t="s">
        <v>366</v>
      </c>
      <c r="M7" s="177" t="s">
        <v>367</v>
      </c>
      <c r="N7" s="179">
        <v>987991869</v>
      </c>
      <c r="O7" s="180">
        <v>25</v>
      </c>
      <c r="P7" s="177" t="s">
        <v>86</v>
      </c>
      <c r="Q7" s="177" t="s">
        <v>81</v>
      </c>
      <c r="R7" s="177"/>
      <c r="S7" s="177" t="s">
        <v>362</v>
      </c>
      <c r="T7" s="181">
        <v>1714206453</v>
      </c>
      <c r="U7" s="210" t="s">
        <v>368</v>
      </c>
    </row>
    <row r="8" spans="1:21">
      <c r="A8">
        <v>4</v>
      </c>
      <c r="B8" s="177">
        <v>45467</v>
      </c>
      <c r="C8" s="177">
        <v>45463</v>
      </c>
      <c r="D8" s="177" t="s">
        <v>79</v>
      </c>
      <c r="E8" s="177" t="s">
        <v>369</v>
      </c>
      <c r="F8" s="178" t="s">
        <v>370</v>
      </c>
      <c r="G8" s="177" t="s">
        <v>371</v>
      </c>
      <c r="H8" s="177" t="s">
        <v>372</v>
      </c>
      <c r="I8" s="178" t="s">
        <v>373</v>
      </c>
      <c r="J8" s="177" t="s">
        <v>81</v>
      </c>
      <c r="K8" s="177" t="s">
        <v>82</v>
      </c>
      <c r="L8" s="177" t="s">
        <v>374</v>
      </c>
      <c r="M8" s="177" t="s">
        <v>375</v>
      </c>
      <c r="N8" s="179">
        <v>982893400</v>
      </c>
      <c r="O8" s="180">
        <v>29</v>
      </c>
      <c r="P8" s="177" t="s">
        <v>86</v>
      </c>
      <c r="Q8" s="177" t="s">
        <v>81</v>
      </c>
      <c r="R8" s="177"/>
      <c r="S8" s="177" t="s">
        <v>369</v>
      </c>
      <c r="T8" s="181">
        <v>103420113</v>
      </c>
      <c r="U8" s="210" t="s">
        <v>376</v>
      </c>
    </row>
    <row r="9" spans="1:21">
      <c r="A9">
        <v>5</v>
      </c>
      <c r="B9" s="177">
        <v>45468</v>
      </c>
      <c r="C9" s="177">
        <v>45454</v>
      </c>
      <c r="D9" s="177" t="s">
        <v>361</v>
      </c>
      <c r="E9" s="177" t="s">
        <v>377</v>
      </c>
      <c r="F9" s="178" t="s">
        <v>378</v>
      </c>
      <c r="G9" s="177" t="s">
        <v>379</v>
      </c>
      <c r="H9" s="177" t="s">
        <v>380</v>
      </c>
      <c r="I9" s="178" t="s">
        <v>381</v>
      </c>
      <c r="J9" s="177" t="s">
        <v>81</v>
      </c>
      <c r="K9" s="177" t="s">
        <v>82</v>
      </c>
      <c r="L9" s="177" t="s">
        <v>382</v>
      </c>
      <c r="M9" s="177" t="s">
        <v>383</v>
      </c>
      <c r="N9" s="179">
        <v>980939622</v>
      </c>
      <c r="O9" s="180">
        <v>29</v>
      </c>
      <c r="P9" s="177" t="s">
        <v>86</v>
      </c>
      <c r="Q9" s="177" t="s">
        <v>81</v>
      </c>
      <c r="R9" s="177"/>
      <c r="S9" s="177" t="s">
        <v>377</v>
      </c>
      <c r="T9" s="181">
        <v>107273765</v>
      </c>
      <c r="U9" s="210" t="s">
        <v>384</v>
      </c>
    </row>
    <row r="10" spans="1:21">
      <c r="A10">
        <v>6</v>
      </c>
      <c r="B10" s="177">
        <v>45469</v>
      </c>
      <c r="C10" s="177">
        <v>45468</v>
      </c>
      <c r="D10" s="177" t="s">
        <v>111</v>
      </c>
      <c r="E10" s="177" t="s">
        <v>385</v>
      </c>
      <c r="F10" s="178" t="s">
        <v>120</v>
      </c>
      <c r="G10" s="177" t="s">
        <v>355</v>
      </c>
      <c r="H10" s="177" t="s">
        <v>386</v>
      </c>
      <c r="I10" s="178" t="s">
        <v>42</v>
      </c>
      <c r="J10" s="177" t="s">
        <v>81</v>
      </c>
      <c r="K10" s="177" t="s">
        <v>82</v>
      </c>
      <c r="L10" s="177" t="s">
        <v>387</v>
      </c>
      <c r="M10" s="177" t="s">
        <v>388</v>
      </c>
      <c r="N10" s="179">
        <v>958908100</v>
      </c>
      <c r="O10" s="180">
        <v>15</v>
      </c>
      <c r="P10" s="177" t="s">
        <v>86</v>
      </c>
      <c r="Q10" s="177" t="s">
        <v>81</v>
      </c>
      <c r="R10" s="177"/>
      <c r="S10" s="177" t="s">
        <v>385</v>
      </c>
      <c r="T10" s="181">
        <v>105043160</v>
      </c>
      <c r="U10" s="210" t="s">
        <v>389</v>
      </c>
    </row>
    <row r="11" spans="1:21">
      <c r="A11">
        <v>7</v>
      </c>
      <c r="B11" s="177">
        <v>45470</v>
      </c>
      <c r="C11" s="177">
        <v>45197</v>
      </c>
      <c r="D11" s="177" t="s">
        <v>314</v>
      </c>
      <c r="E11" s="177" t="s">
        <v>390</v>
      </c>
      <c r="F11" s="178" t="s">
        <v>114</v>
      </c>
      <c r="G11" s="177" t="s">
        <v>101</v>
      </c>
      <c r="H11" s="177" t="s">
        <v>391</v>
      </c>
      <c r="I11" s="178" t="s">
        <v>392</v>
      </c>
      <c r="J11" s="177" t="s">
        <v>81</v>
      </c>
      <c r="K11" s="177" t="s">
        <v>82</v>
      </c>
      <c r="L11" s="177" t="s">
        <v>393</v>
      </c>
      <c r="M11" s="177" t="s">
        <v>394</v>
      </c>
      <c r="N11" s="179">
        <v>998074654</v>
      </c>
      <c r="O11" s="180">
        <v>29</v>
      </c>
      <c r="P11" s="177" t="s">
        <v>86</v>
      </c>
      <c r="Q11" s="177" t="s">
        <v>81</v>
      </c>
      <c r="R11" s="177"/>
      <c r="S11" s="177" t="s">
        <v>390</v>
      </c>
      <c r="T11" s="181">
        <v>101058444</v>
      </c>
      <c r="U11" s="210" t="s">
        <v>395</v>
      </c>
    </row>
    <row r="12" spans="1:21">
      <c r="A12">
        <v>8</v>
      </c>
      <c r="B12" s="177">
        <v>45472</v>
      </c>
      <c r="C12" s="177">
        <v>45471</v>
      </c>
      <c r="D12" s="177" t="s">
        <v>92</v>
      </c>
      <c r="E12" s="177" t="s">
        <v>396</v>
      </c>
      <c r="F12" s="178" t="s">
        <v>129</v>
      </c>
      <c r="G12" s="177" t="s">
        <v>397</v>
      </c>
      <c r="H12" s="177" t="s">
        <v>398</v>
      </c>
      <c r="I12" s="178" t="s">
        <v>42</v>
      </c>
      <c r="J12" s="177" t="s">
        <v>81</v>
      </c>
      <c r="K12" s="177" t="s">
        <v>82</v>
      </c>
      <c r="L12" s="177" t="s">
        <v>399</v>
      </c>
      <c r="M12" s="177" t="s">
        <v>400</v>
      </c>
      <c r="N12" s="179">
        <v>996402309</v>
      </c>
      <c r="O12" s="180">
        <v>25</v>
      </c>
      <c r="P12" s="177" t="s">
        <v>86</v>
      </c>
      <c r="Q12" s="177" t="s">
        <v>81</v>
      </c>
      <c r="R12" s="177"/>
      <c r="S12" s="177" t="s">
        <v>396</v>
      </c>
      <c r="T12" s="181">
        <v>104165857</v>
      </c>
      <c r="U12" s="210" t="s">
        <v>401</v>
      </c>
    </row>
    <row r="13" spans="1:21">
      <c r="A13">
        <v>9</v>
      </c>
      <c r="B13" s="177">
        <v>45472</v>
      </c>
      <c r="C13" s="177">
        <v>45447</v>
      </c>
      <c r="D13" s="177" t="s">
        <v>402</v>
      </c>
      <c r="E13" s="177" t="s">
        <v>403</v>
      </c>
      <c r="F13" s="178" t="s">
        <v>404</v>
      </c>
      <c r="G13" s="177" t="s">
        <v>179</v>
      </c>
      <c r="H13" s="177" t="s">
        <v>405</v>
      </c>
      <c r="I13" s="178" t="s">
        <v>42</v>
      </c>
      <c r="J13" s="177" t="s">
        <v>81</v>
      </c>
      <c r="K13" s="177" t="s">
        <v>82</v>
      </c>
      <c r="L13" s="177" t="s">
        <v>406</v>
      </c>
      <c r="M13" s="177" t="s">
        <v>407</v>
      </c>
      <c r="N13" s="179">
        <v>988503991</v>
      </c>
      <c r="O13" s="180">
        <v>29</v>
      </c>
      <c r="P13" s="177" t="s">
        <v>86</v>
      </c>
      <c r="Q13" s="177" t="s">
        <v>81</v>
      </c>
      <c r="R13" s="177"/>
      <c r="S13" s="177" t="s">
        <v>403</v>
      </c>
      <c r="T13" s="181">
        <v>105209449</v>
      </c>
      <c r="U13" s="210" t="s">
        <v>408</v>
      </c>
    </row>
    <row r="14" spans="1:21">
      <c r="A14">
        <v>10</v>
      </c>
      <c r="B14" s="177">
        <v>45474</v>
      </c>
      <c r="C14" s="177">
        <v>45460</v>
      </c>
      <c r="D14" s="177" t="s">
        <v>111</v>
      </c>
      <c r="E14" s="177" t="s">
        <v>409</v>
      </c>
      <c r="F14" s="178" t="s">
        <v>410</v>
      </c>
      <c r="G14" s="177" t="s">
        <v>411</v>
      </c>
      <c r="H14" s="177" t="s">
        <v>412</v>
      </c>
      <c r="I14" s="178" t="s">
        <v>42</v>
      </c>
      <c r="J14" s="177" t="s">
        <v>81</v>
      </c>
      <c r="K14" s="177" t="s">
        <v>82</v>
      </c>
      <c r="L14" s="177" t="s">
        <v>413</v>
      </c>
      <c r="M14" s="177" t="s">
        <v>414</v>
      </c>
      <c r="N14" s="179">
        <v>997137270</v>
      </c>
      <c r="O14" s="180">
        <v>36</v>
      </c>
      <c r="P14" s="177" t="s">
        <v>86</v>
      </c>
      <c r="Q14" s="177" t="s">
        <v>81</v>
      </c>
      <c r="R14" s="177"/>
      <c r="S14" s="177" t="s">
        <v>409</v>
      </c>
      <c r="T14" s="181">
        <v>704221993</v>
      </c>
      <c r="U14" s="210" t="s">
        <v>415</v>
      </c>
    </row>
    <row r="15" spans="1:21">
      <c r="A15">
        <v>11</v>
      </c>
      <c r="B15" s="177">
        <v>45474</v>
      </c>
      <c r="C15" s="177">
        <v>45420</v>
      </c>
      <c r="D15" s="177" t="s">
        <v>416</v>
      </c>
      <c r="E15" s="177" t="s">
        <v>417</v>
      </c>
      <c r="F15" s="178" t="s">
        <v>418</v>
      </c>
      <c r="G15" s="177" t="s">
        <v>419</v>
      </c>
      <c r="H15" s="177" t="s">
        <v>420</v>
      </c>
      <c r="I15" s="178" t="s">
        <v>42</v>
      </c>
      <c r="J15" s="177" t="s">
        <v>81</v>
      </c>
      <c r="K15" s="177" t="s">
        <v>82</v>
      </c>
      <c r="L15" s="177" t="s">
        <v>421</v>
      </c>
      <c r="M15" s="177" t="s">
        <v>422</v>
      </c>
      <c r="N15" s="179">
        <v>995210799</v>
      </c>
      <c r="O15" s="180">
        <v>45</v>
      </c>
      <c r="P15" s="177" t="s">
        <v>86</v>
      </c>
      <c r="Q15" s="177" t="s">
        <v>81</v>
      </c>
      <c r="R15" s="177"/>
      <c r="S15" s="177" t="s">
        <v>417</v>
      </c>
      <c r="T15" s="181">
        <v>102660859</v>
      </c>
      <c r="U15" s="210" t="s">
        <v>423</v>
      </c>
    </row>
    <row r="16" spans="1:21">
      <c r="A16">
        <v>12</v>
      </c>
      <c r="B16" s="177">
        <v>45475</v>
      </c>
      <c r="C16" s="177">
        <v>45472</v>
      </c>
      <c r="D16" s="177" t="s">
        <v>79</v>
      </c>
      <c r="E16" s="177" t="s">
        <v>424</v>
      </c>
      <c r="F16" s="178" t="s">
        <v>428</v>
      </c>
      <c r="G16" s="177" t="s">
        <v>180</v>
      </c>
      <c r="H16" s="177" t="s">
        <v>429</v>
      </c>
      <c r="I16" s="178" t="s">
        <v>430</v>
      </c>
      <c r="J16" s="177" t="s">
        <v>81</v>
      </c>
      <c r="K16" s="177" t="s">
        <v>82</v>
      </c>
      <c r="L16" s="177" t="s">
        <v>426</v>
      </c>
      <c r="M16" s="177" t="s">
        <v>427</v>
      </c>
      <c r="N16" s="179">
        <v>999513541</v>
      </c>
      <c r="O16" s="180">
        <v>25</v>
      </c>
      <c r="P16" s="177" t="s">
        <v>86</v>
      </c>
      <c r="Q16" s="177" t="s">
        <v>81</v>
      </c>
      <c r="R16" s="177"/>
      <c r="S16" s="177" t="s">
        <v>424</v>
      </c>
      <c r="T16" s="181">
        <v>100797570</v>
      </c>
      <c r="U16" s="210" t="s">
        <v>425</v>
      </c>
    </row>
    <row r="17" spans="1:21">
      <c r="A17">
        <v>13</v>
      </c>
      <c r="B17" s="177">
        <v>45477</v>
      </c>
      <c r="C17" s="177">
        <v>45475</v>
      </c>
      <c r="D17" s="177" t="s">
        <v>92</v>
      </c>
      <c r="E17" s="177" t="s">
        <v>431</v>
      </c>
      <c r="F17" s="178" t="s">
        <v>127</v>
      </c>
      <c r="G17" s="177" t="s">
        <v>128</v>
      </c>
      <c r="H17" s="177" t="s">
        <v>432</v>
      </c>
      <c r="I17" s="178" t="s">
        <v>433</v>
      </c>
      <c r="J17" s="177" t="s">
        <v>81</v>
      </c>
      <c r="K17" s="177" t="s">
        <v>82</v>
      </c>
      <c r="L17" s="177" t="s">
        <v>434</v>
      </c>
      <c r="M17" s="177" t="s">
        <v>435</v>
      </c>
      <c r="N17" s="179">
        <v>998656697</v>
      </c>
      <c r="O17" s="180">
        <v>29</v>
      </c>
      <c r="P17" s="177" t="s">
        <v>86</v>
      </c>
      <c r="Q17" s="177" t="s">
        <v>81</v>
      </c>
      <c r="R17" s="177"/>
      <c r="S17" s="177" t="s">
        <v>431</v>
      </c>
      <c r="T17" s="181">
        <v>101673838</v>
      </c>
      <c r="U17" s="210" t="s">
        <v>436</v>
      </c>
    </row>
    <row r="18" spans="1:21">
      <c r="A18">
        <v>14</v>
      </c>
      <c r="B18" s="177">
        <v>45477</v>
      </c>
      <c r="C18" s="177">
        <v>45460</v>
      </c>
      <c r="D18" s="177" t="s">
        <v>437</v>
      </c>
      <c r="E18" s="177" t="s">
        <v>438</v>
      </c>
      <c r="F18" s="178" t="s">
        <v>115</v>
      </c>
      <c r="G18" s="177" t="s">
        <v>87</v>
      </c>
      <c r="H18" s="177" t="s">
        <v>439</v>
      </c>
      <c r="I18" s="178" t="s">
        <v>440</v>
      </c>
      <c r="J18" s="177" t="s">
        <v>81</v>
      </c>
      <c r="K18" s="177" t="s">
        <v>82</v>
      </c>
      <c r="L18" s="177" t="s">
        <v>441</v>
      </c>
      <c r="M18" s="177" t="s">
        <v>442</v>
      </c>
      <c r="N18" s="179">
        <v>987334332</v>
      </c>
      <c r="O18" s="180">
        <v>29</v>
      </c>
      <c r="P18" s="177" t="s">
        <v>86</v>
      </c>
      <c r="Q18" s="177" t="s">
        <v>81</v>
      </c>
      <c r="R18" s="177"/>
      <c r="S18" s="177" t="s">
        <v>438</v>
      </c>
      <c r="T18" s="181">
        <v>103783346</v>
      </c>
      <c r="U18" s="210" t="s">
        <v>443</v>
      </c>
    </row>
    <row r="19" spans="1:21">
      <c r="A19">
        <v>15</v>
      </c>
      <c r="B19" s="177">
        <v>45478</v>
      </c>
      <c r="C19" s="177">
        <v>45475</v>
      </c>
      <c r="D19" s="177" t="s">
        <v>111</v>
      </c>
      <c r="E19" s="177" t="s">
        <v>444</v>
      </c>
      <c r="F19" s="178" t="s">
        <v>123</v>
      </c>
      <c r="G19" s="177" t="s">
        <v>445</v>
      </c>
      <c r="H19" s="177" t="s">
        <v>446</v>
      </c>
      <c r="I19" s="178" t="s">
        <v>42</v>
      </c>
      <c r="J19" s="177" t="s">
        <v>81</v>
      </c>
      <c r="K19" s="177" t="s">
        <v>82</v>
      </c>
      <c r="L19" s="177" t="s">
        <v>447</v>
      </c>
      <c r="M19" s="177" t="s">
        <v>394</v>
      </c>
      <c r="N19" s="179">
        <v>999608910</v>
      </c>
      <c r="O19" s="180">
        <v>29</v>
      </c>
      <c r="P19" s="177" t="s">
        <v>86</v>
      </c>
      <c r="Q19" s="177" t="s">
        <v>81</v>
      </c>
      <c r="R19" s="177"/>
      <c r="S19" s="177" t="s">
        <v>444</v>
      </c>
      <c r="T19" s="181">
        <v>101859643</v>
      </c>
      <c r="U19" s="210" t="s">
        <v>448</v>
      </c>
    </row>
    <row r="20" spans="1:21">
      <c r="A20">
        <v>16</v>
      </c>
      <c r="B20" s="177">
        <v>45478</v>
      </c>
      <c r="C20" s="177">
        <v>45203</v>
      </c>
      <c r="D20" s="177" t="s">
        <v>111</v>
      </c>
      <c r="E20" s="177" t="s">
        <v>449</v>
      </c>
      <c r="F20" s="178" t="s">
        <v>450</v>
      </c>
      <c r="G20" s="177" t="s">
        <v>451</v>
      </c>
      <c r="H20" s="177" t="s">
        <v>452</v>
      </c>
      <c r="I20" s="178" t="s">
        <v>42</v>
      </c>
      <c r="J20" s="177" t="s">
        <v>81</v>
      </c>
      <c r="K20" s="177" t="s">
        <v>82</v>
      </c>
      <c r="L20" s="177" t="s">
        <v>453</v>
      </c>
      <c r="M20" s="177" t="s">
        <v>454</v>
      </c>
      <c r="N20" s="179">
        <v>997139511</v>
      </c>
      <c r="O20" s="180">
        <v>36</v>
      </c>
      <c r="P20" s="177" t="s">
        <v>86</v>
      </c>
      <c r="Q20" s="177" t="s">
        <v>81</v>
      </c>
      <c r="R20" s="177"/>
      <c r="S20" s="177" t="s">
        <v>449</v>
      </c>
      <c r="T20" s="181">
        <v>105577381</v>
      </c>
      <c r="U20" s="210" t="s">
        <v>455</v>
      </c>
    </row>
    <row r="21" spans="1:21">
      <c r="A21">
        <v>17</v>
      </c>
      <c r="B21" s="177">
        <v>45478</v>
      </c>
      <c r="C21" s="177">
        <v>43820</v>
      </c>
      <c r="D21" s="177" t="s">
        <v>93</v>
      </c>
      <c r="E21" s="177" t="s">
        <v>456</v>
      </c>
      <c r="F21" s="178" t="s">
        <v>457</v>
      </c>
      <c r="G21" s="177" t="s">
        <v>458</v>
      </c>
      <c r="H21" s="177" t="s">
        <v>459</v>
      </c>
      <c r="I21" s="178" t="s">
        <v>42</v>
      </c>
      <c r="J21" s="177" t="s">
        <v>81</v>
      </c>
      <c r="K21" s="177" t="s">
        <v>82</v>
      </c>
      <c r="L21" s="177" t="s">
        <v>460</v>
      </c>
      <c r="M21" s="177" t="s">
        <v>461</v>
      </c>
      <c r="N21" s="179">
        <v>9998595591</v>
      </c>
      <c r="O21" s="180">
        <v>29</v>
      </c>
      <c r="P21" s="177" t="s">
        <v>86</v>
      </c>
      <c r="Q21" s="177" t="s">
        <v>81</v>
      </c>
      <c r="R21" s="177"/>
      <c r="S21" s="177" t="s">
        <v>456</v>
      </c>
      <c r="T21" s="181">
        <v>102492477</v>
      </c>
      <c r="U21" s="210" t="s">
        <v>462</v>
      </c>
    </row>
    <row r="22" spans="1:21">
      <c r="A22">
        <v>18</v>
      </c>
      <c r="B22" s="177">
        <v>45481</v>
      </c>
      <c r="C22" s="177">
        <v>45479</v>
      </c>
      <c r="D22" s="177" t="s">
        <v>79</v>
      </c>
      <c r="E22" s="177" t="s">
        <v>463</v>
      </c>
      <c r="F22" s="178" t="s">
        <v>117</v>
      </c>
      <c r="G22" s="177" t="s">
        <v>118</v>
      </c>
      <c r="H22" s="177" t="s">
        <v>464</v>
      </c>
      <c r="I22" s="178" t="s">
        <v>42</v>
      </c>
      <c r="J22" s="177" t="s">
        <v>81</v>
      </c>
      <c r="K22" s="177" t="s">
        <v>82</v>
      </c>
      <c r="L22" s="177" t="s">
        <v>465</v>
      </c>
      <c r="M22" s="177" t="s">
        <v>466</v>
      </c>
      <c r="N22" s="179">
        <v>997239486</v>
      </c>
      <c r="O22" s="180">
        <v>15</v>
      </c>
      <c r="P22" s="177" t="s">
        <v>86</v>
      </c>
      <c r="Q22" s="177" t="s">
        <v>81</v>
      </c>
      <c r="R22" s="177"/>
      <c r="S22" s="177" t="s">
        <v>463</v>
      </c>
      <c r="T22" s="181">
        <v>102652187</v>
      </c>
      <c r="U22" s="210" t="s">
        <v>467</v>
      </c>
    </row>
    <row r="23" spans="1:21">
      <c r="A23">
        <v>19</v>
      </c>
      <c r="B23" s="177">
        <v>45481</v>
      </c>
      <c r="C23" s="177">
        <v>45371</v>
      </c>
      <c r="D23" s="177" t="s">
        <v>111</v>
      </c>
      <c r="E23" s="177" t="s">
        <v>468</v>
      </c>
      <c r="F23" s="178" t="s">
        <v>121</v>
      </c>
      <c r="G23" s="177" t="s">
        <v>122</v>
      </c>
      <c r="H23" s="177" t="s">
        <v>469</v>
      </c>
      <c r="I23" s="178" t="s">
        <v>42</v>
      </c>
      <c r="J23" s="177" t="s">
        <v>81</v>
      </c>
      <c r="K23" s="177" t="s">
        <v>82</v>
      </c>
      <c r="L23" s="177" t="s">
        <v>470</v>
      </c>
      <c r="M23" s="177" t="s">
        <v>471</v>
      </c>
      <c r="N23" s="179">
        <v>999091761</v>
      </c>
      <c r="O23" s="180">
        <v>15</v>
      </c>
      <c r="P23" s="177" t="s">
        <v>86</v>
      </c>
      <c r="Q23" s="177" t="s">
        <v>81</v>
      </c>
      <c r="R23" s="177"/>
      <c r="S23" s="177" t="s">
        <v>468</v>
      </c>
      <c r="T23" s="181">
        <v>103673489</v>
      </c>
      <c r="U23" s="210" t="s">
        <v>472</v>
      </c>
    </row>
    <row r="24" spans="1:21">
      <c r="A24">
        <v>20</v>
      </c>
      <c r="B24" s="177">
        <v>45482</v>
      </c>
      <c r="C24" s="177">
        <v>45479</v>
      </c>
      <c r="D24" s="177" t="s">
        <v>111</v>
      </c>
      <c r="E24" s="177" t="s">
        <v>473</v>
      </c>
      <c r="F24" s="178" t="s">
        <v>474</v>
      </c>
      <c r="G24" s="177" t="s">
        <v>475</v>
      </c>
      <c r="H24" s="177" t="s">
        <v>476</v>
      </c>
      <c r="I24" s="178" t="s">
        <v>477</v>
      </c>
      <c r="J24" s="177" t="s">
        <v>81</v>
      </c>
      <c r="K24" s="177" t="s">
        <v>82</v>
      </c>
      <c r="L24" s="177" t="s">
        <v>478</v>
      </c>
      <c r="M24" s="177" t="s">
        <v>479</v>
      </c>
      <c r="N24" s="179">
        <v>4103471</v>
      </c>
      <c r="O24" s="180">
        <v>15</v>
      </c>
      <c r="P24" s="177" t="s">
        <v>86</v>
      </c>
      <c r="Q24" s="177" t="s">
        <v>81</v>
      </c>
      <c r="R24" s="177"/>
      <c r="S24" s="177" t="s">
        <v>473</v>
      </c>
      <c r="T24" s="181">
        <v>102429074</v>
      </c>
      <c r="U24" s="210" t="s">
        <v>480</v>
      </c>
    </row>
    <row r="25" spans="1:21">
      <c r="A25">
        <v>21</v>
      </c>
      <c r="B25" s="177">
        <v>45482</v>
      </c>
      <c r="C25" s="177">
        <v>45478</v>
      </c>
      <c r="D25" s="177" t="s">
        <v>111</v>
      </c>
      <c r="E25" s="177" t="s">
        <v>481</v>
      </c>
      <c r="F25" s="178" t="s">
        <v>120</v>
      </c>
      <c r="G25" s="177" t="s">
        <v>355</v>
      </c>
      <c r="H25" s="177" t="s">
        <v>482</v>
      </c>
      <c r="I25" s="178" t="s">
        <v>120</v>
      </c>
      <c r="J25" s="177" t="s">
        <v>81</v>
      </c>
      <c r="K25" s="177" t="s">
        <v>82</v>
      </c>
      <c r="L25" s="177" t="s">
        <v>483</v>
      </c>
      <c r="M25" s="177" t="s">
        <v>484</v>
      </c>
      <c r="N25" s="179">
        <v>990822901</v>
      </c>
      <c r="O25" s="180">
        <v>15</v>
      </c>
      <c r="P25" s="177" t="s">
        <v>86</v>
      </c>
      <c r="Q25" s="177" t="s">
        <v>81</v>
      </c>
      <c r="R25" s="177"/>
      <c r="S25" s="177" t="s">
        <v>481</v>
      </c>
      <c r="T25" s="181">
        <v>102501046</v>
      </c>
      <c r="U25" s="210" t="s">
        <v>485</v>
      </c>
    </row>
    <row r="26" spans="1:21">
      <c r="A26">
        <v>22</v>
      </c>
      <c r="B26" s="177">
        <v>45482</v>
      </c>
      <c r="C26" s="177">
        <v>45450</v>
      </c>
      <c r="D26" s="177" t="s">
        <v>79</v>
      </c>
      <c r="E26" s="177" t="s">
        <v>486</v>
      </c>
      <c r="F26" s="178" t="s">
        <v>113</v>
      </c>
      <c r="G26" s="177" t="s">
        <v>103</v>
      </c>
      <c r="H26" s="177" t="s">
        <v>487</v>
      </c>
      <c r="I26" s="178" t="s">
        <v>42</v>
      </c>
      <c r="J26" s="177" t="s">
        <v>81</v>
      </c>
      <c r="K26" s="177" t="s">
        <v>82</v>
      </c>
      <c r="L26" s="177" t="s">
        <v>488</v>
      </c>
      <c r="M26" s="177" t="s">
        <v>489</v>
      </c>
      <c r="N26" s="179">
        <v>984249684</v>
      </c>
      <c r="O26" s="180">
        <v>15</v>
      </c>
      <c r="P26" s="177" t="s">
        <v>86</v>
      </c>
      <c r="Q26" s="177" t="s">
        <v>81</v>
      </c>
      <c r="R26" s="177"/>
      <c r="S26" s="177" t="s">
        <v>486</v>
      </c>
      <c r="T26" s="181">
        <v>100627710</v>
      </c>
      <c r="U26" s="210" t="s">
        <v>490</v>
      </c>
    </row>
    <row r="27" spans="1:21">
      <c r="A27">
        <v>23</v>
      </c>
      <c r="B27" s="177">
        <v>45482</v>
      </c>
      <c r="C27" s="177">
        <v>45472</v>
      </c>
      <c r="D27" s="177" t="s">
        <v>111</v>
      </c>
      <c r="E27" s="177" t="s">
        <v>491</v>
      </c>
      <c r="F27" s="178" t="s">
        <v>114</v>
      </c>
      <c r="G27" s="177" t="s">
        <v>101</v>
      </c>
      <c r="H27" s="177" t="s">
        <v>492</v>
      </c>
      <c r="I27" s="178" t="s">
        <v>42</v>
      </c>
      <c r="J27" s="177" t="s">
        <v>81</v>
      </c>
      <c r="K27" s="177" t="s">
        <v>82</v>
      </c>
      <c r="L27" s="177" t="s">
        <v>493</v>
      </c>
      <c r="M27" s="177" t="s">
        <v>494</v>
      </c>
      <c r="N27" s="179">
        <v>995171352</v>
      </c>
      <c r="O27" s="180">
        <v>29</v>
      </c>
      <c r="P27" s="177" t="s">
        <v>86</v>
      </c>
      <c r="Q27" s="177" t="s">
        <v>81</v>
      </c>
      <c r="R27" s="177"/>
      <c r="S27" s="177" t="s">
        <v>491</v>
      </c>
      <c r="T27" s="181">
        <v>301244760</v>
      </c>
      <c r="U27" s="210" t="s">
        <v>495</v>
      </c>
    </row>
    <row r="28" spans="1:21">
      <c r="A28">
        <v>24</v>
      </c>
      <c r="B28" s="177">
        <v>45483</v>
      </c>
      <c r="C28" s="177">
        <v>45478</v>
      </c>
      <c r="D28" s="177" t="s">
        <v>79</v>
      </c>
      <c r="E28" s="177" t="s">
        <v>298</v>
      </c>
      <c r="F28" s="178" t="s">
        <v>496</v>
      </c>
      <c r="G28" s="177" t="s">
        <v>296</v>
      </c>
      <c r="H28" s="177" t="s">
        <v>497</v>
      </c>
      <c r="I28" s="178" t="s">
        <v>42</v>
      </c>
      <c r="J28" s="177" t="s">
        <v>81</v>
      </c>
      <c r="K28" s="177" t="s">
        <v>82</v>
      </c>
      <c r="L28" s="177" t="s">
        <v>175</v>
      </c>
      <c r="M28" s="177" t="s">
        <v>442</v>
      </c>
      <c r="N28" s="179">
        <v>999500222</v>
      </c>
      <c r="O28" s="180">
        <v>36</v>
      </c>
      <c r="P28" s="177" t="s">
        <v>86</v>
      </c>
      <c r="Q28" s="177" t="s">
        <v>81</v>
      </c>
      <c r="R28" s="177"/>
      <c r="S28" s="177" t="s">
        <v>298</v>
      </c>
      <c r="T28" s="181">
        <v>102801107</v>
      </c>
      <c r="U28" s="210" t="s">
        <v>498</v>
      </c>
    </row>
    <row r="29" spans="1:21">
      <c r="A29">
        <v>25</v>
      </c>
      <c r="B29" s="177">
        <v>45484</v>
      </c>
      <c r="C29" s="177">
        <v>45475</v>
      </c>
      <c r="D29" s="177" t="s">
        <v>111</v>
      </c>
      <c r="E29" s="177" t="s">
        <v>500</v>
      </c>
      <c r="F29" s="178" t="s">
        <v>501</v>
      </c>
      <c r="G29" s="177" t="s">
        <v>91</v>
      </c>
      <c r="H29" s="177" t="s">
        <v>502</v>
      </c>
      <c r="I29" s="178" t="s">
        <v>503</v>
      </c>
      <c r="J29" s="177" t="s">
        <v>81</v>
      </c>
      <c r="K29" s="177" t="s">
        <v>82</v>
      </c>
      <c r="L29" s="177" t="s">
        <v>499</v>
      </c>
      <c r="M29" s="177" t="s">
        <v>504</v>
      </c>
      <c r="N29" s="179">
        <v>2340977</v>
      </c>
      <c r="O29" s="180">
        <v>25</v>
      </c>
      <c r="P29" s="177" t="s">
        <v>86</v>
      </c>
      <c r="Q29" s="177" t="s">
        <v>81</v>
      </c>
      <c r="R29" s="177"/>
      <c r="S29" s="177" t="s">
        <v>500</v>
      </c>
      <c r="T29" s="181">
        <v>301215745</v>
      </c>
      <c r="U29" s="210" t="s">
        <v>505</v>
      </c>
    </row>
    <row r="30" spans="1:21">
      <c r="A30">
        <v>26</v>
      </c>
      <c r="B30" s="177">
        <v>45484</v>
      </c>
      <c r="C30" s="177">
        <v>45468</v>
      </c>
      <c r="D30" s="177" t="s">
        <v>111</v>
      </c>
      <c r="E30" s="177" t="s">
        <v>643</v>
      </c>
      <c r="F30" s="178" t="s">
        <v>579</v>
      </c>
      <c r="G30" s="177" t="s">
        <v>580</v>
      </c>
      <c r="H30" s="177" t="s">
        <v>581</v>
      </c>
      <c r="I30" s="178" t="s">
        <v>42</v>
      </c>
      <c r="J30" s="177" t="s">
        <v>81</v>
      </c>
      <c r="K30" s="177" t="s">
        <v>82</v>
      </c>
      <c r="L30" s="177" t="s">
        <v>582</v>
      </c>
      <c r="M30" s="177" t="s">
        <v>583</v>
      </c>
      <c r="N30" s="179">
        <v>998945140</v>
      </c>
      <c r="O30" s="180">
        <v>29</v>
      </c>
      <c r="P30" s="177" t="s">
        <v>86</v>
      </c>
      <c r="Q30" s="177" t="s">
        <v>81</v>
      </c>
      <c r="R30" s="177"/>
      <c r="S30" s="177"/>
      <c r="T30" s="181">
        <v>103750493</v>
      </c>
      <c r="U30" s="210" t="s">
        <v>584</v>
      </c>
    </row>
    <row r="31" spans="1:21">
      <c r="A31">
        <v>27</v>
      </c>
      <c r="B31" s="177">
        <v>45484</v>
      </c>
      <c r="C31" s="177">
        <v>45478</v>
      </c>
      <c r="D31" s="177" t="s">
        <v>79</v>
      </c>
      <c r="E31" s="177"/>
      <c r="F31" s="178" t="s">
        <v>129</v>
      </c>
      <c r="G31" s="177" t="s">
        <v>99</v>
      </c>
      <c r="H31" s="177" t="s">
        <v>585</v>
      </c>
      <c r="I31" s="178" t="s">
        <v>586</v>
      </c>
      <c r="J31" s="177" t="s">
        <v>81</v>
      </c>
      <c r="K31" s="177" t="s">
        <v>82</v>
      </c>
      <c r="L31" s="177" t="s">
        <v>587</v>
      </c>
      <c r="M31" s="177" t="s">
        <v>588</v>
      </c>
      <c r="N31" s="179">
        <v>979182892</v>
      </c>
      <c r="O31" s="180">
        <v>25</v>
      </c>
      <c r="P31" s="177" t="s">
        <v>86</v>
      </c>
      <c r="Q31" s="177" t="s">
        <v>81</v>
      </c>
      <c r="R31" s="177"/>
      <c r="S31" s="177"/>
      <c r="T31" s="181">
        <v>1703913028</v>
      </c>
      <c r="U31" s="210" t="s">
        <v>589</v>
      </c>
    </row>
    <row r="32" spans="1:21">
      <c r="A32">
        <v>28</v>
      </c>
      <c r="B32" s="177">
        <v>45485</v>
      </c>
      <c r="C32" s="177">
        <v>45472</v>
      </c>
      <c r="D32" s="177" t="s">
        <v>361</v>
      </c>
      <c r="E32" s="177" t="s">
        <v>528</v>
      </c>
      <c r="F32" s="178" t="s">
        <v>530</v>
      </c>
      <c r="G32" s="177" t="s">
        <v>96</v>
      </c>
      <c r="H32" s="177" t="s">
        <v>525</v>
      </c>
      <c r="I32" s="178" t="s">
        <v>42</v>
      </c>
      <c r="J32" s="177" t="s">
        <v>81</v>
      </c>
      <c r="K32" s="177" t="s">
        <v>82</v>
      </c>
      <c r="L32" s="177" t="s">
        <v>526</v>
      </c>
      <c r="M32" s="177" t="s">
        <v>531</v>
      </c>
      <c r="N32" s="179">
        <v>984012317</v>
      </c>
      <c r="O32" s="180">
        <v>30</v>
      </c>
      <c r="P32" s="177" t="s">
        <v>86</v>
      </c>
      <c r="Q32" s="177" t="s">
        <v>81</v>
      </c>
      <c r="R32" s="177"/>
      <c r="S32" s="177" t="s">
        <v>528</v>
      </c>
      <c r="T32" s="181">
        <v>103066064</v>
      </c>
      <c r="U32" s="210" t="s">
        <v>532</v>
      </c>
    </row>
    <row r="33" spans="1:21">
      <c r="A33">
        <v>29</v>
      </c>
      <c r="B33" s="177">
        <v>45488</v>
      </c>
      <c r="C33" s="177">
        <v>45478</v>
      </c>
      <c r="D33" s="177" t="s">
        <v>79</v>
      </c>
      <c r="E33" s="177" t="s">
        <v>533</v>
      </c>
      <c r="F33" s="178" t="s">
        <v>117</v>
      </c>
      <c r="G33" s="177" t="s">
        <v>102</v>
      </c>
      <c r="H33" s="177" t="s">
        <v>534</v>
      </c>
      <c r="I33" s="178" t="s">
        <v>42</v>
      </c>
      <c r="J33" s="177" t="s">
        <v>81</v>
      </c>
      <c r="K33" s="177" t="s">
        <v>82</v>
      </c>
      <c r="L33" s="177" t="s">
        <v>535</v>
      </c>
      <c r="M33" s="177" t="s">
        <v>536</v>
      </c>
      <c r="N33" s="179">
        <v>987230362</v>
      </c>
      <c r="O33" s="180">
        <v>15</v>
      </c>
      <c r="P33" s="177" t="s">
        <v>86</v>
      </c>
      <c r="Q33" s="177" t="s">
        <v>81</v>
      </c>
      <c r="R33" s="177"/>
      <c r="S33" s="177" t="s">
        <v>533</v>
      </c>
      <c r="T33" s="181">
        <v>104486394</v>
      </c>
      <c r="U33" s="210" t="s">
        <v>537</v>
      </c>
    </row>
    <row r="34" spans="1:21">
      <c r="A34">
        <v>30</v>
      </c>
      <c r="B34" s="177"/>
      <c r="C34" s="177"/>
      <c r="D34" s="177"/>
      <c r="E34" s="177"/>
      <c r="F34" s="178"/>
      <c r="G34" s="177"/>
      <c r="H34" s="177"/>
      <c r="I34" s="178"/>
      <c r="J34" s="177" t="s">
        <v>81</v>
      </c>
      <c r="K34" s="177" t="s">
        <v>82</v>
      </c>
      <c r="L34" s="177"/>
      <c r="M34" s="177"/>
      <c r="N34" s="179"/>
      <c r="O34" s="180"/>
      <c r="P34" s="177" t="s">
        <v>86</v>
      </c>
      <c r="Q34" s="177" t="s">
        <v>81</v>
      </c>
      <c r="R34" s="177"/>
      <c r="S34" s="177"/>
      <c r="T34" s="181"/>
      <c r="U34" s="181"/>
    </row>
    <row r="35" spans="1:21">
      <c r="A35">
        <v>31</v>
      </c>
      <c r="B35" s="177"/>
      <c r="C35" s="177"/>
      <c r="D35" s="177"/>
      <c r="E35" s="177"/>
      <c r="F35" s="178"/>
      <c r="G35" s="177"/>
      <c r="H35" s="177"/>
      <c r="I35" s="178"/>
      <c r="J35" s="177" t="s">
        <v>81</v>
      </c>
      <c r="K35" s="177" t="s">
        <v>82</v>
      </c>
      <c r="L35" s="177"/>
      <c r="M35" s="177"/>
      <c r="N35" s="179"/>
      <c r="O35" s="180"/>
      <c r="P35" s="177" t="s">
        <v>86</v>
      </c>
      <c r="Q35" s="177" t="s">
        <v>81</v>
      </c>
      <c r="R35" s="177"/>
      <c r="S35" s="177"/>
      <c r="T35" s="181"/>
      <c r="U35" s="181"/>
    </row>
    <row r="36" spans="1:21">
      <c r="A36">
        <v>32</v>
      </c>
      <c r="B36" s="177"/>
      <c r="C36" s="177"/>
      <c r="D36" s="177"/>
      <c r="E36" s="177"/>
      <c r="F36" s="178"/>
      <c r="G36" s="177"/>
      <c r="H36" s="177"/>
      <c r="I36" s="178"/>
      <c r="J36" s="177" t="s">
        <v>81</v>
      </c>
      <c r="K36" s="177" t="s">
        <v>82</v>
      </c>
      <c r="L36" s="177"/>
      <c r="M36" s="177"/>
      <c r="N36" s="179"/>
      <c r="O36" s="180"/>
      <c r="P36" s="177" t="s">
        <v>86</v>
      </c>
      <c r="Q36" s="177" t="s">
        <v>81</v>
      </c>
      <c r="R36" s="177"/>
      <c r="S36" s="177"/>
      <c r="T36" s="181"/>
      <c r="U36" s="181"/>
    </row>
    <row r="37" spans="1:21">
      <c r="A37">
        <v>33</v>
      </c>
      <c r="B37" s="177"/>
      <c r="C37" s="177"/>
      <c r="D37" s="177"/>
      <c r="E37" s="177"/>
      <c r="F37" s="178"/>
      <c r="G37" s="177"/>
      <c r="H37" s="177"/>
      <c r="I37" s="178"/>
      <c r="J37" s="177" t="s">
        <v>81</v>
      </c>
      <c r="K37" s="177" t="s">
        <v>82</v>
      </c>
      <c r="L37" s="177"/>
      <c r="M37" s="177"/>
      <c r="N37" s="179"/>
      <c r="O37" s="180"/>
      <c r="P37" s="177" t="s">
        <v>86</v>
      </c>
      <c r="Q37" s="177" t="s">
        <v>81</v>
      </c>
      <c r="R37" s="177"/>
      <c r="S37" s="177"/>
      <c r="T37" s="181"/>
      <c r="U37" s="181"/>
    </row>
    <row r="38" spans="1:21">
      <c r="A38">
        <v>34</v>
      </c>
      <c r="B38" s="177"/>
      <c r="C38" s="177"/>
      <c r="D38" s="177"/>
      <c r="E38" s="177"/>
      <c r="F38" s="178"/>
      <c r="G38" s="177"/>
      <c r="H38" s="177"/>
      <c r="I38" s="178"/>
      <c r="J38" s="177" t="s">
        <v>81</v>
      </c>
      <c r="K38" s="177" t="s">
        <v>82</v>
      </c>
      <c r="L38" s="177"/>
      <c r="M38" s="177"/>
      <c r="N38" s="179"/>
      <c r="O38" s="180"/>
      <c r="P38" s="177" t="s">
        <v>86</v>
      </c>
      <c r="Q38" s="177" t="s">
        <v>81</v>
      </c>
      <c r="R38" s="177"/>
      <c r="S38" s="177"/>
      <c r="T38" s="181"/>
      <c r="U38" s="181"/>
    </row>
    <row r="39" spans="1:21">
      <c r="O39" s="149">
        <f>SUM(O5:O38)</f>
        <v>733</v>
      </c>
    </row>
  </sheetData>
  <hyperlinks>
    <hyperlink ref="U5" r:id="rId1" xr:uid="{00000000-0004-0000-0500-000000000000}"/>
    <hyperlink ref="U6" r:id="rId2" xr:uid="{00000000-0004-0000-0500-000001000000}"/>
    <hyperlink ref="U7" r:id="rId3" xr:uid="{00000000-0004-0000-0500-000002000000}"/>
    <hyperlink ref="U8" r:id="rId4" xr:uid="{00000000-0004-0000-0500-000003000000}"/>
    <hyperlink ref="U9" r:id="rId5" xr:uid="{00000000-0004-0000-0500-000004000000}"/>
    <hyperlink ref="U10" r:id="rId6" xr:uid="{00000000-0004-0000-0500-000005000000}"/>
    <hyperlink ref="U11" r:id="rId7" xr:uid="{00000000-0004-0000-0500-000006000000}"/>
    <hyperlink ref="U12" r:id="rId8" xr:uid="{00000000-0004-0000-0500-000007000000}"/>
    <hyperlink ref="U13" r:id="rId9" xr:uid="{00000000-0004-0000-0500-000008000000}"/>
    <hyperlink ref="U14" r:id="rId10" xr:uid="{00000000-0004-0000-0500-000009000000}"/>
    <hyperlink ref="U15" r:id="rId11" xr:uid="{00000000-0004-0000-0500-00000A000000}"/>
    <hyperlink ref="U16" r:id="rId12" xr:uid="{00000000-0004-0000-0500-00000B000000}"/>
    <hyperlink ref="U17" r:id="rId13" xr:uid="{00000000-0004-0000-0500-00000C000000}"/>
    <hyperlink ref="U18" r:id="rId14" xr:uid="{00000000-0004-0000-0500-00000D000000}"/>
    <hyperlink ref="U19" r:id="rId15" xr:uid="{00000000-0004-0000-0500-00000E000000}"/>
    <hyperlink ref="U20" r:id="rId16" xr:uid="{00000000-0004-0000-0500-00000F000000}"/>
    <hyperlink ref="U21" r:id="rId17" xr:uid="{00000000-0004-0000-0500-000010000000}"/>
    <hyperlink ref="U22" r:id="rId18" xr:uid="{00000000-0004-0000-0500-000011000000}"/>
    <hyperlink ref="U23" r:id="rId19" xr:uid="{00000000-0004-0000-0500-000012000000}"/>
    <hyperlink ref="U24" r:id="rId20" xr:uid="{00000000-0004-0000-0500-000013000000}"/>
    <hyperlink ref="U25" r:id="rId21" xr:uid="{00000000-0004-0000-0500-000014000000}"/>
    <hyperlink ref="U26" r:id="rId22" xr:uid="{00000000-0004-0000-0500-000015000000}"/>
    <hyperlink ref="U27" r:id="rId23" xr:uid="{00000000-0004-0000-0500-000016000000}"/>
    <hyperlink ref="U28" r:id="rId24" xr:uid="{00000000-0004-0000-0500-000017000000}"/>
    <hyperlink ref="U29" r:id="rId25" xr:uid="{00000000-0004-0000-0500-000018000000}"/>
    <hyperlink ref="U32" r:id="rId26" xr:uid="{00000000-0004-0000-0500-000019000000}"/>
    <hyperlink ref="U33" r:id="rId27" xr:uid="{00000000-0004-0000-0500-00001A000000}"/>
    <hyperlink ref="U30" r:id="rId28" xr:uid="{00000000-0004-0000-0500-00001B000000}"/>
    <hyperlink ref="U31" r:id="rId29" xr:uid="{00000000-0004-0000-0500-00001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2025-01-08T23:22:53Z</dcterms:modified>
</cp:coreProperties>
</file>