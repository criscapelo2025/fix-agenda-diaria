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olivercapelo/Desktop/"/>
    </mc:Choice>
  </mc:AlternateContent>
  <xr:revisionPtr revIDLastSave="0" documentId="8_{EA8382F7-4DFA-E54F-9446-4BA41A6E86BE}" xr6:coauthVersionLast="47" xr6:coauthVersionMax="47" xr10:uidLastSave="{00000000-0000-0000-0000-000000000000}"/>
  <bookViews>
    <workbookView xWindow="0" yWindow="500" windowWidth="51200" windowHeight="26140" xr2:uid="{D005DAFC-4D40-4522-8A45-D1E47265868C}"/>
  </bookViews>
  <sheets>
    <sheet name="desglose pagos " sheetId="1" r:id="rId1"/>
    <sheet name="reembolsos " sheetId="2" r:id="rId2"/>
    <sheet name="Hoj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" l="1"/>
  <c r="L12" i="1"/>
  <c r="J12" i="1"/>
  <c r="K12" i="1" s="1"/>
  <c r="E10" i="2" l="1"/>
  <c r="D10" i="2"/>
  <c r="J11" i="1" l="1"/>
  <c r="K11" i="1" s="1"/>
  <c r="L11" i="1" l="1"/>
  <c r="M11" i="1" s="1"/>
  <c r="D9" i="2"/>
  <c r="E9" i="2" s="1"/>
  <c r="E8" i="2"/>
  <c r="D8" i="2"/>
  <c r="J4" i="1" l="1"/>
  <c r="K4" i="1" s="1"/>
  <c r="M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3" i="1"/>
  <c r="K3" i="1" s="1"/>
  <c r="M3" i="1" s="1"/>
  <c r="L9" i="1" l="1"/>
  <c r="M9" i="1" s="1"/>
  <c r="L10" i="1"/>
  <c r="M10" i="1"/>
  <c r="M7" i="1"/>
  <c r="M8" i="1"/>
  <c r="M6" i="1"/>
  <c r="M5" i="1"/>
</calcChain>
</file>

<file path=xl/sharedStrings.xml><?xml version="1.0" encoding="utf-8"?>
<sst xmlns="http://schemas.openxmlformats.org/spreadsheetml/2006/main" count="37" uniqueCount="35">
  <si>
    <t>suma debe ser igual a su factura del 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</si>
  <si>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</si>
  <si>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</si>
  <si>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</si>
  <si>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</si>
  <si>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</si>
  <si>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</si>
  <si>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</si>
  <si>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</si>
  <si>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</si>
  <si>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</si>
  <si>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</si>
  <si>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</si>
  <si>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GARANTIAS</t>
  </si>
  <si>
    <t>PROMOCIÓN</t>
  </si>
  <si>
    <t>BBQ</t>
  </si>
  <si>
    <t xml:space="preserve">ALMACENES </t>
  </si>
  <si>
    <t>DESCONTINUADO</t>
  </si>
  <si>
    <t>MARKETING</t>
  </si>
  <si>
    <t>PROYECTO</t>
  </si>
  <si>
    <t xml:space="preserve">AÑO 2025 </t>
  </si>
  <si>
    <t>REEMBOLSOS</t>
  </si>
  <si>
    <t>OTROS</t>
  </si>
  <si>
    <t>total de la factura</t>
  </si>
  <si>
    <t>TOTAL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</si>
  <si>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</si>
  <si>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</si>
  <si>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</si>
  <si>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</si>
  <si>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</si>
  <si>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</si>
  <si>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</si>
  <si>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</si>
  <si>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</si>
  <si>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 xml:space="preserve">Octubre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</si>
</sst>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ptos Narrow"/>
      <scheme val="minor"/>
    </font>
    <font>
      <b/>
      <sz val="15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 applyAlignment="1">
      <alignment wrapText="1"/>
    </xf>
    <xf numFmtId="0" fontId="3" fillId="2" borderId="3" xfId="0" applyFont="1" applyFill="1" applyBorder="1" applyAlignment="1">
      <alignment wrapText="1"/>
    </xf>
    <xf numFmtId="9" fontId="3" fillId="2" borderId="3" xfId="0" applyNumberFormat="1" applyFont="1" applyFill="1" applyBorder="1" applyAlignment="1">
      <alignment wrapText="1"/>
    </xf>
    <xf numFmtId="9" fontId="4" fillId="2" borderId="0" xfId="0" applyNumberFormat="1" applyFont="1" applyFill="1"/>
    <xf numFmtId="0" fontId="4" fillId="2" borderId="0" xfId="0" applyFont="1" applyFill="1"/>
    <xf numFmtId="0" fontId="0" fillId="0" borderId="1" xfId="0" applyBorder="1"/>
    <xf numFmtId="0" fontId="5" fillId="0" borderId="1" xfId="0" applyFont="1" applyBorder="1"/>
    <xf numFmtId="2" fontId="5" fillId="0" borderId="1" xfId="0" applyNumberFormat="1" applyFont="1" applyBorder="1"/>
    <xf numFmtId="0" fontId="6" fillId="0" borderId="1" xfId="0" applyFont="1" applyBorder="1"/>
    <xf numFmtId="0" fontId="7" fillId="0" borderId="1" xfId="0" applyFont="1" applyBorder="1"/>
    <xf numFmtId="0" fontId="8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AB26F-7D91-4C19-9CDB-49234B78795E}">
  <dimension ref="A2:M12"/>
  <sheetViews>
    <sheetView tabSelected="1" zoomScale="130" zoomScaleNormal="130" workbookViewId="0">
      <selection activeCell="G16" sqref="G16"/>
    </sheetView>
  </sheetViews>
  <sheetFormatPr baseColWidth="10" defaultRowHeight="15" x14ac:dyDescent="0.2"/>
  <cols>
    <col min="1" max="1" width="16.5" customWidth="1"/>
    <col min="2" max="2" width="15.6640625" customWidth="1"/>
    <col min="3" max="3" width="15.83203125" customWidth="1"/>
    <col min="5" max="5" width="14.83203125" bestFit="1" customWidth="1"/>
    <col min="6" max="6" width="17" customWidth="1"/>
    <col min="7" max="7" width="11.5" customWidth="1"/>
    <col min="8" max="8" width="11.83203125" customWidth="1"/>
    <col min="10" max="10" width="16" customWidth="1"/>
  </cols>
  <sheetData>
    <row r="2" spans="1:13" s="1" customFormat="1" ht="75" customHeight="1" x14ac:dyDescent="0.25">
      <c r="A2" s="3" t="s">
        <v>20</v>
      </c>
      <c r="B2" s="3" t="s">
        <v>13</v>
      </c>
      <c r="C2" s="3" t="s">
        <v>14</v>
      </c>
      <c r="D2" s="3" t="s">
        <v>15</v>
      </c>
      <c r="E2" s="3" t="s">
        <v>16</v>
      </c>
      <c r="F2" s="3" t="s">
        <v>17</v>
      </c>
      <c r="G2" s="4" t="s">
        <v>22</v>
      </c>
      <c r="H2" s="4" t="s">
        <v>18</v>
      </c>
      <c r="I2" s="4" t="s">
        <v>19</v>
      </c>
      <c r="J2" s="5" t="s">
        <v>0</v>
      </c>
      <c r="K2" s="6" t="s">
        <v>0</v>
      </c>
      <c r="L2" s="7">
        <v>0.15</v>
      </c>
      <c r="M2" s="6" t="s">
        <v>23</v>
      </c>
    </row>
    <row r="3" spans="1:13" s="1" customFormat="1" ht="55.5" customHeight="1" x14ac:dyDescent="0.25">
      <c r="A3" s="2" t="s">
        <v>25</v>
      </c>
      <c r="B3" s="2">
        <v>93.75</v>
      </c>
      <c r="C3" s="2">
        <v>490</v>
      </c>
      <c r="D3" s="2">
        <v>116</v>
      </c>
      <c r="E3" s="2">
        <v>45</v>
      </c>
      <c r="F3" s="2"/>
      <c r="G3" s="2"/>
      <c r="H3" s="2"/>
      <c r="I3" s="2"/>
      <c r="J3" s="2">
        <f>B3+C3+D3+E3</f>
        <v>744.75</v>
      </c>
      <c r="K3" s="2">
        <f>J3</f>
        <v>744.75</v>
      </c>
      <c r="L3" s="2">
        <v>0</v>
      </c>
      <c r="M3" s="2">
        <f>K3+L3</f>
        <v>744.75</v>
      </c>
    </row>
    <row r="4" spans="1:13" s="1" customFormat="1" ht="55.5" customHeight="1" x14ac:dyDescent="0.25">
      <c r="A4" s="2" t="s">
        <v>26</v>
      </c>
      <c r="B4" s="2">
        <v>107.5</v>
      </c>
      <c r="C4" s="2">
        <v>1020</v>
      </c>
      <c r="D4" s="2">
        <v>232</v>
      </c>
      <c r="E4" s="2">
        <v>45.5</v>
      </c>
      <c r="F4" s="2"/>
      <c r="G4" s="2"/>
      <c r="H4" s="2"/>
      <c r="I4" s="2"/>
      <c r="J4" s="2">
        <f t="shared" ref="J4:J12" si="0">B4+C4+D4+E4</f>
        <v>1405</v>
      </c>
      <c r="K4" s="2">
        <f t="shared" ref="K4:K12" si="1">J4</f>
        <v>1405</v>
      </c>
      <c r="L4" s="2">
        <v>0</v>
      </c>
      <c r="M4" s="2">
        <f t="shared" ref="M4:M12" si="2">K4+L4</f>
        <v>1405</v>
      </c>
    </row>
    <row r="5" spans="1:13" s="1" customFormat="1" ht="55.5" customHeight="1" x14ac:dyDescent="0.25">
      <c r="A5" s="2" t="s">
        <v>27</v>
      </c>
      <c r="B5" s="2">
        <v>165.5</v>
      </c>
      <c r="C5" s="2">
        <v>870</v>
      </c>
      <c r="D5" s="2">
        <v>203</v>
      </c>
      <c r="E5" s="2">
        <v>30</v>
      </c>
      <c r="F5" s="2"/>
      <c r="G5" s="2"/>
      <c r="H5" s="2"/>
      <c r="I5" s="2"/>
      <c r="J5" s="2">
        <f t="shared" si="0"/>
        <v>1268.5</v>
      </c>
      <c r="K5" s="2">
        <f t="shared" si="1"/>
        <v>1268.5</v>
      </c>
      <c r="L5" s="2">
        <v>0</v>
      </c>
      <c r="M5" s="2">
        <f t="shared" si="2"/>
        <v>1268.5</v>
      </c>
    </row>
    <row r="6" spans="1:13" s="1" customFormat="1" ht="55.5" customHeight="1" x14ac:dyDescent="0.25">
      <c r="A6" s="2" t="s">
        <v>28</v>
      </c>
      <c r="B6" s="2">
        <v>353.75</v>
      </c>
      <c r="C6" s="2">
        <v>1995</v>
      </c>
      <c r="D6" s="2">
        <v>232</v>
      </c>
      <c r="E6" s="2">
        <v>15</v>
      </c>
      <c r="F6" s="2"/>
      <c r="G6" s="2"/>
      <c r="H6" s="2"/>
      <c r="I6" s="2"/>
      <c r="J6" s="2">
        <f t="shared" si="0"/>
        <v>2595.75</v>
      </c>
      <c r="K6" s="2">
        <f t="shared" si="1"/>
        <v>2595.75</v>
      </c>
      <c r="L6" s="2">
        <v>0</v>
      </c>
      <c r="M6" s="2">
        <f t="shared" si="2"/>
        <v>2595.75</v>
      </c>
    </row>
    <row r="7" spans="1:13" s="1" customFormat="1" ht="55.5" customHeight="1" x14ac:dyDescent="0.25">
      <c r="A7" s="2" t="s">
        <v>29</v>
      </c>
      <c r="B7" s="2">
        <v>151.25</v>
      </c>
      <c r="C7" s="2">
        <v>1070</v>
      </c>
      <c r="D7" s="2">
        <v>290</v>
      </c>
      <c r="E7" s="2">
        <v>15</v>
      </c>
      <c r="F7" s="2"/>
      <c r="G7" s="2"/>
      <c r="H7" s="2"/>
      <c r="I7" s="2"/>
      <c r="J7" s="2">
        <f t="shared" si="0"/>
        <v>1526.25</v>
      </c>
      <c r="K7" s="2">
        <f t="shared" si="1"/>
        <v>1526.25</v>
      </c>
      <c r="L7" s="2">
        <v>0</v>
      </c>
      <c r="M7" s="2">
        <f t="shared" si="2"/>
        <v>1526.25</v>
      </c>
    </row>
    <row r="8" spans="1:13" s="1" customFormat="1" ht="55.5" customHeight="1" x14ac:dyDescent="0.25">
      <c r="A8" s="2" t="s">
        <v>30</v>
      </c>
      <c r="B8" s="2">
        <v>166.25</v>
      </c>
      <c r="C8" s="2">
        <v>1640</v>
      </c>
      <c r="D8" s="2">
        <v>116</v>
      </c>
      <c r="E8" s="2">
        <v>90</v>
      </c>
      <c r="F8" s="2"/>
      <c r="G8" s="2"/>
      <c r="H8" s="2"/>
      <c r="I8" s="2"/>
      <c r="J8" s="2">
        <f t="shared" si="0"/>
        <v>2012.25</v>
      </c>
      <c r="K8" s="2">
        <f t="shared" si="1"/>
        <v>2012.25</v>
      </c>
      <c r="L8" s="2">
        <v>0</v>
      </c>
      <c r="M8" s="2">
        <f t="shared" si="2"/>
        <v>2012.25</v>
      </c>
    </row>
    <row r="9" spans="1:13" s="1" customFormat="1" ht="55.5" customHeight="1" x14ac:dyDescent="0.25">
      <c r="A9" s="2" t="s">
        <v>31</v>
      </c>
      <c r="B9" s="2">
        <v>248.75</v>
      </c>
      <c r="C9" s="2">
        <v>2005</v>
      </c>
      <c r="D9" s="2">
        <v>203</v>
      </c>
      <c r="E9" s="2">
        <v>15</v>
      </c>
      <c r="F9" s="2"/>
      <c r="G9" s="2"/>
      <c r="H9" s="2"/>
      <c r="I9" s="2"/>
      <c r="J9" s="2">
        <f t="shared" si="0"/>
        <v>2471.75</v>
      </c>
      <c r="K9" s="2">
        <f t="shared" si="1"/>
        <v>2471.75</v>
      </c>
      <c r="L9" s="2">
        <f t="shared" ref="L9:L12" si="3">K9*15/100</f>
        <v>370.76249999999999</v>
      </c>
      <c r="M9" s="2">
        <f t="shared" si="2"/>
        <v>2842.5124999999998</v>
      </c>
    </row>
    <row r="10" spans="1:13" s="1" customFormat="1" ht="55.5" customHeight="1" x14ac:dyDescent="0.25">
      <c r="A10" s="2" t="s">
        <v>32</v>
      </c>
      <c r="B10" s="2">
        <v>227.5</v>
      </c>
      <c r="C10" s="2">
        <v>2065</v>
      </c>
      <c r="D10" s="2">
        <v>87</v>
      </c>
      <c r="E10" s="2">
        <v>30</v>
      </c>
      <c r="F10" s="2"/>
      <c r="G10" s="2"/>
      <c r="H10" s="2"/>
      <c r="I10" s="2"/>
      <c r="J10" s="2">
        <f t="shared" si="0"/>
        <v>2409.5</v>
      </c>
      <c r="K10" s="2">
        <f t="shared" si="1"/>
        <v>2409.5</v>
      </c>
      <c r="L10" s="2">
        <f t="shared" si="3"/>
        <v>361.42500000000001</v>
      </c>
      <c r="M10" s="2">
        <f t="shared" si="2"/>
        <v>2770.9250000000002</v>
      </c>
    </row>
    <row r="11" spans="1:13" s="1" customFormat="1" ht="55.5" customHeight="1" x14ac:dyDescent="0.25">
      <c r="A11" s="2" t="s">
        <v>33</v>
      </c>
      <c r="B11" s="2">
        <v>130</v>
      </c>
      <c r="C11" s="2">
        <v>1970</v>
      </c>
      <c r="D11" s="2">
        <v>232</v>
      </c>
      <c r="E11" s="2">
        <v>105</v>
      </c>
      <c r="F11" s="2"/>
      <c r="G11" s="2"/>
      <c r="H11" s="2"/>
      <c r="I11" s="2"/>
      <c r="J11" s="2">
        <f t="shared" si="0"/>
        <v>2437</v>
      </c>
      <c r="K11" s="2">
        <f t="shared" si="1"/>
        <v>2437</v>
      </c>
      <c r="L11" s="2">
        <f t="shared" si="3"/>
        <v>365.55</v>
      </c>
      <c r="M11" s="2">
        <f t="shared" si="2"/>
        <v>2802.55</v>
      </c>
    </row>
    <row r="12" spans="1:13" s="1" customFormat="1" ht="55.5" customHeight="1" x14ac:dyDescent="0.25">
      <c r="A12" s="15" t="s">
        <v>34</v>
      </c>
      <c r="B12" s="15">
        <v>292.5</v>
      </c>
      <c r="C12" s="15">
        <v>1595</v>
      </c>
      <c r="D12" s="15">
        <v>203</v>
      </c>
      <c r="E12" s="15">
        <v>0</v>
      </c>
      <c r="F12" s="15"/>
      <c r="G12" s="15"/>
      <c r="H12" s="15"/>
      <c r="I12" s="15"/>
      <c r="J12" s="15">
        <f t="shared" si="0"/>
        <v>2090.5</v>
      </c>
      <c r="K12" s="15">
        <f t="shared" si="1"/>
        <v>2090.5</v>
      </c>
      <c r="L12" s="15">
        <f t="shared" si="3"/>
        <v>313.57499999999999</v>
      </c>
      <c r="M12" s="15">
        <f t="shared" si="2"/>
        <v>2404.0749999999998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7125-F3C3-4045-8C72-436EDD499174}">
  <dimension ref="B1:E13"/>
  <sheetViews>
    <sheetView workbookViewId="0">
      <selection activeCell="E18" sqref="E18"/>
    </sheetView>
  </sheetViews>
  <sheetFormatPr baseColWidth="10" defaultRowHeight="15" x14ac:dyDescent="0.2"/>
  <cols>
    <col min="1" max="1" width="6.1640625" customWidth="1"/>
    <col min="2" max="2" width="14.33203125" bestFit="1" customWidth="1"/>
    <col min="3" max="3" width="17.83203125" customWidth="1"/>
    <col min="4" max="4" width="11" customWidth="1"/>
  </cols>
  <sheetData>
    <row r="1" spans="2:5" ht="39" customHeight="1" x14ac:dyDescent="0.2">
      <c r="B1" s="3" t="s">
        <v>20</v>
      </c>
      <c r="C1" s="3" t="s">
        <v>21</v>
      </c>
      <c r="D1" s="8">
        <v>0.15</v>
      </c>
      <c r="E1" s="9" t="s">
        <v>24</v>
      </c>
    </row>
    <row r="2" spans="2:5" ht="20" x14ac:dyDescent="0.25">
      <c r="B2" s="2" t="s">
        <v>1</v>
      </c>
      <c r="C2" s="2"/>
      <c r="D2" s="10"/>
      <c r="E2" s="10"/>
    </row>
    <row r="3" spans="2:5" ht="20" x14ac:dyDescent="0.25">
      <c r="B3" s="2" t="s">
        <v>2</v>
      </c>
      <c r="C3" s="2"/>
      <c r="D3" s="10"/>
      <c r="E3" s="10"/>
    </row>
    <row r="4" spans="2:5" ht="20" x14ac:dyDescent="0.25">
      <c r="B4" s="2" t="s">
        <v>3</v>
      </c>
      <c r="C4" s="2"/>
      <c r="D4" s="10"/>
      <c r="E4" s="10"/>
    </row>
    <row r="5" spans="2:5" ht="20" x14ac:dyDescent="0.25">
      <c r="B5" s="2" t="s">
        <v>4</v>
      </c>
      <c r="C5" s="2"/>
      <c r="D5" s="10"/>
      <c r="E5" s="13"/>
    </row>
    <row r="6" spans="2:5" ht="22" x14ac:dyDescent="0.3">
      <c r="B6" s="2" t="s">
        <v>5</v>
      </c>
      <c r="C6" s="2"/>
      <c r="D6" s="11"/>
      <c r="E6" s="11"/>
    </row>
    <row r="7" spans="2:5" ht="22" x14ac:dyDescent="0.3">
      <c r="B7" s="2" t="s">
        <v>6</v>
      </c>
      <c r="C7" s="2"/>
      <c r="D7" s="11"/>
      <c r="E7" s="11"/>
    </row>
    <row r="8" spans="2:5" ht="22" x14ac:dyDescent="0.3">
      <c r="B8" s="2" t="s">
        <v>7</v>
      </c>
      <c r="C8" s="2">
        <v>106.23</v>
      </c>
      <c r="D8" s="11">
        <f>C8*15/100</f>
        <v>15.9345</v>
      </c>
      <c r="E8" s="12">
        <f>C8+D8</f>
        <v>122.1645</v>
      </c>
    </row>
    <row r="9" spans="2:5" ht="22" x14ac:dyDescent="0.3">
      <c r="B9" s="2" t="s">
        <v>8</v>
      </c>
      <c r="C9" s="2">
        <v>126.95</v>
      </c>
      <c r="D9" s="11">
        <f>C9*15/100</f>
        <v>19.0425</v>
      </c>
      <c r="E9" s="12">
        <f>C9+D9</f>
        <v>145.99250000000001</v>
      </c>
    </row>
    <row r="10" spans="2:5" ht="22" x14ac:dyDescent="0.3">
      <c r="B10" s="2" t="s">
        <v>9</v>
      </c>
      <c r="C10" s="2">
        <v>98.7</v>
      </c>
      <c r="D10" s="11">
        <f>C10*15/100</f>
        <v>14.805</v>
      </c>
      <c r="E10" s="12">
        <f>C10+D10</f>
        <v>113.505</v>
      </c>
    </row>
    <row r="11" spans="2:5" ht="22" x14ac:dyDescent="0.3">
      <c r="B11" s="2" t="s">
        <v>10</v>
      </c>
      <c r="C11" s="14">
        <v>100.4</v>
      </c>
      <c r="D11" s="14">
        <v>15.06</v>
      </c>
      <c r="E11" s="14">
        <v>115.46</v>
      </c>
    </row>
    <row r="12" spans="2:5" ht="20" x14ac:dyDescent="0.25">
      <c r="B12" s="2" t="s">
        <v>11</v>
      </c>
      <c r="C12" s="2"/>
      <c r="D12" s="10"/>
      <c r="E12" s="10"/>
    </row>
    <row r="13" spans="2:5" ht="20" x14ac:dyDescent="0.25">
      <c r="B13" s="2" t="s">
        <v>12</v>
      </c>
      <c r="C13" s="2"/>
      <c r="D13" s="10"/>
      <c r="E13" s="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7A7E5-B51F-430E-A501-9871A6FE9B75}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desglose pagos </vt:lpstr>
      <vt:lpstr>reembolsos 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Marcia Navarrete</dc:creator>
  <cp:lastModifiedBy>Office</cp:lastModifiedBy>
  <dcterms:created xsi:type="dcterms:W3CDTF">2025-09-10T14:49:28Z</dcterms:created>
  <dcterms:modified xsi:type="dcterms:W3CDTF">2025-10-20T15:36:02Z</dcterms:modified>
</cp:coreProperties>
</file>