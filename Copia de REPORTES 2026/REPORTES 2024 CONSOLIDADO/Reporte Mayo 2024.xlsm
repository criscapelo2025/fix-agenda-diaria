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olivercapelo/Desktop/REPORTES 2024 CONSOLIDADO/"/>
    </mc:Choice>
  </mc:AlternateContent>
  <xr:revisionPtr revIDLastSave="0" documentId="8_{203EF1CC-2A47-9A42-A3E9-6EE838FFAE61}" xr6:coauthVersionLast="47" xr6:coauthVersionMax="47" xr10:uidLastSave="{00000000-0000-0000-0000-000000000000}"/>
  <bookViews>
    <workbookView xWindow="0" yWindow="500" windowWidth="20740" windowHeight="11760" activeTab="5" xr2:uid="{00000000-000D-0000-FFFF-FFFF00000000}"/>
  </bookViews>
  <sheets>
    <sheet name="PROMOCION" sheetId="1" r:id="rId1"/>
    <sheet name="GARANTIA" sheetId="2" r:id="rId2"/>
    <sheet name="BBQ" sheetId="3" r:id="rId3"/>
    <sheet name="ALMACENES " sheetId="4" r:id="rId4"/>
    <sheet name="PROYECTO " sheetId="5" r:id="rId5"/>
    <sheet name="1 PRODUCTO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6" l="1"/>
  <c r="O46" i="1" l="1"/>
  <c r="O11" i="3" l="1"/>
  <c r="M22" i="2"/>
  <c r="R18" i="2"/>
  <c r="N10" i="4" l="1"/>
  <c r="M48" i="1" l="1"/>
  <c r="M47" i="1"/>
  <c r="M49" i="1" l="1"/>
  <c r="L14" i="3"/>
</calcChain>
</file>

<file path=xl/sharedStrings.xml><?xml version="1.0" encoding="utf-8"?>
<sst xmlns="http://schemas.openxmlformats.org/spreadsheetml/2006/main" count="1032" uniqueCount="432">
  <si>
    <t xml:space="preserve">TEKA ECUADOR S.A. </t>
  </si>
  <si>
    <t>Registro Único de Contribuyente: 1791883144001</t>
  </si>
  <si>
    <t xml:space="preserve">FECHA DE COMPRA </t>
  </si>
  <si>
    <t xml:space="preserve">LUGAR DE COMRPA </t>
  </si>
  <si>
    <t>NUMERO DE FACTURA DE COMPRA</t>
  </si>
  <si>
    <t xml:space="preserve">CODIGO DEL PRODUCTO </t>
  </si>
  <si>
    <t xml:space="preserve">DESCRIPCION DE PRODUCTO </t>
  </si>
  <si>
    <t xml:space="preserve">SERIE DEL EQUIPO </t>
  </si>
  <si>
    <t>GARANTIA DEL EQUIPO</t>
  </si>
  <si>
    <t xml:space="preserve">TECNICO </t>
  </si>
  <si>
    <t xml:space="preserve">CIUDAD </t>
  </si>
  <si>
    <t xml:space="preserve">FECHA DE INSTALACION </t>
  </si>
  <si>
    <t>NOMBRE DEL CLIENTE</t>
  </si>
  <si>
    <t xml:space="preserve">DIRECCION INSTALACION </t>
  </si>
  <si>
    <t>CELULAR DEL CLIENTE</t>
  </si>
  <si>
    <t>PRECIO</t>
  </si>
  <si>
    <t xml:space="preserve">COMO LLEGO LA INFORMACION </t>
  </si>
  <si>
    <t>TÉCNICO QUE ATENDIÓ</t>
  </si>
  <si>
    <t xml:space="preserve">VIÁTICO </t>
  </si>
  <si>
    <t>FACTURA NUMERO</t>
  </si>
  <si>
    <t>CEDULA O RUC</t>
  </si>
  <si>
    <t xml:space="preserve">CORREO DEL CLIENTE </t>
  </si>
  <si>
    <t>Cliente final</t>
  </si>
  <si>
    <t xml:space="preserve">PROMOCION </t>
  </si>
  <si>
    <t xml:space="preserve">                  TRABAJOS EN GARANTÍAS</t>
  </si>
  <si>
    <t>Para Ing. Fernández</t>
  </si>
  <si>
    <t>Fecha de Compra</t>
  </si>
  <si>
    <t>Fecha de Intervención</t>
  </si>
  <si>
    <t>Cantidad</t>
  </si>
  <si>
    <t>Código del repuesto</t>
  </si>
  <si>
    <t>Descripción del Repuesto</t>
  </si>
  <si>
    <t xml:space="preserve">Codigo del Producto </t>
  </si>
  <si>
    <t>Descripción del Producto</t>
  </si>
  <si>
    <t>Serie</t>
  </si>
  <si>
    <t>Garantía</t>
  </si>
  <si>
    <t xml:space="preserve">Técnico </t>
  </si>
  <si>
    <t>Cliente</t>
  </si>
  <si>
    <t>Observación</t>
  </si>
  <si>
    <t xml:space="preserve">valor a pagar </t>
  </si>
  <si>
    <t>Cédula</t>
  </si>
  <si>
    <t>Correo</t>
  </si>
  <si>
    <t>telefono del cliente</t>
  </si>
  <si>
    <t>SAP</t>
  </si>
  <si>
    <t xml:space="preserve">     TEKA ECUADOR S.A. </t>
  </si>
  <si>
    <t xml:space="preserve">    Registro Único de Contribuyente: 1791883144001</t>
  </si>
  <si>
    <t>BBQ</t>
  </si>
  <si>
    <t xml:space="preserve">FECHA INSTALACION </t>
  </si>
  <si>
    <t xml:space="preserve">COMO LLEGO INFORMACION </t>
  </si>
  <si>
    <t>TECNICO QUE ATENDIO</t>
  </si>
  <si>
    <t>VIATICOS</t>
  </si>
  <si>
    <t>CORREO DEL CLIENTE</t>
  </si>
  <si>
    <t>Kywi s.a.</t>
  </si>
  <si>
    <t>Sap Teka</t>
  </si>
  <si>
    <t>Cliente Final</t>
  </si>
  <si>
    <t>TEKA ECUADOR S.A.</t>
  </si>
  <si>
    <t>FECHA DE COMPRA</t>
  </si>
  <si>
    <t>LUGAR DE COMRPA</t>
  </si>
  <si>
    <t>CODIGO DEL PRODUCTO</t>
  </si>
  <si>
    <t>DESCRIPCION DE PRODUCTO</t>
  </si>
  <si>
    <t>SERIE DEL EQUIPO</t>
  </si>
  <si>
    <t>TECNICO</t>
  </si>
  <si>
    <t>CIUDAD</t>
  </si>
  <si>
    <t>FECHA INSTALACION</t>
  </si>
  <si>
    <t>DIRECCION INSTALACION</t>
  </si>
  <si>
    <t>COMO LLEGO INFORMACION</t>
  </si>
  <si>
    <t>STOCK</t>
  </si>
  <si>
    <t xml:space="preserve">LLAMADA TELEFONICA </t>
  </si>
  <si>
    <t xml:space="preserve">ALMACENES </t>
  </si>
  <si>
    <t>DETALLE DE PRODUCTOS INSTALADOS EN PROYECTO</t>
  </si>
  <si>
    <t xml:space="preserve">COMO NOS LLEGO LA INFORMACION </t>
  </si>
  <si>
    <t>Nombre de cliente</t>
  </si>
  <si>
    <t xml:space="preserve">Celular cliente </t>
  </si>
  <si>
    <t>VALOR</t>
  </si>
  <si>
    <t>RUC O CEDULA DUEÑO DE CASA</t>
  </si>
  <si>
    <t xml:space="preserve">CORREO DEL DUEÑO DE CASA </t>
  </si>
  <si>
    <t>DPTO.</t>
  </si>
  <si>
    <t>RECIBIDO POR</t>
  </si>
  <si>
    <t>CÉDULA</t>
  </si>
  <si>
    <t xml:space="preserve">PROYECTO </t>
  </si>
  <si>
    <t>Capelo</t>
  </si>
  <si>
    <t>Cuenca</t>
  </si>
  <si>
    <t>Paute</t>
  </si>
  <si>
    <t>Luna Pazmiño</t>
  </si>
  <si>
    <t>Comercial Solis</t>
  </si>
  <si>
    <t>Sukasa</t>
  </si>
  <si>
    <t>Cocina JZC 96324 ABB</t>
  </si>
  <si>
    <t>CAPELO</t>
  </si>
  <si>
    <t>CUENCA</t>
  </si>
  <si>
    <t>Av. Mariscal Lamar</t>
  </si>
  <si>
    <t>Barbacoa a Gas T-BBQ 4100 SS</t>
  </si>
  <si>
    <t>De Cristian Capelo</t>
  </si>
  <si>
    <t>UN SOLO PRODUCTO</t>
  </si>
  <si>
    <t>CLIENTE FINAL</t>
  </si>
  <si>
    <t>Cocina GBC 75030 KBB</t>
  </si>
  <si>
    <t>ABRIL 2024</t>
  </si>
  <si>
    <t>Cristian Capelo</t>
  </si>
  <si>
    <t>Llamada Cliente</t>
  </si>
  <si>
    <t>Edf. Pablos</t>
  </si>
  <si>
    <t>Campana DPL 90</t>
  </si>
  <si>
    <t>Chordeleg</t>
  </si>
  <si>
    <t>Kywi</t>
  </si>
  <si>
    <t>Cocina GZC 96310 XBB</t>
  </si>
  <si>
    <t>Horno HLB 8416</t>
  </si>
  <si>
    <t>Cocina GZC 75330 XBB</t>
  </si>
  <si>
    <t>Cocinas</t>
  </si>
  <si>
    <t>Al 20 de MAYO del 2024</t>
  </si>
  <si>
    <t>MAYO 2024</t>
  </si>
  <si>
    <t>040-104-000004083</t>
  </si>
  <si>
    <t>ZP242200362</t>
  </si>
  <si>
    <t>Klever Peralta</t>
  </si>
  <si>
    <t>Apartamento SOHO 174</t>
  </si>
  <si>
    <t>uzcpatrick@hotmail.com</t>
  </si>
  <si>
    <t>TZ241405188</t>
  </si>
  <si>
    <t>002-101-000102717</t>
  </si>
  <si>
    <t>Campana C6310</t>
  </si>
  <si>
    <t>TP238N02670</t>
  </si>
  <si>
    <t>Luis Pintado</t>
  </si>
  <si>
    <t>Manuel Arturo Cisneros Y Ricardo Marquez</t>
  </si>
  <si>
    <t>Cocina 64000 KBB</t>
  </si>
  <si>
    <t>ZP23BF01040</t>
  </si>
  <si>
    <t>Tapitex MB CIA LTDA</t>
  </si>
  <si>
    <t>004-045-000052412</t>
  </si>
  <si>
    <t>M00000016077747</t>
  </si>
  <si>
    <t>Juan Fernando Aviliz</t>
  </si>
  <si>
    <t>juanfatcivil@hotmail.com</t>
  </si>
  <si>
    <t>001-000-00018268</t>
  </si>
  <si>
    <t>ZP212M00068</t>
  </si>
  <si>
    <t>043-909-000000153</t>
  </si>
  <si>
    <t>ZP242700266</t>
  </si>
  <si>
    <t>Juan Pablo Vasquez</t>
  </si>
  <si>
    <t>Edf. Atlantida</t>
  </si>
  <si>
    <t>fabcue5@hotmail.com</t>
  </si>
  <si>
    <t xml:space="preserve">Horno HLB 8550 </t>
  </si>
  <si>
    <t>TZ23BE12434</t>
  </si>
  <si>
    <t>001-500-000061457</t>
  </si>
  <si>
    <t xml:space="preserve">Cocina GZC 96310 </t>
  </si>
  <si>
    <t>ZP23BD00245</t>
  </si>
  <si>
    <t>Mercedes Mejia</t>
  </si>
  <si>
    <t>Av. 10 de Agosto y Juan Iñiguez</t>
  </si>
  <si>
    <t>geovannyquito@hotmail.com</t>
  </si>
  <si>
    <t>TZ241K18335</t>
  </si>
  <si>
    <t>lpluispintadolp@hotmail.com</t>
  </si>
  <si>
    <t>040-103-000003031</t>
  </si>
  <si>
    <t>Cocina GZC 95320 XBB</t>
  </si>
  <si>
    <t>ZP23AQ00120</t>
  </si>
  <si>
    <t>Ana Mercedes Ulloa</t>
  </si>
  <si>
    <t>Francisca Davila 3-85</t>
  </si>
  <si>
    <t>ulloamichi@yahoo.com</t>
  </si>
  <si>
    <t>Microondas ML 822 BIS L</t>
  </si>
  <si>
    <t>TP231P00542</t>
  </si>
  <si>
    <t>Horno HLF 8246 LPGE 01</t>
  </si>
  <si>
    <t>TZ23B304196</t>
  </si>
  <si>
    <t>Vinera RVI 10024 GBK</t>
  </si>
  <si>
    <t>N5236500034</t>
  </si>
  <si>
    <t xml:space="preserve">Alm. España </t>
  </si>
  <si>
    <t>008-501-000007808</t>
  </si>
  <si>
    <t>TZ23BD11132</t>
  </si>
  <si>
    <t>tereperezv1@hotmail.com</t>
  </si>
  <si>
    <t>Teresa Perez</t>
  </si>
  <si>
    <t>008-501-000007743</t>
  </si>
  <si>
    <t>Horno HLB 830</t>
  </si>
  <si>
    <t>ZP235B00151</t>
  </si>
  <si>
    <t>Capelo Mayo 2024</t>
  </si>
  <si>
    <t>CO225R00783</t>
  </si>
  <si>
    <t>Kasilda Gonzalez</t>
  </si>
  <si>
    <t>Leopoldo Davia</t>
  </si>
  <si>
    <t>damartimacas@gmail.com</t>
  </si>
  <si>
    <t>CO225R00568</t>
  </si>
  <si>
    <t>Mariscal Lamar</t>
  </si>
  <si>
    <t>Campana DVN 74030 TCL BK</t>
  </si>
  <si>
    <t>EK23B800010</t>
  </si>
  <si>
    <t>Campana</t>
  </si>
  <si>
    <t>CAPELO MAYO 2024</t>
  </si>
  <si>
    <t>CAPELO - MAYO 2024</t>
  </si>
  <si>
    <t>Cristal IZF 99700 MST BK</t>
  </si>
  <si>
    <t>Cocina IZF 99700</t>
  </si>
  <si>
    <t>ZP235400072</t>
  </si>
  <si>
    <t>Sukasa Wayra</t>
  </si>
  <si>
    <t>Cambio Cristal</t>
  </si>
  <si>
    <t>Almacen</t>
  </si>
  <si>
    <t>Placa de Potencia I100 Derecha</t>
  </si>
  <si>
    <t>Cocina IZS 97630 MST BK</t>
  </si>
  <si>
    <t>ZP22BG00063</t>
  </si>
  <si>
    <t>Angelica Siguencia</t>
  </si>
  <si>
    <t>Cambio Placa Potencia</t>
  </si>
  <si>
    <t>016-907-000169625</t>
  </si>
  <si>
    <t>Generador de Encendido SP</t>
  </si>
  <si>
    <t>ZP235B00139</t>
  </si>
  <si>
    <t>Patricia Tello</t>
  </si>
  <si>
    <t>Cambio de Generado de Encendido</t>
  </si>
  <si>
    <t>001-501-000050703</t>
  </si>
  <si>
    <t>ZP234T00498</t>
  </si>
  <si>
    <t>Juan Pablo Patiño</t>
  </si>
  <si>
    <t>Cambio Generador de Encendido</t>
  </si>
  <si>
    <t>006-002-000154718</t>
  </si>
  <si>
    <t>jpablopatino@hotmail.com</t>
  </si>
  <si>
    <t>Generador de Encendido 6 SAL</t>
  </si>
  <si>
    <t>ZP236100016</t>
  </si>
  <si>
    <t>Hugo Teodoro Tuapante</t>
  </si>
  <si>
    <t>002-103-000008844</t>
  </si>
  <si>
    <t>Conjunto Modul Induccion 4i TEKA GO</t>
  </si>
  <si>
    <t>ZP23A600808</t>
  </si>
  <si>
    <t>Boris Torres</t>
  </si>
  <si>
    <t>Cambio Modulo</t>
  </si>
  <si>
    <t>Cambio de Producto</t>
  </si>
  <si>
    <t>Triturador TR 710.1</t>
  </si>
  <si>
    <t>230215AF0070</t>
  </si>
  <si>
    <t>Patricia Rivadeneira</t>
  </si>
  <si>
    <t>Cambio Producto</t>
  </si>
  <si>
    <t>pachiravas54@hotmail.com</t>
  </si>
  <si>
    <t>001-101-000002483</t>
  </si>
  <si>
    <t>016-906-00010240</t>
  </si>
  <si>
    <t>043-902-000011775</t>
  </si>
  <si>
    <t>111910000</t>
  </si>
  <si>
    <t xml:space="preserve">Micro-Campana </t>
  </si>
  <si>
    <t>0418763</t>
  </si>
  <si>
    <t>Rebeca Vicuña</t>
  </si>
  <si>
    <t>La Republica</t>
  </si>
  <si>
    <t>karlavv13@hotmail.com</t>
  </si>
  <si>
    <t xml:space="preserve"> MLH 845 SS</t>
  </si>
  <si>
    <t>043-906-000017052</t>
  </si>
  <si>
    <t>40461506</t>
  </si>
  <si>
    <t>Campana C 610</t>
  </si>
  <si>
    <t>TP222H08069</t>
  </si>
  <si>
    <t>Esperanza Quezada</t>
  </si>
  <si>
    <t>Jose Mejia 1-45</t>
  </si>
  <si>
    <t>zoilaquezadab@gmail.com</t>
  </si>
  <si>
    <t>043-904-000012010</t>
  </si>
  <si>
    <t>40487192</t>
  </si>
  <si>
    <t>Campana DLH 982 T INOX</t>
  </si>
  <si>
    <t>TP23A901638</t>
  </si>
  <si>
    <t>0411842</t>
  </si>
  <si>
    <t>Jose Jaramillo</t>
  </si>
  <si>
    <t>Cajas y Andes</t>
  </si>
  <si>
    <t>jose.miguelj@icloud.com</t>
  </si>
  <si>
    <t>016-903-000507286</t>
  </si>
  <si>
    <t>40466241</t>
  </si>
  <si>
    <t>Campana C 910 INOX</t>
  </si>
  <si>
    <t>TP23BF04065</t>
  </si>
  <si>
    <t>0417498</t>
  </si>
  <si>
    <t>Maria Zuñiga</t>
  </si>
  <si>
    <t>Ricaurte</t>
  </si>
  <si>
    <t>mariazuñiga 098412@gmail.com</t>
  </si>
  <si>
    <t>016-907-000200439</t>
  </si>
  <si>
    <t>40484204</t>
  </si>
  <si>
    <t>TP241B06350</t>
  </si>
  <si>
    <t>0420918</t>
  </si>
  <si>
    <t>Raquel Sarmiento</t>
  </si>
  <si>
    <t>Av. 1 de Mayo</t>
  </si>
  <si>
    <t>erick_pinos10@hotmail.com</t>
  </si>
  <si>
    <t xml:space="preserve">Campana DSH 985 INOX </t>
  </si>
  <si>
    <t>016-902-000450091</t>
  </si>
  <si>
    <t>112820025</t>
  </si>
  <si>
    <t>Cocina IZC 64010 MSS BK</t>
  </si>
  <si>
    <t>ZP23A200253</t>
  </si>
  <si>
    <t>04112225</t>
  </si>
  <si>
    <t>Edison Barahona</t>
  </si>
  <si>
    <t>De la Bandera Escuela Kennedy</t>
  </si>
  <si>
    <t>ecunedybm@hotmail.com</t>
  </si>
  <si>
    <t>016-902-000460463</t>
  </si>
  <si>
    <t>112950021</t>
  </si>
  <si>
    <t>Campana DVN 94030 TCL BK</t>
  </si>
  <si>
    <t>EK239500101</t>
  </si>
  <si>
    <t>0419938</t>
  </si>
  <si>
    <t>Paola Zuñiga</t>
  </si>
  <si>
    <t>Calle Julia Bernal y Molinopamba</t>
  </si>
  <si>
    <t>paitonoe@gmail.com</t>
  </si>
  <si>
    <t>Mercard</t>
  </si>
  <si>
    <t>001-101-000003359</t>
  </si>
  <si>
    <t>41560166</t>
  </si>
  <si>
    <t xml:space="preserve">Horno IOVEN </t>
  </si>
  <si>
    <t>Susanba Borja</t>
  </si>
  <si>
    <t>Edif. Rubik</t>
  </si>
  <si>
    <t>susy_borja@yahoo.com</t>
  </si>
  <si>
    <t>TZ242U32191</t>
  </si>
  <si>
    <t>Home Vega</t>
  </si>
  <si>
    <t>006-002-000155442</t>
  </si>
  <si>
    <t>40485141</t>
  </si>
  <si>
    <t>Campana DG 3 ISLA 980</t>
  </si>
  <si>
    <t>PX23A900062</t>
  </si>
  <si>
    <t>04166470</t>
  </si>
  <si>
    <t>Nancy Saquicii</t>
  </si>
  <si>
    <t>Federico Proaño y Av. 10 de Agosto</t>
  </si>
  <si>
    <t>mausuarez666@hotmail.com</t>
  </si>
  <si>
    <t>040-103-000005180</t>
  </si>
  <si>
    <t>Cocina IZC 64010 MSSBK</t>
  </si>
  <si>
    <t>Horno HSB 630</t>
  </si>
  <si>
    <t>TZ241304044</t>
  </si>
  <si>
    <t>ZP23B200160</t>
  </si>
  <si>
    <t>Mercedes Zambrano</t>
  </si>
  <si>
    <t>Cond. Galicia</t>
  </si>
  <si>
    <t>nuevespa@hotmail.com</t>
  </si>
  <si>
    <t>040-103-000004982</t>
  </si>
  <si>
    <t>TP233E02525</t>
  </si>
  <si>
    <t>001-500-000062346</t>
  </si>
  <si>
    <t>Campana C9310</t>
  </si>
  <si>
    <t>TP241W02553</t>
  </si>
  <si>
    <t>0420277</t>
  </si>
  <si>
    <t>Jose Atancuri</t>
  </si>
  <si>
    <t>Sinincay</t>
  </si>
  <si>
    <t>joseluisatancuri@yahoo.com</t>
  </si>
  <si>
    <t>Almacenes España</t>
  </si>
  <si>
    <t>008-501-000007325</t>
  </si>
  <si>
    <t>112510035</t>
  </si>
  <si>
    <t>Cocina IZF 64440 MPS BK</t>
  </si>
  <si>
    <t>ZP234M00298</t>
  </si>
  <si>
    <t>0406407</t>
  </si>
  <si>
    <t>Henry Calle</t>
  </si>
  <si>
    <t>Gonzalo Cordero</t>
  </si>
  <si>
    <t>henrycallevidal@gmail.com</t>
  </si>
  <si>
    <t>001-001-000020063</t>
  </si>
  <si>
    <t>TP237402475</t>
  </si>
  <si>
    <t>Marco Calle</t>
  </si>
  <si>
    <t>Ataucocha y Pucacocha</t>
  </si>
  <si>
    <t>smarcocalle@gmail.com</t>
  </si>
  <si>
    <t>043-901-000004614</t>
  </si>
  <si>
    <t>40466111</t>
  </si>
  <si>
    <t>Campana C910</t>
  </si>
  <si>
    <t>TP241A03891</t>
  </si>
  <si>
    <t>Franklin Rea</t>
  </si>
  <si>
    <t>Francisco Cisneros y Calle del Retorno</t>
  </si>
  <si>
    <t>rea_flanklin@hotmail.com</t>
  </si>
  <si>
    <t>España</t>
  </si>
  <si>
    <t>008-501-000007169</t>
  </si>
  <si>
    <t>112520025</t>
  </si>
  <si>
    <t>Cocina JZC 64010 MSS BK</t>
  </si>
  <si>
    <t>ZP236500605</t>
  </si>
  <si>
    <t>0403156</t>
  </si>
  <si>
    <t>Ximena Salcedo</t>
  </si>
  <si>
    <t>Paseo 3 de Noviembre</t>
  </si>
  <si>
    <t>mimesal@hotmail.com</t>
  </si>
  <si>
    <t>001-500-000063025</t>
  </si>
  <si>
    <t>Campana C 9310</t>
  </si>
  <si>
    <t>TP241H05562</t>
  </si>
  <si>
    <t>TP241 H05550</t>
  </si>
  <si>
    <t>Angelica Guerrero</t>
  </si>
  <si>
    <t>Sangurima 15-32 y Coronel Talbot</t>
  </si>
  <si>
    <t>marlonmggomez@gmail.com</t>
  </si>
  <si>
    <t>040-103-000004592</t>
  </si>
  <si>
    <t>Cocina GBC 95330</t>
  </si>
  <si>
    <t>ZP241F00018</t>
  </si>
  <si>
    <t>Enrique Pinos</t>
  </si>
  <si>
    <t>El Tablon Chaullabamba</t>
  </si>
  <si>
    <t>epinoo@hotmail.com</t>
  </si>
  <si>
    <t>Microondas MWG 14X</t>
  </si>
  <si>
    <t>MW23AR00973</t>
  </si>
  <si>
    <t>0987665567</t>
  </si>
  <si>
    <t>ventas@comercialsolis.com.ec</t>
  </si>
  <si>
    <t>006-000155887</t>
  </si>
  <si>
    <t>Cocina GZC 75330XBB</t>
  </si>
  <si>
    <t>ZP234L00185</t>
  </si>
  <si>
    <t>Freddy Coronel</t>
  </si>
  <si>
    <t>Sta. Anita de Turi</t>
  </si>
  <si>
    <t>freddy-c84@live.com</t>
  </si>
  <si>
    <t>TZ238P07483</t>
  </si>
  <si>
    <t>TP237402392</t>
  </si>
  <si>
    <t>043-901-000003248</t>
  </si>
  <si>
    <t>Horno HLB 760 G</t>
  </si>
  <si>
    <t>TZ23B202325</t>
  </si>
  <si>
    <t>Santiago Amaña</t>
  </si>
  <si>
    <t>Cdla de los Ingenieros</t>
  </si>
  <si>
    <t>santiago2217@icloud.com</t>
  </si>
  <si>
    <t>ZP241R00250</t>
  </si>
  <si>
    <t>Campana C610</t>
  </si>
  <si>
    <t>TP233E00072</t>
  </si>
  <si>
    <t>Refrigeradora RFD 77820 GBK</t>
  </si>
  <si>
    <t>MC234E00072</t>
  </si>
  <si>
    <t>Lavavajillas DFI 46950 120-60</t>
  </si>
  <si>
    <t>Campana C 910</t>
  </si>
  <si>
    <t>TP237R02120</t>
  </si>
  <si>
    <t>Fernando Galvez</t>
  </si>
  <si>
    <t>egalvez@etapane.net</t>
  </si>
  <si>
    <t>Cocina GBC 95030 KBB</t>
  </si>
  <si>
    <t>ZP241A00059</t>
  </si>
  <si>
    <t>TZ242505231</t>
  </si>
  <si>
    <t>016-904-000213114</t>
  </si>
  <si>
    <t>043-906-000012143</t>
  </si>
  <si>
    <t>E</t>
  </si>
  <si>
    <t>Eloy Monje S-N Y 25 DE Marzo</t>
  </si>
  <si>
    <t>016-907-000200922</t>
  </si>
  <si>
    <t>016-902-000461624</t>
  </si>
  <si>
    <t>ZP241A00033</t>
  </si>
  <si>
    <t>TP23AR05184</t>
  </si>
  <si>
    <t>Juan Cañar</t>
  </si>
  <si>
    <t>San Bartolo</t>
  </si>
  <si>
    <t>016-902-0000461624</t>
  </si>
  <si>
    <t>facim13@hotmail.com</t>
  </si>
  <si>
    <t>016-907-000197653</t>
  </si>
  <si>
    <t>016-903-000515704</t>
  </si>
  <si>
    <t>CO225R00795</t>
  </si>
  <si>
    <t>Carlos Quizhpe</t>
  </si>
  <si>
    <t>0984103190</t>
  </si>
  <si>
    <t>elhornocq@hotmail.com</t>
  </si>
  <si>
    <t>043-901-000004488</t>
  </si>
  <si>
    <t>112580027</t>
  </si>
  <si>
    <t>ZP241R00291</t>
  </si>
  <si>
    <t>0419993</t>
  </si>
  <si>
    <t>Maria Elena Romo</t>
  </si>
  <si>
    <t>Azoguez Calle Bolivar 1-22</t>
  </si>
  <si>
    <t>marielenaromo@hotmail.com</t>
  </si>
  <si>
    <t xml:space="preserve">CAPELO MAYO 2024 </t>
  </si>
  <si>
    <t>Triturador</t>
  </si>
  <si>
    <t>Microondas ML 820 BIS</t>
  </si>
  <si>
    <t>TP22AT07619</t>
  </si>
  <si>
    <t>Ana Bermeo</t>
  </si>
  <si>
    <t>Fusible Quemado</t>
  </si>
  <si>
    <t>angelicasiguencia@gmail.com</t>
  </si>
  <si>
    <t>anybp-13-11@hotmail.com</t>
  </si>
  <si>
    <t>002-111-000019920</t>
  </si>
  <si>
    <t>Conjunto Induccion i100 Domino (Vr. Esclava)</t>
  </si>
  <si>
    <t>Cocina IZS 97630 MSTBK</t>
  </si>
  <si>
    <t>ZP226Q00032</t>
  </si>
  <si>
    <t>Daniela Cuesta</t>
  </si>
  <si>
    <t>Cambio repuesto solicitado</t>
  </si>
  <si>
    <t>alcuestaa@gmail.com</t>
  </si>
  <si>
    <t>Microondas</t>
  </si>
  <si>
    <t>Viaticos</t>
  </si>
  <si>
    <t>CO225R00791</t>
  </si>
  <si>
    <t>kywi</t>
  </si>
  <si>
    <t>Av. 24 de Mayo</t>
  </si>
  <si>
    <t>CO225R00805</t>
  </si>
  <si>
    <t>017-901-000094747</t>
  </si>
  <si>
    <t>Cocina IZF 88700 MST BK</t>
  </si>
  <si>
    <t>Triturador TR 510.1</t>
  </si>
  <si>
    <t>ZP236 M00519</t>
  </si>
  <si>
    <t>230710AF1995</t>
  </si>
  <si>
    <t>TP237402381</t>
  </si>
  <si>
    <t>TZ238P07427</t>
  </si>
  <si>
    <t>Cristian Criollo</t>
  </si>
  <si>
    <t>Edf. Terrazas de Misicata</t>
  </si>
  <si>
    <t>ismaelcriollo91@hotmail.com</t>
  </si>
  <si>
    <t>ronald.mendoza418@gmail.com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</si>
</sst>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dd\-mm\-yy;@"/>
    <numFmt numFmtId="165" formatCode="&quot;$&quot;#,##0.00"/>
    <numFmt numFmtId="166" formatCode="dd/mm/yy;@"/>
    <numFmt numFmtId="167" formatCode="_-* #,##0.00\ _€_-;\-* #,##0.00\ _€_-;_-* &quot;-&quot;??\ _€_-;_-@_-"/>
  </numFmts>
  <fonts count="6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7"/>
      <name val="Calibri"/>
      <family val="2"/>
    </font>
    <font>
      <sz val="9"/>
      <name val="Franklin Gothic Book"/>
      <family val="2"/>
    </font>
    <font>
      <sz val="11"/>
      <name val="Calibri"/>
      <family val="2"/>
    </font>
    <font>
      <sz val="7"/>
      <color indexed="8"/>
      <name val="Calibri"/>
      <family val="2"/>
    </font>
    <font>
      <sz val="8"/>
      <color indexed="8"/>
      <name val="Calibri"/>
      <family val="2"/>
    </font>
    <font>
      <b/>
      <sz val="9"/>
      <name val="Franklin Gothic Book"/>
      <family val="2"/>
    </font>
    <font>
      <sz val="11"/>
      <color indexed="8"/>
      <name val="Calibri"/>
      <family val="2"/>
      <charset val="1"/>
    </font>
    <font>
      <sz val="11"/>
      <name val="Calibri"/>
      <family val="2"/>
      <charset val="1"/>
    </font>
    <font>
      <sz val="12"/>
      <color indexed="8"/>
      <name val="Calibri"/>
      <family val="2"/>
      <charset val="1"/>
    </font>
    <font>
      <sz val="10"/>
      <color theme="1"/>
      <name val="Aptos Narrow"/>
      <family val="2"/>
      <scheme val="minor"/>
    </font>
    <font>
      <b/>
      <sz val="10"/>
      <color rgb="FFFFFFFF"/>
      <name val="Calibri"/>
      <family val="2"/>
    </font>
    <font>
      <sz val="13"/>
      <color indexed="8"/>
      <name val="Calibri"/>
      <family val="2"/>
    </font>
    <font>
      <u/>
      <sz val="13"/>
      <color theme="4"/>
      <name val="Aptos Narrow"/>
      <family val="2"/>
      <scheme val="minor"/>
    </font>
    <font>
      <u/>
      <sz val="13"/>
      <color theme="10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Calibri"/>
      <family val="2"/>
      <charset val="1"/>
    </font>
    <font>
      <sz val="11"/>
      <color theme="1"/>
      <name val="Aptos Narrow"/>
      <scheme val="minor"/>
    </font>
    <font>
      <sz val="7"/>
      <color theme="1"/>
      <name val="Aptos Narrow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7"/>
      <name val="Aptos Narrow"/>
      <family val="2"/>
      <scheme val="minor"/>
    </font>
    <font>
      <sz val="9"/>
      <name val="Calibri"/>
      <family val="2"/>
    </font>
    <font>
      <b/>
      <sz val="18"/>
      <name val="Aptos Narrow"/>
      <family val="2"/>
      <scheme val="minor"/>
    </font>
    <font>
      <b/>
      <sz val="18"/>
      <color indexed="8"/>
      <name val="Aptos Narrow"/>
      <family val="2"/>
      <scheme val="minor"/>
    </font>
    <font>
      <sz val="15"/>
      <name val="Aptos Narrow"/>
      <family val="2"/>
      <scheme val="minor"/>
    </font>
    <font>
      <b/>
      <sz val="7"/>
      <name val="Aptos Narrow"/>
      <family val="2"/>
      <scheme val="minor"/>
    </font>
    <font>
      <b/>
      <sz val="15"/>
      <name val="Arial"/>
      <family val="2"/>
    </font>
    <font>
      <sz val="10"/>
      <name val="Aptos Narrow"/>
      <family val="2"/>
      <scheme val="minor"/>
    </font>
    <font>
      <u/>
      <sz val="10"/>
      <color theme="10"/>
      <name val="Arial"/>
      <family val="2"/>
    </font>
    <font>
      <u/>
      <sz val="13"/>
      <color theme="4"/>
      <name val="Calibri"/>
      <family val="2"/>
    </font>
    <font>
      <sz val="13"/>
      <color theme="1"/>
      <name val="Calibri"/>
      <family val="2"/>
    </font>
    <font>
      <sz val="13"/>
      <name val="Calibri"/>
      <family val="2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7"/>
      <color theme="0"/>
      <name val="Aptos Narrow"/>
      <family val="2"/>
      <scheme val="minor"/>
    </font>
    <font>
      <sz val="13"/>
      <name val="Arial"/>
      <family val="2"/>
    </font>
    <font>
      <sz val="9"/>
      <color rgb="FF1D2228"/>
      <name val="Gothic sans-serif"/>
      <charset val="1"/>
    </font>
    <font>
      <sz val="10"/>
      <color rgb="FF1D2228"/>
      <name val="Arial"/>
      <family val="2"/>
      <charset val="1"/>
    </font>
    <font>
      <b/>
      <sz val="9"/>
      <color rgb="FF1D2228"/>
      <name val="Gothic sans-serif"/>
      <charset val="1"/>
    </font>
    <font>
      <b/>
      <sz val="11"/>
      <color rgb="FF000000"/>
      <name val="Calibri"/>
      <family val="2"/>
      <charset val="1"/>
    </font>
    <font>
      <b/>
      <sz val="10"/>
      <color theme="0"/>
      <name val="Aptos Narrow"/>
      <family val="2"/>
      <scheme val="minor"/>
    </font>
    <font>
      <sz val="10"/>
      <name val="Arial"/>
      <family val="2"/>
      <charset val="1"/>
    </font>
    <font>
      <sz val="8"/>
      <color theme="0"/>
      <name val="Aptos Narrow"/>
      <family val="2"/>
      <scheme val="minor"/>
    </font>
    <font>
      <sz val="12"/>
      <color indexed="8"/>
      <name val="Calibri"/>
      <family val="2"/>
    </font>
    <font>
      <b/>
      <sz val="12"/>
      <color theme="0"/>
      <name val="Aptos Narrow"/>
      <family val="2"/>
      <scheme val="minor"/>
    </font>
    <font>
      <b/>
      <sz val="12"/>
      <color theme="0"/>
      <name val="Calibri"/>
      <family val="2"/>
    </font>
    <font>
      <sz val="11"/>
      <color theme="1"/>
      <name val="Calibri"/>
      <family val="2"/>
    </font>
    <font>
      <sz val="9"/>
      <color theme="1"/>
      <name val="Libre Franklin"/>
    </font>
    <font>
      <sz val="9"/>
      <color theme="1"/>
      <name val="Calibri"/>
      <family val="2"/>
    </font>
    <font>
      <sz val="9"/>
      <color theme="1"/>
      <name val="Aptos Narrow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  <font>
      <b/>
      <sz val="9"/>
      <color theme="1"/>
      <name val="Libre Franklin"/>
    </font>
    <font>
      <b/>
      <sz val="11"/>
      <color theme="1"/>
      <name val="Calibri"/>
      <family val="2"/>
    </font>
    <font>
      <b/>
      <sz val="6"/>
      <color rgb="FFFFFFFF"/>
      <name val="Calibri"/>
      <family val="2"/>
    </font>
    <font>
      <sz val="8"/>
      <color theme="1"/>
      <name val="Arial"/>
      <family val="2"/>
    </font>
    <font>
      <sz val="12"/>
      <color indexed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theme="1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FFFFF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</borders>
  <cellStyleXfs count="22">
    <xf numFmtId="0" fontId="0" fillId="0" borderId="0"/>
    <xf numFmtId="0" fontId="9" fillId="0" borderId="0"/>
    <xf numFmtId="0" fontId="9" fillId="2" borderId="0">
      <alignment horizontal="left"/>
    </xf>
    <xf numFmtId="0" fontId="1" fillId="0" borderId="0"/>
    <xf numFmtId="0" fontId="2" fillId="0" borderId="0" applyNumberFormat="0" applyFill="0" applyBorder="0" applyAlignment="0" applyProtection="0"/>
    <xf numFmtId="0" fontId="20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167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43" fontId="24" fillId="0" borderId="0" applyFont="0" applyFill="0" applyBorder="0" applyAlignment="0" applyProtection="0"/>
    <xf numFmtId="0" fontId="47" fillId="0" borderId="0"/>
    <xf numFmtId="0" fontId="24" fillId="0" borderId="0"/>
    <xf numFmtId="0" fontId="1" fillId="0" borderId="0"/>
    <xf numFmtId="0" fontId="2" fillId="0" borderId="0" applyNumberFormat="0" applyFill="0" applyBorder="0" applyAlignment="0" applyProtection="0"/>
    <xf numFmtId="0" fontId="24" fillId="0" borderId="0"/>
    <xf numFmtId="0" fontId="9" fillId="0" borderId="0"/>
  </cellStyleXfs>
  <cellXfs count="265">
    <xf numFmtId="0" fontId="0" fillId="0" borderId="0" xfId="0"/>
    <xf numFmtId="0" fontId="3" fillId="0" borderId="0" xfId="0" applyFont="1" applyAlignment="1">
      <alignment horizontal="right"/>
    </xf>
    <xf numFmtId="4" fontId="4" fillId="0" borderId="0" xfId="0" applyNumberFormat="1" applyFont="1"/>
    <xf numFmtId="0" fontId="5" fillId="0" borderId="0" xfId="0" applyFont="1" applyAlignment="1">
      <alignment horizontal="left" vertical="center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" fontId="0" fillId="0" borderId="0" xfId="0" applyNumberFormat="1"/>
    <xf numFmtId="2" fontId="7" fillId="0" borderId="0" xfId="0" applyNumberFormat="1" applyFont="1" applyAlignment="1">
      <alignment horizontal="right" indent="1"/>
    </xf>
    <xf numFmtId="4" fontId="8" fillId="0" borderId="0" xfId="0" applyNumberFormat="1" applyFont="1" applyAlignment="1">
      <alignment horizontal="left" vertical="center"/>
    </xf>
    <xf numFmtId="0" fontId="10" fillId="0" borderId="0" xfId="1" applyFont="1"/>
    <xf numFmtId="0" fontId="11" fillId="2" borderId="0" xfId="2" applyFont="1" applyAlignment="1">
      <alignment horizontal="center" vertical="center"/>
    </xf>
    <xf numFmtId="1" fontId="11" fillId="2" borderId="0" xfId="2" applyNumberFormat="1" applyFont="1" applyAlignment="1">
      <alignment horizontal="right" vertical="center"/>
    </xf>
    <xf numFmtId="1" fontId="11" fillId="2" borderId="0" xfId="2" applyNumberFormat="1" applyFont="1" applyAlignment="1">
      <alignment horizontal="center" vertical="center"/>
    </xf>
    <xf numFmtId="2" fontId="11" fillId="2" borderId="0" xfId="2" applyNumberFormat="1" applyFont="1" applyAlignment="1">
      <alignment vertical="center"/>
    </xf>
    <xf numFmtId="49" fontId="0" fillId="0" borderId="0" xfId="0" quotePrefix="1" applyNumberFormat="1"/>
    <xf numFmtId="17" fontId="7" fillId="0" borderId="0" xfId="0" quotePrefix="1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2" fontId="13" fillId="3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3" applyFont="1" applyAlignment="1">
      <alignment horizontal="right"/>
    </xf>
    <xf numFmtId="164" fontId="14" fillId="5" borderId="2" xfId="3" applyNumberFormat="1" applyFont="1" applyFill="1" applyBorder="1" applyAlignment="1">
      <alignment horizontal="left"/>
    </xf>
    <xf numFmtId="0" fontId="14" fillId="5" borderId="2" xfId="3" applyFont="1" applyFill="1" applyBorder="1"/>
    <xf numFmtId="0" fontId="14" fillId="0" borderId="2" xfId="3" applyFont="1" applyBorder="1" applyAlignment="1">
      <alignment horizontal="center" vertical="center"/>
    </xf>
    <xf numFmtId="0" fontId="14" fillId="0" borderId="2" xfId="3" applyFont="1" applyBorder="1"/>
    <xf numFmtId="0" fontId="14" fillId="5" borderId="2" xfId="3" applyFont="1" applyFill="1" applyBorder="1" applyAlignment="1">
      <alignment horizontal="left"/>
    </xf>
    <xf numFmtId="0" fontId="14" fillId="5" borderId="2" xfId="3" applyFont="1" applyFill="1" applyBorder="1" applyAlignment="1">
      <alignment horizontal="left" vertical="center"/>
    </xf>
    <xf numFmtId="14" fontId="14" fillId="5" borderId="2" xfId="3" applyNumberFormat="1" applyFont="1" applyFill="1" applyBorder="1" applyAlignment="1">
      <alignment horizontal="left"/>
    </xf>
    <xf numFmtId="1" fontId="14" fillId="5" borderId="2" xfId="3" applyNumberFormat="1" applyFont="1" applyFill="1" applyBorder="1"/>
    <xf numFmtId="2" fontId="14" fillId="5" borderId="2" xfId="3" applyNumberFormat="1" applyFont="1" applyFill="1" applyBorder="1" applyAlignment="1">
      <alignment horizontal="center"/>
    </xf>
    <xf numFmtId="165" fontId="14" fillId="5" borderId="2" xfId="3" applyNumberFormat="1" applyFont="1" applyFill="1" applyBorder="1" applyAlignment="1">
      <alignment horizontal="center"/>
    </xf>
    <xf numFmtId="0" fontId="14" fillId="5" borderId="2" xfId="3" applyFont="1" applyFill="1" applyBorder="1" applyAlignment="1">
      <alignment horizontal="center" vertical="center"/>
    </xf>
    <xf numFmtId="0" fontId="15" fillId="5" borderId="2" xfId="4" applyNumberFormat="1" applyFont="1" applyFill="1" applyBorder="1"/>
    <xf numFmtId="0" fontId="16" fillId="5" borderId="2" xfId="4" applyNumberFormat="1" applyFont="1" applyFill="1" applyBorder="1"/>
    <xf numFmtId="0" fontId="17" fillId="0" borderId="3" xfId="3" applyFont="1" applyBorder="1"/>
    <xf numFmtId="0" fontId="17" fillId="0" borderId="0" xfId="0" applyFont="1"/>
    <xf numFmtId="0" fontId="18" fillId="0" borderId="0" xfId="0" applyFont="1"/>
    <xf numFmtId="0" fontId="0" fillId="0" borderId="0" xfId="0" applyAlignment="1">
      <alignment horizontal="left" vertical="top"/>
    </xf>
    <xf numFmtId="0" fontId="19" fillId="6" borderId="0" xfId="0" applyFont="1" applyFill="1" applyAlignment="1">
      <alignment horizontal="left"/>
    </xf>
    <xf numFmtId="0" fontId="21" fillId="0" borderId="0" xfId="5" applyFont="1"/>
    <xf numFmtId="0" fontId="20" fillId="0" borderId="0" xfId="5" applyAlignment="1">
      <alignment horizontal="right"/>
    </xf>
    <xf numFmtId="4" fontId="8" fillId="0" borderId="0" xfId="6" applyNumberFormat="1" applyFont="1" applyAlignment="1">
      <alignment horizontal="left"/>
    </xf>
    <xf numFmtId="0" fontId="22" fillId="0" borderId="0" xfId="6" applyFont="1" applyAlignment="1">
      <alignment horizontal="center"/>
    </xf>
    <xf numFmtId="0" fontId="23" fillId="0" borderId="0" xfId="6" applyFont="1" applyAlignment="1">
      <alignment vertical="center"/>
    </xf>
    <xf numFmtId="0" fontId="22" fillId="0" borderId="0" xfId="6" applyFont="1"/>
    <xf numFmtId="2" fontId="24" fillId="0" borderId="0" xfId="6" applyNumberFormat="1" applyFont="1" applyAlignment="1">
      <alignment horizontal="left"/>
    </xf>
    <xf numFmtId="0" fontId="20" fillId="0" borderId="0" xfId="5"/>
    <xf numFmtId="0" fontId="25" fillId="0" borderId="0" xfId="5" applyFont="1"/>
    <xf numFmtId="4" fontId="8" fillId="0" borderId="0" xfId="6" applyNumberFormat="1" applyFont="1" applyAlignment="1">
      <alignment horizontal="left" vertical="center"/>
    </xf>
    <xf numFmtId="0" fontId="24" fillId="0" borderId="0" xfId="6" applyFont="1" applyAlignment="1">
      <alignment horizontal="center"/>
    </xf>
    <xf numFmtId="0" fontId="24" fillId="0" borderId="0" xfId="6" applyFont="1"/>
    <xf numFmtId="166" fontId="26" fillId="0" borderId="4" xfId="7" applyNumberFormat="1" applyFont="1" applyBorder="1" applyAlignment="1">
      <alignment horizontal="left"/>
    </xf>
    <xf numFmtId="0" fontId="26" fillId="0" borderId="5" xfId="7" applyFont="1" applyBorder="1" applyAlignment="1">
      <alignment horizontal="left"/>
    </xf>
    <xf numFmtId="0" fontId="25" fillId="0" borderId="5" xfId="7" applyFont="1" applyBorder="1" applyAlignment="1">
      <alignment horizontal="left"/>
    </xf>
    <xf numFmtId="0" fontId="27" fillId="0" borderId="5" xfId="7" applyFont="1" applyBorder="1" applyAlignment="1">
      <alignment horizontal="left"/>
    </xf>
    <xf numFmtId="0" fontId="28" fillId="0" borderId="5" xfId="7" applyFont="1" applyBorder="1" applyAlignment="1">
      <alignment horizontal="left" wrapText="1" readingOrder="1"/>
    </xf>
    <xf numFmtId="0" fontId="27" fillId="0" borderId="5" xfId="7" applyFont="1" applyBorder="1" applyAlignment="1">
      <alignment horizontal="left" wrapText="1"/>
    </xf>
    <xf numFmtId="0" fontId="29" fillId="0" borderId="5" xfId="7" applyFont="1" applyBorder="1" applyAlignment="1">
      <alignment horizontal="left" wrapText="1"/>
    </xf>
    <xf numFmtId="17" fontId="30" fillId="0" borderId="5" xfId="7" quotePrefix="1" applyNumberFormat="1" applyFont="1" applyBorder="1" applyAlignment="1">
      <alignment horizontal="left"/>
    </xf>
    <xf numFmtId="0" fontId="24" fillId="0" borderId="5" xfId="7" applyFont="1" applyBorder="1" applyAlignment="1">
      <alignment horizontal="left"/>
    </xf>
    <xf numFmtId="49" fontId="31" fillId="0" borderId="6" xfId="7" quotePrefix="1" applyNumberFormat="1" applyFont="1" applyBorder="1" applyAlignment="1">
      <alignment horizontal="left"/>
    </xf>
    <xf numFmtId="0" fontId="21" fillId="0" borderId="0" xfId="0" applyFont="1"/>
    <xf numFmtId="166" fontId="26" fillId="0" borderId="7" xfId="7" applyNumberFormat="1" applyFont="1" applyBorder="1" applyAlignment="1">
      <alignment horizontal="left"/>
    </xf>
    <xf numFmtId="0" fontId="26" fillId="0" borderId="0" xfId="7" applyFont="1" applyAlignment="1">
      <alignment horizontal="left"/>
    </xf>
    <xf numFmtId="0" fontId="25" fillId="0" borderId="0" xfId="7" applyFont="1" applyAlignment="1">
      <alignment horizontal="left"/>
    </xf>
    <xf numFmtId="0" fontId="25" fillId="0" borderId="8" xfId="7" applyFont="1" applyBorder="1" applyAlignment="1">
      <alignment horizontal="left"/>
    </xf>
    <xf numFmtId="166" fontId="32" fillId="0" borderId="9" xfId="7" applyNumberFormat="1" applyFont="1" applyBorder="1" applyAlignment="1">
      <alignment horizontal="left"/>
    </xf>
    <xf numFmtId="0" fontId="25" fillId="0" borderId="10" xfId="7" applyFont="1" applyBorder="1" applyAlignment="1">
      <alignment horizontal="left"/>
    </xf>
    <xf numFmtId="0" fontId="25" fillId="0" borderId="11" xfId="7" applyFont="1" applyBorder="1" applyAlignment="1">
      <alignment horizontal="left"/>
    </xf>
    <xf numFmtId="0" fontId="34" fillId="5" borderId="2" xfId="4" applyNumberFormat="1" applyFont="1" applyFill="1" applyBorder="1"/>
    <xf numFmtId="0" fontId="35" fillId="0" borderId="3" xfId="3" applyFont="1" applyBorder="1"/>
    <xf numFmtId="0" fontId="35" fillId="0" borderId="0" xfId="0" applyFont="1"/>
    <xf numFmtId="0" fontId="14" fillId="0" borderId="0" xfId="0" applyFont="1" applyAlignment="1">
      <alignment horizontal="right"/>
    </xf>
    <xf numFmtId="0" fontId="35" fillId="0" borderId="0" xfId="0" applyFont="1" applyAlignment="1">
      <alignment horizontal="right"/>
    </xf>
    <xf numFmtId="0" fontId="35" fillId="0" borderId="0" xfId="0" applyFont="1" applyAlignment="1">
      <alignment wrapText="1"/>
    </xf>
    <xf numFmtId="0" fontId="35" fillId="0" borderId="0" xfId="5" applyFont="1" applyAlignment="1">
      <alignment horizontal="center"/>
    </xf>
    <xf numFmtId="0" fontId="35" fillId="0" borderId="0" xfId="5" applyFont="1"/>
    <xf numFmtId="2" fontId="35" fillId="0" borderId="0" xfId="5" applyNumberFormat="1" applyFont="1"/>
    <xf numFmtId="0" fontId="37" fillId="0" borderId="0" xfId="9" applyFont="1"/>
    <xf numFmtId="0" fontId="1" fillId="0" borderId="0" xfId="14"/>
    <xf numFmtId="4" fontId="4" fillId="0" borderId="0" xfId="14" applyNumberFormat="1" applyFont="1"/>
    <xf numFmtId="0" fontId="5" fillId="0" borderId="0" xfId="14" applyFont="1" applyAlignment="1">
      <alignment vertical="center"/>
    </xf>
    <xf numFmtId="2" fontId="1" fillId="0" borderId="0" xfId="14" applyNumberFormat="1" applyAlignment="1">
      <alignment horizontal="left"/>
    </xf>
    <xf numFmtId="0" fontId="1" fillId="0" borderId="0" xfId="14" applyAlignment="1">
      <alignment horizontal="left"/>
    </xf>
    <xf numFmtId="43" fontId="1" fillId="0" borderId="0" xfId="15" applyFont="1" applyFill="1"/>
    <xf numFmtId="0" fontId="38" fillId="0" borderId="0" xfId="14" applyFont="1"/>
    <xf numFmtId="4" fontId="8" fillId="0" borderId="0" xfId="14" applyNumberFormat="1" applyFont="1" applyAlignment="1">
      <alignment horizontal="left" vertical="center"/>
    </xf>
    <xf numFmtId="0" fontId="24" fillId="0" borderId="0" xfId="9"/>
    <xf numFmtId="17" fontId="1" fillId="0" borderId="0" xfId="14" quotePrefix="1" applyNumberFormat="1"/>
    <xf numFmtId="17" fontId="38" fillId="0" borderId="0" xfId="14" quotePrefix="1" applyNumberFormat="1" applyFont="1"/>
    <xf numFmtId="0" fontId="39" fillId="7" borderId="14" xfId="14" applyFont="1" applyFill="1" applyBorder="1" applyAlignment="1">
      <alignment horizontal="center" wrapText="1"/>
    </xf>
    <xf numFmtId="0" fontId="40" fillId="7" borderId="14" xfId="9" applyFont="1" applyFill="1" applyBorder="1" applyAlignment="1">
      <alignment horizontal="left" wrapText="1"/>
    </xf>
    <xf numFmtId="43" fontId="40" fillId="7" borderId="14" xfId="15" applyFont="1" applyFill="1" applyBorder="1" applyAlignment="1">
      <alignment horizontal="left" wrapText="1"/>
    </xf>
    <xf numFmtId="0" fontId="40" fillId="7" borderId="14" xfId="9" applyFont="1" applyFill="1" applyBorder="1" applyAlignment="1">
      <alignment horizontal="center" wrapText="1"/>
    </xf>
    <xf numFmtId="0" fontId="40" fillId="7" borderId="0" xfId="9" applyFont="1" applyFill="1" applyAlignment="1">
      <alignment horizontal="left" wrapText="1"/>
    </xf>
    <xf numFmtId="0" fontId="39" fillId="7" borderId="14" xfId="9" applyFont="1" applyFill="1" applyBorder="1" applyAlignment="1">
      <alignment horizontal="left" wrapText="1"/>
    </xf>
    <xf numFmtId="0" fontId="17" fillId="0" borderId="0" xfId="14" applyFont="1" applyAlignment="1">
      <alignment horizontal="right"/>
    </xf>
    <xf numFmtId="0" fontId="41" fillId="0" borderId="0" xfId="9" applyFont="1"/>
    <xf numFmtId="0" fontId="17" fillId="0" borderId="10" xfId="14" applyFont="1" applyBorder="1" applyAlignment="1">
      <alignment horizontal="left"/>
    </xf>
    <xf numFmtId="0" fontId="17" fillId="0" borderId="16" xfId="14" applyFont="1" applyBorder="1" applyAlignment="1">
      <alignment horizontal="left"/>
    </xf>
    <xf numFmtId="0" fontId="17" fillId="0" borderId="16" xfId="14" applyFont="1" applyBorder="1"/>
    <xf numFmtId="0" fontId="17" fillId="0" borderId="10" xfId="14" applyFont="1" applyBorder="1" applyAlignment="1">
      <alignment horizontal="left" vertical="center"/>
    </xf>
    <xf numFmtId="14" fontId="17" fillId="0" borderId="15" xfId="14" applyNumberFormat="1" applyFont="1" applyBorder="1" applyAlignment="1">
      <alignment horizontal="left"/>
    </xf>
    <xf numFmtId="0" fontId="17" fillId="0" borderId="15" xfId="14" applyFont="1" applyBorder="1" applyAlignment="1">
      <alignment horizontal="left" vertical="center"/>
    </xf>
    <xf numFmtId="0" fontId="17" fillId="0" borderId="15" xfId="14" applyFont="1" applyBorder="1" applyAlignment="1">
      <alignment horizontal="left"/>
    </xf>
    <xf numFmtId="0" fontId="17" fillId="0" borderId="15" xfId="14" quotePrefix="1" applyFont="1" applyBorder="1" applyAlignment="1">
      <alignment horizontal="left"/>
    </xf>
    <xf numFmtId="14" fontId="17" fillId="0" borderId="15" xfId="14" applyNumberFormat="1" applyFont="1" applyBorder="1" applyAlignment="1">
      <alignment horizontal="left" vertical="center"/>
    </xf>
    <xf numFmtId="43" fontId="17" fillId="0" borderId="15" xfId="15" applyFont="1" applyBorder="1"/>
    <xf numFmtId="43" fontId="17" fillId="0" borderId="15" xfId="15" applyFont="1" applyBorder="1" applyAlignment="1">
      <alignment horizontal="left" vertical="center"/>
    </xf>
    <xf numFmtId="0" fontId="17" fillId="0" borderId="15" xfId="14" quotePrefix="1" applyFont="1" applyBorder="1" applyAlignment="1">
      <alignment horizontal="left" vertical="center"/>
    </xf>
    <xf numFmtId="0" fontId="42" fillId="0" borderId="0" xfId="0" applyFont="1" applyAlignment="1">
      <alignment vertical="center"/>
    </xf>
    <xf numFmtId="0" fontId="43" fillId="0" borderId="0" xfId="0" applyFont="1"/>
    <xf numFmtId="0" fontId="44" fillId="0" borderId="17" xfId="0" applyFont="1" applyBorder="1" applyAlignment="1">
      <alignment vertical="center"/>
    </xf>
    <xf numFmtId="43" fontId="0" fillId="0" borderId="0" xfId="0" applyNumberFormat="1"/>
    <xf numFmtId="0" fontId="12" fillId="0" borderId="0" xfId="0" quotePrefix="1" applyFont="1"/>
    <xf numFmtId="0" fontId="46" fillId="7" borderId="14" xfId="0" applyFont="1" applyFill="1" applyBorder="1" applyAlignment="1">
      <alignment horizontal="center" wrapText="1"/>
    </xf>
    <xf numFmtId="0" fontId="46" fillId="7" borderId="14" xfId="0" applyFont="1" applyFill="1" applyBorder="1" applyAlignment="1">
      <alignment wrapText="1"/>
    </xf>
    <xf numFmtId="0" fontId="46" fillId="7" borderId="14" xfId="0" applyFont="1" applyFill="1" applyBorder="1" applyAlignment="1">
      <alignment horizontal="center" vertical="center" wrapText="1"/>
    </xf>
    <xf numFmtId="0" fontId="46" fillId="7" borderId="18" xfId="0" applyFont="1" applyFill="1" applyBorder="1" applyAlignment="1">
      <alignment wrapText="1"/>
    </xf>
    <xf numFmtId="0" fontId="46" fillId="7" borderId="18" xfId="0" applyFont="1" applyFill="1" applyBorder="1" applyAlignment="1">
      <alignment horizontal="center" wrapText="1"/>
    </xf>
    <xf numFmtId="17" fontId="45" fillId="0" borderId="0" xfId="0" quotePrefix="1" applyNumberFormat="1" applyFont="1" applyAlignment="1">
      <alignment horizontal="left"/>
    </xf>
    <xf numFmtId="0" fontId="37" fillId="0" borderId="0" xfId="0" applyFont="1"/>
    <xf numFmtId="0" fontId="30" fillId="0" borderId="0" xfId="17" applyFont="1"/>
    <xf numFmtId="4" fontId="30" fillId="0" borderId="0" xfId="17" applyNumberFormat="1" applyFont="1"/>
    <xf numFmtId="0" fontId="25" fillId="0" borderId="0" xfId="17" applyFont="1"/>
    <xf numFmtId="0" fontId="24" fillId="0" borderId="0" xfId="17"/>
    <xf numFmtId="49" fontId="24" fillId="0" borderId="0" xfId="17" applyNumberFormat="1"/>
    <xf numFmtId="17" fontId="30" fillId="0" borderId="0" xfId="17" quotePrefix="1" applyNumberFormat="1" applyFont="1"/>
    <xf numFmtId="4" fontId="25" fillId="0" borderId="0" xfId="17" applyNumberFormat="1" applyFont="1"/>
    <xf numFmtId="0" fontId="37" fillId="0" borderId="0" xfId="17" applyFont="1"/>
    <xf numFmtId="4" fontId="4" fillId="0" borderId="0" xfId="17" applyNumberFormat="1" applyFont="1"/>
    <xf numFmtId="0" fontId="38" fillId="0" borderId="0" xfId="8" applyFont="1"/>
    <xf numFmtId="49" fontId="38" fillId="0" borderId="0" xfId="8" applyNumberFormat="1" applyFont="1"/>
    <xf numFmtId="0" fontId="5" fillId="0" borderId="0" xfId="17" applyFont="1" applyAlignment="1">
      <alignment vertical="center"/>
    </xf>
    <xf numFmtId="2" fontId="24" fillId="0" borderId="0" xfId="17" applyNumberFormat="1" applyAlignment="1">
      <alignment horizontal="left"/>
    </xf>
    <xf numFmtId="4" fontId="8" fillId="0" borderId="0" xfId="17" applyNumberFormat="1" applyFont="1" applyAlignment="1">
      <alignment horizontal="left" vertical="center"/>
    </xf>
    <xf numFmtId="0" fontId="39" fillId="7" borderId="14" xfId="18" applyFont="1" applyFill="1" applyBorder="1" applyAlignment="1">
      <alignment wrapText="1"/>
    </xf>
    <xf numFmtId="0" fontId="48" fillId="7" borderId="14" xfId="18" applyFont="1" applyFill="1" applyBorder="1" applyAlignment="1">
      <alignment wrapText="1"/>
    </xf>
    <xf numFmtId="49" fontId="39" fillId="7" borderId="14" xfId="18" applyNumberFormat="1" applyFont="1" applyFill="1" applyBorder="1" applyAlignment="1">
      <alignment wrapText="1"/>
    </xf>
    <xf numFmtId="164" fontId="49" fillId="0" borderId="2" xfId="0" applyNumberFormat="1" applyFont="1" applyBorder="1" applyAlignment="1">
      <alignment horizontal="left"/>
    </xf>
    <xf numFmtId="0" fontId="49" fillId="0" borderId="2" xfId="0" applyFont="1" applyBorder="1"/>
    <xf numFmtId="0" fontId="49" fillId="0" borderId="2" xfId="0" applyFont="1" applyBorder="1" applyAlignment="1">
      <alignment horizontal="center" vertical="center"/>
    </xf>
    <xf numFmtId="2" fontId="49" fillId="0" borderId="2" xfId="0" applyNumberFormat="1" applyFont="1" applyBorder="1" applyAlignment="1">
      <alignment horizontal="left"/>
    </xf>
    <xf numFmtId="0" fontId="49" fillId="0" borderId="2" xfId="0" quotePrefix="1" applyFont="1" applyBorder="1" applyAlignment="1">
      <alignment horizontal="left" vertical="center"/>
    </xf>
    <xf numFmtId="49" fontId="49" fillId="0" borderId="2" xfId="0" applyNumberFormat="1" applyFont="1" applyBorder="1" applyAlignment="1">
      <alignment horizontal="left"/>
    </xf>
    <xf numFmtId="14" fontId="49" fillId="0" borderId="2" xfId="0" applyNumberFormat="1" applyFont="1" applyBorder="1" applyAlignment="1">
      <alignment horizontal="left"/>
    </xf>
    <xf numFmtId="1" fontId="49" fillId="0" borderId="2" xfId="0" applyNumberFormat="1" applyFont="1" applyBorder="1"/>
    <xf numFmtId="2" fontId="49" fillId="8" borderId="2" xfId="0" applyNumberFormat="1" applyFont="1" applyFill="1" applyBorder="1" applyAlignment="1">
      <alignment horizontal="right"/>
    </xf>
    <xf numFmtId="2" fontId="49" fillId="0" borderId="2" xfId="0" applyNumberFormat="1" applyFont="1" applyBorder="1" applyAlignment="1">
      <alignment horizontal="center"/>
    </xf>
    <xf numFmtId="49" fontId="49" fillId="0" borderId="2" xfId="0" applyNumberFormat="1" applyFont="1" applyBorder="1"/>
    <xf numFmtId="165" fontId="49" fillId="0" borderId="2" xfId="0" applyNumberFormat="1" applyFont="1" applyBorder="1" applyAlignment="1">
      <alignment horizontal="center"/>
    </xf>
    <xf numFmtId="2" fontId="0" fillId="0" borderId="0" xfId="0" applyNumberFormat="1"/>
    <xf numFmtId="0" fontId="50" fillId="7" borderId="1" xfId="8" applyFont="1" applyFill="1" applyBorder="1" applyAlignment="1">
      <alignment horizontal="center" wrapText="1"/>
    </xf>
    <xf numFmtId="0" fontId="51" fillId="7" borderId="1" xfId="0" applyFont="1" applyFill="1" applyBorder="1" applyAlignment="1">
      <alignment horizontal="center" vertical="center" wrapText="1"/>
    </xf>
    <xf numFmtId="0" fontId="51" fillId="7" borderId="1" xfId="0" applyFont="1" applyFill="1" applyBorder="1" applyAlignment="1">
      <alignment vertical="center" wrapText="1"/>
    </xf>
    <xf numFmtId="0" fontId="2" fillId="5" borderId="2" xfId="19" applyNumberFormat="1" applyFill="1" applyBorder="1"/>
    <xf numFmtId="0" fontId="35" fillId="0" borderId="0" xfId="3" applyFont="1"/>
    <xf numFmtId="0" fontId="2" fillId="0" borderId="15" xfId="19" applyBorder="1" applyAlignment="1">
      <alignment horizontal="left" vertical="center"/>
    </xf>
    <xf numFmtId="0" fontId="0" fillId="0" borderId="0" xfId="14" applyFont="1"/>
    <xf numFmtId="0" fontId="52" fillId="0" borderId="0" xfId="0" applyFont="1" applyAlignment="1">
      <alignment horizontal="left"/>
    </xf>
    <xf numFmtId="4" fontId="53" fillId="0" borderId="0" xfId="0" applyNumberFormat="1" applyFont="1"/>
    <xf numFmtId="0" fontId="54" fillId="0" borderId="0" xfId="0" applyFont="1" applyAlignment="1">
      <alignment horizontal="left" vertical="center"/>
    </xf>
    <xf numFmtId="0" fontId="55" fillId="0" borderId="0" xfId="0" applyFont="1"/>
    <xf numFmtId="2" fontId="52" fillId="0" borderId="0" xfId="0" applyNumberFormat="1" applyFont="1" applyAlignment="1">
      <alignment horizontal="left"/>
    </xf>
    <xf numFmtId="0" fontId="52" fillId="0" borderId="0" xfId="0" applyFont="1" applyAlignment="1">
      <alignment horizontal="right"/>
    </xf>
    <xf numFmtId="0" fontId="56" fillId="0" borderId="0" xfId="0" applyFont="1"/>
    <xf numFmtId="49" fontId="56" fillId="0" borderId="0" xfId="0" applyNumberFormat="1" applyFont="1" applyAlignment="1">
      <alignment horizontal="left"/>
    </xf>
    <xf numFmtId="1" fontId="52" fillId="0" borderId="0" xfId="0" applyNumberFormat="1" applyFont="1"/>
    <xf numFmtId="2" fontId="57" fillId="0" borderId="0" xfId="0" applyNumberFormat="1" applyFont="1" applyAlignment="1">
      <alignment horizontal="right"/>
    </xf>
    <xf numFmtId="0" fontId="52" fillId="0" borderId="0" xfId="0" applyFont="1" applyAlignment="1">
      <alignment horizontal="center"/>
    </xf>
    <xf numFmtId="4" fontId="58" fillId="0" borderId="0" xfId="0" applyNumberFormat="1" applyFont="1" applyAlignment="1">
      <alignment horizontal="left" vertical="center"/>
    </xf>
    <xf numFmtId="0" fontId="54" fillId="0" borderId="0" xfId="0" applyFont="1" applyAlignment="1">
      <alignment horizontal="left"/>
    </xf>
    <xf numFmtId="49" fontId="52" fillId="0" borderId="0" xfId="0" applyNumberFormat="1" applyFont="1"/>
    <xf numFmtId="0" fontId="59" fillId="0" borderId="0" xfId="0" applyFont="1" applyAlignment="1">
      <alignment horizontal="left"/>
    </xf>
    <xf numFmtId="17" fontId="57" fillId="0" borderId="0" xfId="0" applyNumberFormat="1" applyFont="1" applyAlignment="1">
      <alignment horizontal="left"/>
    </xf>
    <xf numFmtId="0" fontId="60" fillId="3" borderId="19" xfId="0" applyFont="1" applyFill="1" applyBorder="1" applyAlignment="1">
      <alignment horizontal="left" vertical="center" wrapText="1"/>
    </xf>
    <xf numFmtId="1" fontId="60" fillId="3" borderId="19" xfId="0" applyNumberFormat="1" applyFont="1" applyFill="1" applyBorder="1" applyAlignment="1">
      <alignment horizontal="left" vertical="center" wrapText="1"/>
    </xf>
    <xf numFmtId="2" fontId="60" fillId="3" borderId="19" xfId="0" applyNumberFormat="1" applyFont="1" applyFill="1" applyBorder="1" applyAlignment="1">
      <alignment horizontal="left" vertical="center" wrapText="1"/>
    </xf>
    <xf numFmtId="0" fontId="60" fillId="3" borderId="20" xfId="0" applyFont="1" applyFill="1" applyBorder="1" applyAlignment="1">
      <alignment horizontal="left" vertical="center" wrapText="1"/>
    </xf>
    <xf numFmtId="0" fontId="60" fillId="3" borderId="21" xfId="0" applyFont="1" applyFill="1" applyBorder="1" applyAlignment="1">
      <alignment horizontal="left" vertical="center" wrapText="1"/>
    </xf>
    <xf numFmtId="14" fontId="61" fillId="9" borderId="22" xfId="0" applyNumberFormat="1" applyFont="1" applyFill="1" applyBorder="1" applyAlignment="1">
      <alignment horizontal="left" vertical="center"/>
    </xf>
    <xf numFmtId="49" fontId="61" fillId="9" borderId="22" xfId="0" applyNumberFormat="1" applyFont="1" applyFill="1" applyBorder="1" applyAlignment="1">
      <alignment horizontal="left" vertical="center"/>
    </xf>
    <xf numFmtId="0" fontId="61" fillId="9" borderId="22" xfId="0" applyFont="1" applyFill="1" applyBorder="1" applyAlignment="1">
      <alignment horizontal="left" vertical="center"/>
    </xf>
    <xf numFmtId="2" fontId="61" fillId="9" borderId="22" xfId="0" applyNumberFormat="1" applyFont="1" applyFill="1" applyBorder="1" applyAlignment="1">
      <alignment horizontal="left" vertical="center"/>
    </xf>
    <xf numFmtId="0" fontId="61" fillId="10" borderId="22" xfId="0" applyFont="1" applyFill="1" applyBorder="1" applyAlignment="1">
      <alignment horizontal="left" vertical="center"/>
    </xf>
    <xf numFmtId="14" fontId="2" fillId="9" borderId="22" xfId="19" applyNumberFormat="1" applyFill="1" applyBorder="1" applyAlignment="1">
      <alignment horizontal="left" vertical="center"/>
    </xf>
    <xf numFmtId="0" fontId="49" fillId="5" borderId="15" xfId="0" applyFont="1" applyFill="1" applyBorder="1" applyAlignment="1">
      <alignment horizontal="center" vertical="center"/>
    </xf>
    <xf numFmtId="0" fontId="36" fillId="0" borderId="0" xfId="9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5" fillId="8" borderId="1" xfId="0" applyFont="1" applyFill="1" applyBorder="1" applyAlignment="1">
      <alignment vertical="center"/>
    </xf>
    <xf numFmtId="49" fontId="18" fillId="8" borderId="1" xfId="0" applyNumberFormat="1" applyFont="1" applyFill="1" applyBorder="1" applyAlignment="1">
      <alignment horizontal="center"/>
    </xf>
    <xf numFmtId="49" fontId="2" fillId="0" borderId="2" xfId="19" applyNumberFormat="1" applyBorder="1"/>
    <xf numFmtId="0" fontId="62" fillId="8" borderId="15" xfId="21" applyFont="1" applyFill="1" applyBorder="1" applyAlignment="1">
      <alignment horizontal="left"/>
    </xf>
    <xf numFmtId="0" fontId="14" fillId="8" borderId="0" xfId="3" applyFont="1" applyFill="1" applyAlignment="1">
      <alignment horizontal="right"/>
    </xf>
    <xf numFmtId="164" fontId="14" fillId="8" borderId="2" xfId="3" applyNumberFormat="1" applyFont="1" applyFill="1" applyBorder="1" applyAlignment="1">
      <alignment horizontal="left"/>
    </xf>
    <xf numFmtId="0" fontId="14" fillId="8" borderId="2" xfId="3" applyFont="1" applyFill="1" applyBorder="1"/>
    <xf numFmtId="0" fontId="14" fillId="8" borderId="2" xfId="3" applyFont="1" applyFill="1" applyBorder="1" applyAlignment="1">
      <alignment horizontal="center" vertical="center"/>
    </xf>
    <xf numFmtId="0" fontId="14" fillId="8" borderId="2" xfId="3" applyFont="1" applyFill="1" applyBorder="1" applyAlignment="1">
      <alignment horizontal="left"/>
    </xf>
    <xf numFmtId="0" fontId="14" fillId="8" borderId="2" xfId="3" applyFont="1" applyFill="1" applyBorder="1" applyAlignment="1">
      <alignment horizontal="left" vertical="center"/>
    </xf>
    <xf numFmtId="14" fontId="14" fillId="8" borderId="2" xfId="3" applyNumberFormat="1" applyFont="1" applyFill="1" applyBorder="1" applyAlignment="1">
      <alignment horizontal="left"/>
    </xf>
    <xf numFmtId="1" fontId="14" fillId="8" borderId="2" xfId="3" applyNumberFormat="1" applyFont="1" applyFill="1" applyBorder="1"/>
    <xf numFmtId="2" fontId="14" fillId="8" borderId="2" xfId="3" applyNumberFormat="1" applyFont="1" applyFill="1" applyBorder="1" applyAlignment="1">
      <alignment horizontal="center"/>
    </xf>
    <xf numFmtId="165" fontId="14" fillId="8" borderId="2" xfId="3" applyNumberFormat="1" applyFont="1" applyFill="1" applyBorder="1" applyAlignment="1">
      <alignment horizontal="center"/>
    </xf>
    <xf numFmtId="0" fontId="34" fillId="8" borderId="2" xfId="4" applyNumberFormat="1" applyFont="1" applyFill="1" applyBorder="1"/>
    <xf numFmtId="0" fontId="2" fillId="8" borderId="2" xfId="19" applyNumberFormat="1" applyFill="1" applyBorder="1"/>
    <xf numFmtId="0" fontId="35" fillId="8" borderId="0" xfId="3" applyFont="1" applyFill="1"/>
    <xf numFmtId="0" fontId="35" fillId="8" borderId="0" xfId="0" applyFont="1" applyFill="1"/>
    <xf numFmtId="164" fontId="14" fillId="8" borderId="23" xfId="3" applyNumberFormat="1" applyFont="1" applyFill="1" applyBorder="1" applyAlignment="1">
      <alignment horizontal="left"/>
    </xf>
    <xf numFmtId="0" fontId="14" fillId="8" borderId="23" xfId="3" applyFont="1" applyFill="1" applyBorder="1"/>
    <xf numFmtId="0" fontId="14" fillId="8" borderId="23" xfId="3" applyFont="1" applyFill="1" applyBorder="1" applyAlignment="1">
      <alignment horizontal="center" vertical="center"/>
    </xf>
    <xf numFmtId="0" fontId="14" fillId="8" borderId="23" xfId="3" applyFont="1" applyFill="1" applyBorder="1" applyAlignment="1">
      <alignment horizontal="left"/>
    </xf>
    <xf numFmtId="0" fontId="14" fillId="8" borderId="23" xfId="3" applyFont="1" applyFill="1" applyBorder="1" applyAlignment="1">
      <alignment horizontal="left" vertical="center"/>
    </xf>
    <xf numFmtId="14" fontId="14" fillId="8" borderId="23" xfId="3" applyNumberFormat="1" applyFont="1" applyFill="1" applyBorder="1" applyAlignment="1">
      <alignment horizontal="left"/>
    </xf>
    <xf numFmtId="1" fontId="14" fillId="8" borderId="23" xfId="3" applyNumberFormat="1" applyFont="1" applyFill="1" applyBorder="1"/>
    <xf numFmtId="2" fontId="14" fillId="8" borderId="23" xfId="3" applyNumberFormat="1" applyFont="1" applyFill="1" applyBorder="1" applyAlignment="1">
      <alignment horizontal="center"/>
    </xf>
    <xf numFmtId="165" fontId="14" fillId="8" borderId="23" xfId="3" applyNumberFormat="1" applyFont="1" applyFill="1" applyBorder="1" applyAlignment="1">
      <alignment horizontal="center"/>
    </xf>
    <xf numFmtId="0" fontId="34" fillId="8" borderId="23" xfId="4" applyNumberFormat="1" applyFont="1" applyFill="1" applyBorder="1"/>
    <xf numFmtId="0" fontId="2" fillId="8" borderId="23" xfId="19" applyNumberFormat="1" applyFill="1" applyBorder="1"/>
    <xf numFmtId="165" fontId="2" fillId="5" borderId="2" xfId="19" applyNumberFormat="1" applyFill="1" applyBorder="1" applyAlignment="1">
      <alignment horizontal="left"/>
    </xf>
    <xf numFmtId="0" fontId="17" fillId="8" borderId="0" xfId="14" applyFont="1" applyFill="1" applyAlignment="1">
      <alignment horizontal="right"/>
    </xf>
    <xf numFmtId="14" fontId="17" fillId="8" borderId="16" xfId="14" applyNumberFormat="1" applyFont="1" applyFill="1" applyBorder="1" applyAlignment="1">
      <alignment horizontal="left"/>
    </xf>
    <xf numFmtId="0" fontId="17" fillId="8" borderId="11" xfId="14" applyFont="1" applyFill="1" applyBorder="1" applyAlignment="1">
      <alignment horizontal="left" vertical="center"/>
    </xf>
    <xf numFmtId="0" fontId="17" fillId="8" borderId="10" xfId="14" applyFont="1" applyFill="1" applyBorder="1" applyAlignment="1">
      <alignment horizontal="left"/>
    </xf>
    <xf numFmtId="0" fontId="17" fillId="8" borderId="16" xfId="14" applyFont="1" applyFill="1" applyBorder="1" applyAlignment="1">
      <alignment horizontal="left"/>
    </xf>
    <xf numFmtId="0" fontId="17" fillId="8" borderId="16" xfId="14" applyFont="1" applyFill="1" applyBorder="1"/>
    <xf numFmtId="0" fontId="17" fillId="8" borderId="16" xfId="14" quotePrefix="1" applyFont="1" applyFill="1" applyBorder="1" applyAlignment="1">
      <alignment horizontal="left"/>
    </xf>
    <xf numFmtId="14" fontId="17" fillId="8" borderId="10" xfId="14" applyNumberFormat="1" applyFont="1" applyFill="1" applyBorder="1" applyAlignment="1">
      <alignment horizontal="left" vertical="center"/>
    </xf>
    <xf numFmtId="14" fontId="17" fillId="8" borderId="9" xfId="14" applyNumberFormat="1" applyFont="1" applyFill="1" applyBorder="1" applyAlignment="1">
      <alignment horizontal="left" vertical="center"/>
    </xf>
    <xf numFmtId="14" fontId="17" fillId="8" borderId="16" xfId="14" applyNumberFormat="1" applyFont="1" applyFill="1" applyBorder="1" applyAlignment="1">
      <alignment horizontal="left" vertical="center"/>
    </xf>
    <xf numFmtId="0" fontId="17" fillId="8" borderId="16" xfId="14" applyFont="1" applyFill="1" applyBorder="1" applyAlignment="1">
      <alignment horizontal="left" vertical="center"/>
    </xf>
    <xf numFmtId="0" fontId="17" fillId="8" borderId="10" xfId="14" applyFont="1" applyFill="1" applyBorder="1" applyAlignment="1">
      <alignment horizontal="left" vertical="center"/>
    </xf>
    <xf numFmtId="43" fontId="17" fillId="8" borderId="10" xfId="15" applyFont="1" applyFill="1" applyBorder="1"/>
    <xf numFmtId="43" fontId="17" fillId="8" borderId="16" xfId="15" applyFont="1" applyFill="1" applyBorder="1" applyAlignment="1">
      <alignment horizontal="left" vertical="center"/>
    </xf>
    <xf numFmtId="0" fontId="17" fillId="8" borderId="16" xfId="14" quotePrefix="1" applyFont="1" applyFill="1" applyBorder="1" applyAlignment="1">
      <alignment horizontal="left" vertical="center"/>
    </xf>
    <xf numFmtId="0" fontId="2" fillId="8" borderId="11" xfId="19" applyFill="1" applyBorder="1" applyAlignment="1">
      <alignment horizontal="left" vertical="center"/>
    </xf>
    <xf numFmtId="0" fontId="17" fillId="8" borderId="0" xfId="0" applyFont="1" applyFill="1"/>
    <xf numFmtId="0" fontId="0" fillId="0" borderId="24" xfId="0" applyBorder="1"/>
    <xf numFmtId="0" fontId="14" fillId="8" borderId="25" xfId="3" applyFont="1" applyFill="1" applyBorder="1"/>
    <xf numFmtId="0" fontId="14" fillId="8" borderId="25" xfId="3" applyFont="1" applyFill="1" applyBorder="1" applyAlignment="1">
      <alignment horizontal="center" vertical="center"/>
    </xf>
    <xf numFmtId="0" fontId="14" fillId="8" borderId="25" xfId="3" applyFont="1" applyFill="1" applyBorder="1" applyAlignment="1">
      <alignment horizontal="left"/>
    </xf>
    <xf numFmtId="0" fontId="14" fillId="8" borderId="25" xfId="3" applyFont="1" applyFill="1" applyBorder="1" applyAlignment="1">
      <alignment horizontal="left" vertical="center"/>
    </xf>
    <xf numFmtId="0" fontId="36" fillId="8" borderId="0" xfId="9" applyFont="1" applyFill="1" applyAlignment="1">
      <alignment vertical="center"/>
    </xf>
    <xf numFmtId="14" fontId="36" fillId="8" borderId="2" xfId="10" applyNumberFormat="1" applyFont="1" applyFill="1" applyBorder="1" applyAlignment="1">
      <alignment vertical="center" wrapText="1"/>
    </xf>
    <xf numFmtId="14" fontId="36" fillId="8" borderId="2" xfId="10" applyNumberFormat="1" applyFont="1" applyFill="1" applyBorder="1" applyAlignment="1">
      <alignment horizontal="left" vertical="center" wrapText="1"/>
    </xf>
    <xf numFmtId="0" fontId="36" fillId="8" borderId="2" xfId="10" applyFont="1" applyFill="1" applyBorder="1" applyAlignment="1">
      <alignment horizontal="center" vertical="center" wrapText="1"/>
    </xf>
    <xf numFmtId="0" fontId="35" fillId="8" borderId="2" xfId="0" applyFont="1" applyFill="1" applyBorder="1" applyAlignment="1">
      <alignment horizontal="left" vertical="center" wrapText="1"/>
    </xf>
    <xf numFmtId="0" fontId="36" fillId="8" borderId="2" xfId="10" applyFont="1" applyFill="1" applyBorder="1" applyAlignment="1">
      <alignment horizontal="left" vertical="center" wrapText="1"/>
    </xf>
    <xf numFmtId="0" fontId="36" fillId="8" borderId="12" xfId="10" applyFont="1" applyFill="1" applyBorder="1" applyAlignment="1">
      <alignment vertical="center" wrapText="1"/>
    </xf>
    <xf numFmtId="0" fontId="36" fillId="8" borderId="2" xfId="10" quotePrefix="1" applyFont="1" applyFill="1" applyBorder="1" applyAlignment="1">
      <alignment horizontal="left" vertical="center" wrapText="1"/>
    </xf>
    <xf numFmtId="1" fontId="36" fillId="8" borderId="2" xfId="11" quotePrefix="1" applyNumberFormat="1" applyFont="1" applyFill="1" applyBorder="1" applyAlignment="1">
      <alignment horizontal="left" vertical="center"/>
    </xf>
    <xf numFmtId="43" fontId="36" fillId="8" borderId="2" xfId="12" applyFont="1" applyFill="1" applyBorder="1" applyAlignment="1">
      <alignment vertical="center"/>
    </xf>
    <xf numFmtId="43" fontId="36" fillId="8" borderId="2" xfId="12" quotePrefix="1" applyFont="1" applyFill="1" applyBorder="1" applyAlignment="1">
      <alignment horizontal="left" vertical="center"/>
    </xf>
    <xf numFmtId="43" fontId="2" fillId="8" borderId="13" xfId="19" applyNumberFormat="1" applyFill="1" applyBorder="1" applyAlignment="1">
      <alignment horizontal="left" vertical="center"/>
    </xf>
    <xf numFmtId="0" fontId="2" fillId="8" borderId="0" xfId="19" applyFill="1" applyAlignment="1">
      <alignment vertical="center"/>
    </xf>
    <xf numFmtId="0" fontId="35" fillId="8" borderId="0" xfId="0" applyFont="1" applyFill="1" applyAlignment="1">
      <alignment vertical="center"/>
    </xf>
    <xf numFmtId="0" fontId="36" fillId="8" borderId="0" xfId="10" applyFont="1" applyFill="1" applyAlignment="1">
      <alignment horizontal="left" wrapText="1"/>
    </xf>
    <xf numFmtId="1" fontId="36" fillId="8" borderId="0" xfId="11" applyNumberFormat="1" applyFont="1" applyFill="1" applyBorder="1" applyAlignment="1">
      <alignment horizontal="right" vertical="center"/>
    </xf>
    <xf numFmtId="0" fontId="36" fillId="8" borderId="0" xfId="10" applyFont="1" applyFill="1" applyAlignment="1">
      <alignment horizontal="left" vertical="center" wrapText="1"/>
    </xf>
    <xf numFmtId="2" fontId="35" fillId="0" borderId="0" xfId="0" applyNumberFormat="1" applyFont="1"/>
  </cellXfs>
  <cellStyles count="22">
    <cellStyle name="Hipervínculo" xfId="19" builtinId="8"/>
    <cellStyle name="Hipervínculo 2 5" xfId="13" xr:uid="{00000000-0005-0000-0000-000001000000}"/>
    <cellStyle name="Hipervínculo 6" xfId="4" xr:uid="{00000000-0005-0000-0000-000002000000}"/>
    <cellStyle name="Millares 10 15 9" xfId="12" xr:uid="{00000000-0005-0000-0000-000003000000}"/>
    <cellStyle name="Millares 10 19 37" xfId="15" xr:uid="{00000000-0005-0000-0000-000004000000}"/>
    <cellStyle name="Millares 39 2" xfId="11" xr:uid="{00000000-0005-0000-0000-000005000000}"/>
    <cellStyle name="Normal" xfId="0" builtinId="0"/>
    <cellStyle name="Normal 10 2" xfId="9" xr:uid="{00000000-0005-0000-0000-000007000000}"/>
    <cellStyle name="Normal 104" xfId="7" xr:uid="{00000000-0005-0000-0000-000008000000}"/>
    <cellStyle name="Normal 104 5" xfId="21" xr:uid="{00000000-0005-0000-0000-000009000000}"/>
    <cellStyle name="Normal 18" xfId="5" xr:uid="{00000000-0005-0000-0000-00000A000000}"/>
    <cellStyle name="Normal 2" xfId="17" xr:uid="{00000000-0005-0000-0000-00000B000000}"/>
    <cellStyle name="Normal 2 2 2" xfId="20" xr:uid="{00000000-0005-0000-0000-00000C000000}"/>
    <cellStyle name="Normal 2 2 2 2" xfId="16" xr:uid="{00000000-0005-0000-0000-00000D000000}"/>
    <cellStyle name="Normal 27" xfId="3" xr:uid="{00000000-0005-0000-0000-00000E000000}"/>
    <cellStyle name="Normal 30" xfId="18" xr:uid="{00000000-0005-0000-0000-00000F000000}"/>
    <cellStyle name="Normal 34 5 8" xfId="8" xr:uid="{00000000-0005-0000-0000-000010000000}"/>
    <cellStyle name="Normal 34 5 8 2 2" xfId="10" xr:uid="{00000000-0005-0000-0000-000011000000}"/>
    <cellStyle name="Normal 34 5 8 4 2" xfId="14" xr:uid="{00000000-0005-0000-0000-000012000000}"/>
    <cellStyle name="Normal 34 5 8 5" xfId="1" xr:uid="{00000000-0005-0000-0000-000013000000}"/>
    <cellStyle name="Normal 38 4 7" xfId="6" xr:uid="{00000000-0005-0000-0000-000014000000}"/>
    <cellStyle name="Normal 4 2" xfId="2" xr:uid="{00000000-0005-0000-0000-00001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133350</xdr:rowOff>
    </xdr:from>
    <xdr:to>
      <xdr:col>1</xdr:col>
      <xdr:colOff>628650</xdr:colOff>
      <xdr:row>3</xdr:row>
      <xdr:rowOff>168384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F0B9567C-F8BB-4DD5-A55A-73D7494B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8471475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230443</xdr:colOff>
      <xdr:row>1</xdr:row>
      <xdr:rowOff>69134</xdr:rowOff>
    </xdr:from>
    <xdr:to>
      <xdr:col>1</xdr:col>
      <xdr:colOff>780861</xdr:colOff>
      <xdr:row>3</xdr:row>
      <xdr:rowOff>71754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C4540AE8-65E7-404E-9748-E3C6E8F8153C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63843" y="3041201609"/>
          <a:ext cx="550418" cy="3836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57150</xdr:rowOff>
    </xdr:from>
    <xdr:to>
      <xdr:col>1</xdr:col>
      <xdr:colOff>666750</xdr:colOff>
      <xdr:row>3</xdr:row>
      <xdr:rowOff>92184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3CB4DED9-BD78-4DFB-B071-EA16D19A6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715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76200</xdr:rowOff>
    </xdr:from>
    <xdr:to>
      <xdr:col>1</xdr:col>
      <xdr:colOff>676275</xdr:colOff>
      <xdr:row>4</xdr:row>
      <xdr:rowOff>111234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DFEDF2DF-B860-4873-B623-C928EA1CB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8640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121242</xdr:colOff>
      <xdr:row>2</xdr:row>
      <xdr:rowOff>114301</xdr:rowOff>
    </xdr:from>
    <xdr:to>
      <xdr:col>1</xdr:col>
      <xdr:colOff>654642</xdr:colOff>
      <xdr:row>4</xdr:row>
      <xdr:rowOff>156277</xdr:rowOff>
    </xdr:to>
    <xdr:pic>
      <xdr:nvPicPr>
        <xdr:cNvPr id="3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4B793AFA-A79F-48DA-8F38-BEC74D92D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242" y="495301"/>
          <a:ext cx="533400" cy="42297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ulloamichi@yahoo.com" TargetMode="External"/><Relationship Id="rId18" Type="http://schemas.openxmlformats.org/officeDocument/2006/relationships/hyperlink" Target="mailto:nuevespa@hotmail.com" TargetMode="External"/><Relationship Id="rId26" Type="http://schemas.openxmlformats.org/officeDocument/2006/relationships/hyperlink" Target="mailto:freddy-c84@live.com" TargetMode="External"/><Relationship Id="rId39" Type="http://schemas.openxmlformats.org/officeDocument/2006/relationships/hyperlink" Target="mailto:ismaelcriollo91@hotmail.com" TargetMode="External"/><Relationship Id="rId21" Type="http://schemas.openxmlformats.org/officeDocument/2006/relationships/hyperlink" Target="mailto:marlonmggomez@gmail.com" TargetMode="External"/><Relationship Id="rId34" Type="http://schemas.openxmlformats.org/officeDocument/2006/relationships/hyperlink" Target="mailto:egalvez@etapane.net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mailto:geovannyquito@hotmail.com" TargetMode="External"/><Relationship Id="rId2" Type="http://schemas.openxmlformats.org/officeDocument/2006/relationships/hyperlink" Target="mailto:uzcpatrick@hotmail.com" TargetMode="External"/><Relationship Id="rId16" Type="http://schemas.openxmlformats.org/officeDocument/2006/relationships/hyperlink" Target="mailto:tereperezv1@hotmail.com" TargetMode="External"/><Relationship Id="rId20" Type="http://schemas.openxmlformats.org/officeDocument/2006/relationships/hyperlink" Target="mailto:marlonmggomez@gmail.com" TargetMode="External"/><Relationship Id="rId29" Type="http://schemas.openxmlformats.org/officeDocument/2006/relationships/hyperlink" Target="mailto:santiago2217@icloud.com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mailto:uzcpatrick@hotmail.com" TargetMode="External"/><Relationship Id="rId6" Type="http://schemas.openxmlformats.org/officeDocument/2006/relationships/hyperlink" Target="mailto:fabcue5@hotmail.com" TargetMode="External"/><Relationship Id="rId11" Type="http://schemas.openxmlformats.org/officeDocument/2006/relationships/hyperlink" Target="mailto:ulloamichi@yahoo.com" TargetMode="External"/><Relationship Id="rId24" Type="http://schemas.openxmlformats.org/officeDocument/2006/relationships/hyperlink" Target="mailto:freddy-c84@live.com" TargetMode="External"/><Relationship Id="rId32" Type="http://schemas.openxmlformats.org/officeDocument/2006/relationships/hyperlink" Target="mailto:egalvez@etapane.net" TargetMode="External"/><Relationship Id="rId37" Type="http://schemas.openxmlformats.org/officeDocument/2006/relationships/hyperlink" Target="mailto:ismaelcriollo91@hotmail.com" TargetMode="External"/><Relationship Id="rId40" Type="http://schemas.openxmlformats.org/officeDocument/2006/relationships/hyperlink" Target="mailto:ismaelcriollo91@hotmail.com" TargetMode="External"/><Relationship Id="rId5" Type="http://schemas.openxmlformats.org/officeDocument/2006/relationships/hyperlink" Target="mailto:fabcue5@hotmail.com" TargetMode="External"/><Relationship Id="rId15" Type="http://schemas.openxmlformats.org/officeDocument/2006/relationships/hyperlink" Target="mailto:tereperezv1@hotmail.com" TargetMode="External"/><Relationship Id="rId23" Type="http://schemas.openxmlformats.org/officeDocument/2006/relationships/hyperlink" Target="mailto:epinoo@hotmail.com" TargetMode="External"/><Relationship Id="rId28" Type="http://schemas.openxmlformats.org/officeDocument/2006/relationships/hyperlink" Target="mailto:santiago2217@icloud.com" TargetMode="External"/><Relationship Id="rId36" Type="http://schemas.openxmlformats.org/officeDocument/2006/relationships/hyperlink" Target="mailto:facim13@hotmail.com" TargetMode="External"/><Relationship Id="rId10" Type="http://schemas.openxmlformats.org/officeDocument/2006/relationships/hyperlink" Target="mailto:lpluispintadolp@hotmail.com" TargetMode="External"/><Relationship Id="rId19" Type="http://schemas.openxmlformats.org/officeDocument/2006/relationships/hyperlink" Target="mailto:nuevespa@hotmail.com" TargetMode="External"/><Relationship Id="rId31" Type="http://schemas.openxmlformats.org/officeDocument/2006/relationships/hyperlink" Target="mailto:santiago2217@icloud.com" TargetMode="External"/><Relationship Id="rId4" Type="http://schemas.openxmlformats.org/officeDocument/2006/relationships/hyperlink" Target="mailto:juanfatcivil@hotmail.com" TargetMode="External"/><Relationship Id="rId9" Type="http://schemas.openxmlformats.org/officeDocument/2006/relationships/hyperlink" Target="mailto:lpluispintadolp@hotmail.com" TargetMode="External"/><Relationship Id="rId14" Type="http://schemas.openxmlformats.org/officeDocument/2006/relationships/hyperlink" Target="mailto:ulloamichi@yahoo.com" TargetMode="External"/><Relationship Id="rId22" Type="http://schemas.openxmlformats.org/officeDocument/2006/relationships/hyperlink" Target="mailto:epinoo@hotmail.com" TargetMode="External"/><Relationship Id="rId27" Type="http://schemas.openxmlformats.org/officeDocument/2006/relationships/hyperlink" Target="mailto:santiago2217@icloud.com" TargetMode="External"/><Relationship Id="rId30" Type="http://schemas.openxmlformats.org/officeDocument/2006/relationships/hyperlink" Target="mailto:santiago2217@icloud.com" TargetMode="External"/><Relationship Id="rId35" Type="http://schemas.openxmlformats.org/officeDocument/2006/relationships/hyperlink" Target="mailto:facim13@hotmail.com" TargetMode="External"/><Relationship Id="rId8" Type="http://schemas.openxmlformats.org/officeDocument/2006/relationships/hyperlink" Target="mailto:geovannyquito@hotmail.com" TargetMode="External"/><Relationship Id="rId3" Type="http://schemas.openxmlformats.org/officeDocument/2006/relationships/hyperlink" Target="mailto:juanfatcivil@hotmail.com" TargetMode="External"/><Relationship Id="rId12" Type="http://schemas.openxmlformats.org/officeDocument/2006/relationships/hyperlink" Target="mailto:ulloamichi@yahoo.com" TargetMode="External"/><Relationship Id="rId17" Type="http://schemas.openxmlformats.org/officeDocument/2006/relationships/hyperlink" Target="mailto:nuevespa@hotmail.com" TargetMode="External"/><Relationship Id="rId25" Type="http://schemas.openxmlformats.org/officeDocument/2006/relationships/hyperlink" Target="mailto:freddy-c84@live.com" TargetMode="External"/><Relationship Id="rId33" Type="http://schemas.openxmlformats.org/officeDocument/2006/relationships/hyperlink" Target="mailto:egalvez@etapane.net" TargetMode="External"/><Relationship Id="rId38" Type="http://schemas.openxmlformats.org/officeDocument/2006/relationships/hyperlink" Target="mailto:ismaelcriollo91@hot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ronald.mendoza418@gmail.co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pachiravas54@hotmail.com" TargetMode="External"/><Relationship Id="rId1" Type="http://schemas.openxmlformats.org/officeDocument/2006/relationships/hyperlink" Target="mailto:jpablopatino@hotmail.com" TargetMode="External"/><Relationship Id="rId6" Type="http://schemas.openxmlformats.org/officeDocument/2006/relationships/hyperlink" Target="mailto:anybp-13-11@hotmail.com" TargetMode="External"/><Relationship Id="rId5" Type="http://schemas.openxmlformats.org/officeDocument/2006/relationships/hyperlink" Target="mailto:angelicasiguencia@gmail.com" TargetMode="External"/><Relationship Id="rId4" Type="http://schemas.openxmlformats.org/officeDocument/2006/relationships/hyperlink" Target="mailto:alcuestaa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lhornocq@hotmail.com" TargetMode="External"/><Relationship Id="rId2" Type="http://schemas.openxmlformats.org/officeDocument/2006/relationships/hyperlink" Target="mailto:ventas@comercialsolis.com.ec" TargetMode="External"/><Relationship Id="rId1" Type="http://schemas.openxmlformats.org/officeDocument/2006/relationships/hyperlink" Target="mailto:damartimacas@gmail.com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ventas@comercialsolis.com.ec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mausuarez666@hotmail.com" TargetMode="External"/><Relationship Id="rId13" Type="http://schemas.openxmlformats.org/officeDocument/2006/relationships/hyperlink" Target="mailto:mimesal@hotmail.com" TargetMode="External"/><Relationship Id="rId3" Type="http://schemas.openxmlformats.org/officeDocument/2006/relationships/hyperlink" Target="mailto:jose.miguelj@icloud.com" TargetMode="External"/><Relationship Id="rId7" Type="http://schemas.openxmlformats.org/officeDocument/2006/relationships/hyperlink" Target="mailto:susy_borja@yahoo.com" TargetMode="External"/><Relationship Id="rId12" Type="http://schemas.openxmlformats.org/officeDocument/2006/relationships/hyperlink" Target="mailto:rea_flanklin@hotmail.com" TargetMode="External"/><Relationship Id="rId2" Type="http://schemas.openxmlformats.org/officeDocument/2006/relationships/hyperlink" Target="mailto:zoilaquezadab@gmail.com" TargetMode="External"/><Relationship Id="rId1" Type="http://schemas.openxmlformats.org/officeDocument/2006/relationships/hyperlink" Target="mailto:karlavv13@hotmail.com" TargetMode="External"/><Relationship Id="rId6" Type="http://schemas.openxmlformats.org/officeDocument/2006/relationships/hyperlink" Target="mailto:paitonoe@gmail.com" TargetMode="External"/><Relationship Id="rId11" Type="http://schemas.openxmlformats.org/officeDocument/2006/relationships/hyperlink" Target="mailto:smarcocalle@gmail.com" TargetMode="External"/><Relationship Id="rId5" Type="http://schemas.openxmlformats.org/officeDocument/2006/relationships/hyperlink" Target="mailto:ecunedybm@hotmail.com" TargetMode="External"/><Relationship Id="rId10" Type="http://schemas.openxmlformats.org/officeDocument/2006/relationships/hyperlink" Target="mailto:henrycallevidal@gmail.com" TargetMode="External"/><Relationship Id="rId4" Type="http://schemas.openxmlformats.org/officeDocument/2006/relationships/hyperlink" Target="mailto:erick_pinos10@hotmail.com" TargetMode="External"/><Relationship Id="rId9" Type="http://schemas.openxmlformats.org/officeDocument/2006/relationships/hyperlink" Target="mailto:joseluisatancuri@yahoo.com" TargetMode="External"/><Relationship Id="rId14" Type="http://schemas.openxmlformats.org/officeDocument/2006/relationships/hyperlink" Target="mailto:marielenaromo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V96"/>
  <sheetViews>
    <sheetView topLeftCell="A40" zoomScale="80" zoomScaleNormal="80" workbookViewId="0">
      <selection activeCell="C47" sqref="C47"/>
    </sheetView>
  </sheetViews>
  <sheetFormatPr baseColWidth="10" defaultRowHeight="15"/>
  <cols>
    <col min="1" max="2" width="11.6640625" bestFit="1" customWidth="1"/>
    <col min="4" max="4" width="11.6640625" bestFit="1" customWidth="1"/>
    <col min="5" max="5" width="18" customWidth="1"/>
    <col min="6" max="6" width="15.1640625" customWidth="1"/>
    <col min="8" max="8" width="11.6640625" bestFit="1" customWidth="1"/>
    <col min="11" max="11" width="14.5" customWidth="1"/>
    <col min="12" max="12" width="17.1640625" customWidth="1"/>
    <col min="13" max="13" width="11.6640625" bestFit="1" customWidth="1"/>
    <col min="14" max="14" width="12.83203125" bestFit="1" customWidth="1"/>
    <col min="15" max="15" width="11.6640625" bestFit="1" customWidth="1"/>
    <col min="16" max="16" width="23.1640625" customWidth="1"/>
    <col min="18" max="18" width="11.6640625" bestFit="1" customWidth="1"/>
    <col min="19" max="19" width="11.1640625" bestFit="1" customWidth="1"/>
    <col min="20" max="20" width="16.6640625" customWidth="1"/>
  </cols>
  <sheetData>
    <row r="3" spans="1:22">
      <c r="A3" s="1"/>
      <c r="C3" s="2" t="s">
        <v>0</v>
      </c>
      <c r="E3" s="3"/>
      <c r="G3" s="4"/>
      <c r="H3" s="5"/>
      <c r="I3" s="6"/>
      <c r="J3" s="7"/>
      <c r="K3" s="5"/>
      <c r="L3" s="8"/>
      <c r="M3" s="8"/>
      <c r="N3" s="5"/>
      <c r="O3" s="9"/>
    </row>
    <row r="4" spans="1:22" ht="16">
      <c r="A4" s="1"/>
      <c r="C4" s="10" t="s">
        <v>1</v>
      </c>
      <c r="E4" s="5"/>
      <c r="G4" s="11"/>
      <c r="H4" s="12"/>
      <c r="I4" s="13"/>
      <c r="J4" s="14" t="s">
        <v>23</v>
      </c>
      <c r="K4" s="12"/>
      <c r="L4" s="15"/>
      <c r="M4" s="16"/>
      <c r="N4" s="5" t="s">
        <v>172</v>
      </c>
      <c r="O4" s="9"/>
      <c r="P4" s="17"/>
    </row>
    <row r="5" spans="1:22" s="23" customFormat="1" ht="45">
      <c r="A5" s="18"/>
      <c r="B5" s="19" t="s">
        <v>2</v>
      </c>
      <c r="C5" s="19" t="s">
        <v>3</v>
      </c>
      <c r="D5" s="19" t="s">
        <v>4</v>
      </c>
      <c r="E5" s="19" t="s">
        <v>5</v>
      </c>
      <c r="F5" s="20" t="s">
        <v>6</v>
      </c>
      <c r="G5" s="19" t="s">
        <v>7</v>
      </c>
      <c r="H5" s="19" t="s">
        <v>8</v>
      </c>
      <c r="I5" s="19" t="s">
        <v>9</v>
      </c>
      <c r="J5" s="19" t="s">
        <v>10</v>
      </c>
      <c r="K5" s="19" t="s">
        <v>11</v>
      </c>
      <c r="L5" s="21" t="s">
        <v>12</v>
      </c>
      <c r="M5" s="21" t="s">
        <v>13</v>
      </c>
      <c r="N5" s="19" t="s">
        <v>14</v>
      </c>
      <c r="O5" s="22" t="s">
        <v>15</v>
      </c>
      <c r="P5" s="19" t="s">
        <v>16</v>
      </c>
      <c r="Q5" s="19" t="s">
        <v>17</v>
      </c>
      <c r="R5" s="19" t="s">
        <v>18</v>
      </c>
      <c r="S5" s="19" t="s">
        <v>19</v>
      </c>
      <c r="T5" s="19" t="s">
        <v>20</v>
      </c>
      <c r="U5" s="19" t="s">
        <v>21</v>
      </c>
    </row>
    <row r="6" spans="1:22" s="75" customFormat="1" ht="33" customHeight="1">
      <c r="A6" s="24">
        <v>1</v>
      </c>
      <c r="B6" s="25">
        <v>45403</v>
      </c>
      <c r="C6" s="26" t="s">
        <v>84</v>
      </c>
      <c r="D6" s="26" t="s">
        <v>107</v>
      </c>
      <c r="E6" s="27">
        <v>112570093</v>
      </c>
      <c r="F6" s="28" t="s">
        <v>103</v>
      </c>
      <c r="G6" s="29" t="s">
        <v>108</v>
      </c>
      <c r="H6" s="30" t="s">
        <v>42</v>
      </c>
      <c r="I6" s="26" t="s">
        <v>79</v>
      </c>
      <c r="J6" s="29" t="s">
        <v>80</v>
      </c>
      <c r="K6" s="31">
        <v>45406</v>
      </c>
      <c r="L6" s="32" t="s">
        <v>109</v>
      </c>
      <c r="M6" s="32" t="s">
        <v>110</v>
      </c>
      <c r="N6" s="29">
        <v>74074910</v>
      </c>
      <c r="O6" s="33">
        <v>20</v>
      </c>
      <c r="P6" s="26" t="s">
        <v>22</v>
      </c>
      <c r="Q6" s="26" t="s">
        <v>79</v>
      </c>
      <c r="R6" s="34"/>
      <c r="S6" s="26" t="s">
        <v>107</v>
      </c>
      <c r="T6" s="73">
        <v>101005400</v>
      </c>
      <c r="U6" s="159" t="s">
        <v>111</v>
      </c>
      <c r="V6" s="74"/>
    </row>
    <row r="7" spans="1:22" s="75" customFormat="1" ht="33" customHeight="1">
      <c r="A7" s="24">
        <v>2</v>
      </c>
      <c r="B7" s="25">
        <v>45403</v>
      </c>
      <c r="C7" s="26" t="s">
        <v>84</v>
      </c>
      <c r="D7" s="26" t="s">
        <v>107</v>
      </c>
      <c r="E7" s="27">
        <v>111000051</v>
      </c>
      <c r="F7" s="28" t="s">
        <v>102</v>
      </c>
      <c r="G7" s="29" t="s">
        <v>112</v>
      </c>
      <c r="H7" s="30" t="s">
        <v>42</v>
      </c>
      <c r="I7" s="26" t="s">
        <v>79</v>
      </c>
      <c r="J7" s="29" t="s">
        <v>80</v>
      </c>
      <c r="K7" s="31">
        <v>45406</v>
      </c>
      <c r="L7" s="32" t="s">
        <v>109</v>
      </c>
      <c r="M7" s="32" t="s">
        <v>110</v>
      </c>
      <c r="N7" s="29">
        <v>74074910</v>
      </c>
      <c r="O7" s="33">
        <v>20</v>
      </c>
      <c r="P7" s="26" t="s">
        <v>22</v>
      </c>
      <c r="Q7" s="26" t="s">
        <v>79</v>
      </c>
      <c r="R7" s="34"/>
      <c r="S7" s="26" t="s">
        <v>107</v>
      </c>
      <c r="T7" s="73">
        <v>101005400</v>
      </c>
      <c r="U7" s="159" t="s">
        <v>111</v>
      </c>
      <c r="V7" s="160"/>
    </row>
    <row r="8" spans="1:22" s="75" customFormat="1" ht="33" customHeight="1">
      <c r="A8" s="24">
        <v>3</v>
      </c>
      <c r="B8" s="25">
        <v>45512</v>
      </c>
      <c r="C8" s="26" t="s">
        <v>82</v>
      </c>
      <c r="D8" s="26" t="s">
        <v>113</v>
      </c>
      <c r="E8" s="27">
        <v>40461543</v>
      </c>
      <c r="F8" s="28" t="s">
        <v>114</v>
      </c>
      <c r="G8" s="29" t="s">
        <v>115</v>
      </c>
      <c r="H8" s="30">
        <v>382672</v>
      </c>
      <c r="I8" s="26" t="s">
        <v>79</v>
      </c>
      <c r="J8" s="29" t="s">
        <v>80</v>
      </c>
      <c r="K8" s="31">
        <v>45406</v>
      </c>
      <c r="L8" s="32" t="s">
        <v>116</v>
      </c>
      <c r="M8" s="32" t="s">
        <v>117</v>
      </c>
      <c r="N8" s="29">
        <v>995056122</v>
      </c>
      <c r="O8" s="33">
        <v>20</v>
      </c>
      <c r="P8" s="26" t="s">
        <v>22</v>
      </c>
      <c r="Q8" s="26" t="s">
        <v>79</v>
      </c>
      <c r="R8" s="34"/>
      <c r="S8" s="26" t="s">
        <v>113</v>
      </c>
      <c r="T8" s="73">
        <v>102004272001</v>
      </c>
      <c r="U8" s="159" t="s">
        <v>141</v>
      </c>
      <c r="V8" s="160"/>
    </row>
    <row r="9" spans="1:22" s="75" customFormat="1" ht="33" customHeight="1">
      <c r="A9" s="24">
        <v>4</v>
      </c>
      <c r="B9" s="25">
        <v>45512</v>
      </c>
      <c r="C9" s="26" t="s">
        <v>82</v>
      </c>
      <c r="D9" s="26" t="s">
        <v>113</v>
      </c>
      <c r="E9" s="27">
        <v>112580017</v>
      </c>
      <c r="F9" s="28" t="s">
        <v>118</v>
      </c>
      <c r="G9" s="29" t="s">
        <v>119</v>
      </c>
      <c r="H9" s="30">
        <v>420670</v>
      </c>
      <c r="I9" s="26" t="s">
        <v>79</v>
      </c>
      <c r="J9" s="29" t="s">
        <v>80</v>
      </c>
      <c r="K9" s="31">
        <v>45406</v>
      </c>
      <c r="L9" s="32" t="s">
        <v>116</v>
      </c>
      <c r="M9" s="32" t="s">
        <v>117</v>
      </c>
      <c r="N9" s="29">
        <v>995056122</v>
      </c>
      <c r="O9" s="33">
        <v>20</v>
      </c>
      <c r="P9" s="26" t="s">
        <v>22</v>
      </c>
      <c r="Q9" s="26" t="s">
        <v>79</v>
      </c>
      <c r="R9" s="34"/>
      <c r="S9" s="26" t="s">
        <v>113</v>
      </c>
      <c r="T9" s="73">
        <v>102004272001</v>
      </c>
      <c r="U9" s="159" t="s">
        <v>141</v>
      </c>
      <c r="V9" s="160"/>
    </row>
    <row r="10" spans="1:22" s="75" customFormat="1" ht="33" customHeight="1">
      <c r="A10" s="24">
        <v>5</v>
      </c>
      <c r="B10" s="25">
        <v>45093</v>
      </c>
      <c r="C10" s="26" t="s">
        <v>120</v>
      </c>
      <c r="D10" s="26" t="s">
        <v>121</v>
      </c>
      <c r="E10" s="27">
        <v>40483101</v>
      </c>
      <c r="F10" s="28" t="s">
        <v>98</v>
      </c>
      <c r="G10" s="29" t="s">
        <v>122</v>
      </c>
      <c r="H10" s="30" t="s">
        <v>42</v>
      </c>
      <c r="I10" s="26" t="s">
        <v>79</v>
      </c>
      <c r="J10" s="29" t="s">
        <v>80</v>
      </c>
      <c r="K10" s="31">
        <v>45413</v>
      </c>
      <c r="L10" s="32" t="s">
        <v>123</v>
      </c>
      <c r="M10" s="32" t="s">
        <v>97</v>
      </c>
      <c r="N10" s="29">
        <v>984553666</v>
      </c>
      <c r="O10" s="33">
        <v>20</v>
      </c>
      <c r="P10" s="26" t="s">
        <v>22</v>
      </c>
      <c r="Q10" s="26" t="s">
        <v>79</v>
      </c>
      <c r="R10" s="34"/>
      <c r="S10" s="26" t="s">
        <v>121</v>
      </c>
      <c r="T10" s="73">
        <v>195130523001</v>
      </c>
      <c r="U10" s="159" t="s">
        <v>124</v>
      </c>
      <c r="V10" s="160"/>
    </row>
    <row r="11" spans="1:22" s="75" customFormat="1" ht="33" customHeight="1">
      <c r="A11" s="24">
        <v>6</v>
      </c>
      <c r="B11" s="25">
        <v>45093</v>
      </c>
      <c r="C11" s="26" t="s">
        <v>99</v>
      </c>
      <c r="D11" s="26" t="s">
        <v>125</v>
      </c>
      <c r="E11" s="27">
        <v>112580027</v>
      </c>
      <c r="F11" s="28" t="s">
        <v>93</v>
      </c>
      <c r="G11" s="29" t="s">
        <v>126</v>
      </c>
      <c r="H11" s="30" t="s">
        <v>42</v>
      </c>
      <c r="I11" s="26" t="s">
        <v>79</v>
      </c>
      <c r="J11" s="29" t="s">
        <v>80</v>
      </c>
      <c r="K11" s="31">
        <v>45413</v>
      </c>
      <c r="L11" s="32" t="s">
        <v>123</v>
      </c>
      <c r="M11" s="32" t="s">
        <v>97</v>
      </c>
      <c r="N11" s="29">
        <v>984553666</v>
      </c>
      <c r="O11" s="33">
        <v>20</v>
      </c>
      <c r="P11" s="26" t="s">
        <v>22</v>
      </c>
      <c r="Q11" s="26" t="s">
        <v>79</v>
      </c>
      <c r="R11" s="34"/>
      <c r="S11" s="26" t="s">
        <v>125</v>
      </c>
      <c r="T11" s="73">
        <v>195130523001</v>
      </c>
      <c r="U11" s="159" t="s">
        <v>124</v>
      </c>
      <c r="V11" s="160"/>
    </row>
    <row r="12" spans="1:22" s="75" customFormat="1" ht="33" customHeight="1">
      <c r="A12" s="24">
        <v>7</v>
      </c>
      <c r="B12" s="25">
        <v>45373</v>
      </c>
      <c r="C12" s="26" t="s">
        <v>100</v>
      </c>
      <c r="D12" s="26" t="s">
        <v>127</v>
      </c>
      <c r="E12" s="27">
        <v>112570073</v>
      </c>
      <c r="F12" s="28" t="s">
        <v>101</v>
      </c>
      <c r="G12" s="29" t="s">
        <v>128</v>
      </c>
      <c r="H12" s="30">
        <v>420714</v>
      </c>
      <c r="I12" s="26" t="s">
        <v>79</v>
      </c>
      <c r="J12" s="29" t="s">
        <v>80</v>
      </c>
      <c r="K12" s="31">
        <v>45419</v>
      </c>
      <c r="L12" s="32" t="s">
        <v>129</v>
      </c>
      <c r="M12" s="32" t="s">
        <v>130</v>
      </c>
      <c r="N12" s="29">
        <v>986403109</v>
      </c>
      <c r="O12" s="33">
        <v>20</v>
      </c>
      <c r="P12" s="26" t="s">
        <v>22</v>
      </c>
      <c r="Q12" s="26" t="s">
        <v>79</v>
      </c>
      <c r="R12" s="34"/>
      <c r="S12" s="35" t="s">
        <v>127</v>
      </c>
      <c r="T12" s="73">
        <v>101553956</v>
      </c>
      <c r="U12" s="159" t="s">
        <v>131</v>
      </c>
      <c r="V12" s="160"/>
    </row>
    <row r="13" spans="1:22" s="75" customFormat="1" ht="33" customHeight="1">
      <c r="A13" s="24">
        <v>8</v>
      </c>
      <c r="B13" s="25">
        <v>45373</v>
      </c>
      <c r="C13" s="26" t="s">
        <v>100</v>
      </c>
      <c r="D13" s="26" t="s">
        <v>127</v>
      </c>
      <c r="E13" s="27">
        <v>111200005</v>
      </c>
      <c r="F13" s="28" t="s">
        <v>132</v>
      </c>
      <c r="G13" s="29" t="s">
        <v>133</v>
      </c>
      <c r="H13" s="30">
        <v>418354</v>
      </c>
      <c r="I13" s="26" t="s">
        <v>79</v>
      </c>
      <c r="J13" s="29" t="s">
        <v>80</v>
      </c>
      <c r="K13" s="31">
        <v>45419</v>
      </c>
      <c r="L13" s="32" t="s">
        <v>129</v>
      </c>
      <c r="M13" s="32" t="s">
        <v>130</v>
      </c>
      <c r="N13" s="29">
        <v>986403109</v>
      </c>
      <c r="O13" s="33">
        <v>20</v>
      </c>
      <c r="P13" s="26" t="s">
        <v>22</v>
      </c>
      <c r="Q13" s="26" t="s">
        <v>79</v>
      </c>
      <c r="R13" s="34"/>
      <c r="S13" s="35" t="s">
        <v>127</v>
      </c>
      <c r="T13" s="73">
        <v>101553956</v>
      </c>
      <c r="U13" s="159" t="s">
        <v>131</v>
      </c>
      <c r="V13" s="160"/>
    </row>
    <row r="14" spans="1:22" s="75" customFormat="1" ht="33" customHeight="1">
      <c r="A14" s="24">
        <v>9</v>
      </c>
      <c r="B14" s="25">
        <v>45374</v>
      </c>
      <c r="C14" s="26" t="s">
        <v>83</v>
      </c>
      <c r="D14" s="26" t="s">
        <v>134</v>
      </c>
      <c r="E14" s="27">
        <v>112570073</v>
      </c>
      <c r="F14" s="28" t="s">
        <v>135</v>
      </c>
      <c r="G14" s="29" t="s">
        <v>136</v>
      </c>
      <c r="H14" s="30" t="s">
        <v>42</v>
      </c>
      <c r="I14" s="26" t="s">
        <v>79</v>
      </c>
      <c r="J14" s="29" t="s">
        <v>80</v>
      </c>
      <c r="K14" s="31">
        <v>45420</v>
      </c>
      <c r="L14" s="32" t="s">
        <v>137</v>
      </c>
      <c r="M14" s="32" t="s">
        <v>138</v>
      </c>
      <c r="N14" s="29">
        <v>959593838</v>
      </c>
      <c r="O14" s="33">
        <v>20</v>
      </c>
      <c r="P14" s="26" t="s">
        <v>22</v>
      </c>
      <c r="Q14" s="26" t="s">
        <v>79</v>
      </c>
      <c r="R14" s="34"/>
      <c r="S14" s="26" t="s">
        <v>134</v>
      </c>
      <c r="T14" s="73">
        <v>102709540</v>
      </c>
      <c r="U14" s="159" t="s">
        <v>139</v>
      </c>
      <c r="V14" s="160"/>
    </row>
    <row r="15" spans="1:22" s="75" customFormat="1" ht="33" customHeight="1">
      <c r="A15" s="24">
        <v>10</v>
      </c>
      <c r="B15" s="25">
        <v>45374</v>
      </c>
      <c r="C15" s="26" t="s">
        <v>83</v>
      </c>
      <c r="D15" s="26" t="s">
        <v>134</v>
      </c>
      <c r="E15" s="27">
        <v>111000051</v>
      </c>
      <c r="F15" s="28" t="s">
        <v>102</v>
      </c>
      <c r="G15" s="29" t="s">
        <v>140</v>
      </c>
      <c r="H15" s="30" t="s">
        <v>42</v>
      </c>
      <c r="I15" s="26" t="s">
        <v>79</v>
      </c>
      <c r="J15" s="29" t="s">
        <v>80</v>
      </c>
      <c r="K15" s="31">
        <v>45420</v>
      </c>
      <c r="L15" s="32" t="s">
        <v>137</v>
      </c>
      <c r="M15" s="32" t="s">
        <v>138</v>
      </c>
      <c r="N15" s="29">
        <v>959593838</v>
      </c>
      <c r="O15" s="33">
        <v>20</v>
      </c>
      <c r="P15" s="26" t="s">
        <v>22</v>
      </c>
      <c r="Q15" s="26" t="s">
        <v>79</v>
      </c>
      <c r="R15" s="34"/>
      <c r="S15" s="26" t="s">
        <v>134</v>
      </c>
      <c r="T15" s="73">
        <v>102709540</v>
      </c>
      <c r="U15" s="159" t="s">
        <v>139</v>
      </c>
      <c r="V15" s="160"/>
    </row>
    <row r="16" spans="1:22" s="75" customFormat="1" ht="33" customHeight="1">
      <c r="A16" s="24">
        <v>11</v>
      </c>
      <c r="B16" s="25">
        <v>45340</v>
      </c>
      <c r="C16" s="26" t="s">
        <v>84</v>
      </c>
      <c r="D16" s="26" t="s">
        <v>142</v>
      </c>
      <c r="E16" s="27">
        <v>112570068</v>
      </c>
      <c r="F16" s="28" t="s">
        <v>143</v>
      </c>
      <c r="G16" s="29" t="s">
        <v>144</v>
      </c>
      <c r="H16" s="30">
        <v>415085</v>
      </c>
      <c r="I16" s="26" t="s">
        <v>79</v>
      </c>
      <c r="J16" s="29" t="s">
        <v>80</v>
      </c>
      <c r="K16" s="31">
        <v>45421</v>
      </c>
      <c r="L16" s="32" t="s">
        <v>145</v>
      </c>
      <c r="M16" s="32" t="s">
        <v>146</v>
      </c>
      <c r="N16" s="29">
        <v>998284819</v>
      </c>
      <c r="O16" s="33">
        <v>15</v>
      </c>
      <c r="P16" s="26" t="s">
        <v>22</v>
      </c>
      <c r="Q16" s="26" t="s">
        <v>79</v>
      </c>
      <c r="R16" s="34"/>
      <c r="S16" s="26" t="s">
        <v>142</v>
      </c>
      <c r="T16" s="73">
        <v>101100337</v>
      </c>
      <c r="U16" s="159" t="s">
        <v>147</v>
      </c>
      <c r="V16" s="160"/>
    </row>
    <row r="17" spans="1:22" s="75" customFormat="1" ht="33" customHeight="1">
      <c r="A17" s="24">
        <v>12</v>
      </c>
      <c r="B17" s="25">
        <v>45340</v>
      </c>
      <c r="C17" s="26" t="s">
        <v>84</v>
      </c>
      <c r="D17" s="26" t="s">
        <v>142</v>
      </c>
      <c r="E17" s="27">
        <v>40584305</v>
      </c>
      <c r="F17" s="28" t="s">
        <v>148</v>
      </c>
      <c r="G17" s="29" t="s">
        <v>149</v>
      </c>
      <c r="H17" s="30">
        <v>417555</v>
      </c>
      <c r="I17" s="26" t="s">
        <v>79</v>
      </c>
      <c r="J17" s="29" t="s">
        <v>80</v>
      </c>
      <c r="K17" s="31">
        <v>45421</v>
      </c>
      <c r="L17" s="32" t="s">
        <v>145</v>
      </c>
      <c r="M17" s="32" t="s">
        <v>146</v>
      </c>
      <c r="N17" s="29">
        <v>998284819</v>
      </c>
      <c r="O17" s="33">
        <v>15</v>
      </c>
      <c r="P17" s="26" t="s">
        <v>22</v>
      </c>
      <c r="Q17" s="26" t="s">
        <v>79</v>
      </c>
      <c r="R17" s="34"/>
      <c r="S17" s="26" t="s">
        <v>142</v>
      </c>
      <c r="T17" s="73">
        <v>101100337</v>
      </c>
      <c r="U17" s="159" t="s">
        <v>147</v>
      </c>
      <c r="V17" s="160"/>
    </row>
    <row r="18" spans="1:22" s="75" customFormat="1" ht="33" customHeight="1">
      <c r="A18" s="24">
        <v>13</v>
      </c>
      <c r="B18" s="25">
        <v>45340</v>
      </c>
      <c r="C18" s="26" t="s">
        <v>84</v>
      </c>
      <c r="D18" s="26" t="s">
        <v>142</v>
      </c>
      <c r="E18" s="27">
        <v>41596006</v>
      </c>
      <c r="F18" s="28" t="s">
        <v>150</v>
      </c>
      <c r="G18" s="29" t="s">
        <v>151</v>
      </c>
      <c r="H18" s="30">
        <v>413515</v>
      </c>
      <c r="I18" s="26" t="s">
        <v>79</v>
      </c>
      <c r="J18" s="29" t="s">
        <v>80</v>
      </c>
      <c r="K18" s="31">
        <v>45421</v>
      </c>
      <c r="L18" s="32" t="s">
        <v>145</v>
      </c>
      <c r="M18" s="32" t="s">
        <v>146</v>
      </c>
      <c r="N18" s="29">
        <v>998284819</v>
      </c>
      <c r="O18" s="33">
        <v>15</v>
      </c>
      <c r="P18" s="26" t="s">
        <v>22</v>
      </c>
      <c r="Q18" s="26" t="s">
        <v>79</v>
      </c>
      <c r="R18" s="34"/>
      <c r="S18" s="26" t="s">
        <v>142</v>
      </c>
      <c r="T18" s="73">
        <v>101100337</v>
      </c>
      <c r="U18" s="159" t="s">
        <v>147</v>
      </c>
      <c r="V18" s="160"/>
    </row>
    <row r="19" spans="1:22" s="75" customFormat="1" ht="33" customHeight="1">
      <c r="A19" s="24">
        <v>14</v>
      </c>
      <c r="B19" s="25">
        <v>45340</v>
      </c>
      <c r="C19" s="26" t="s">
        <v>84</v>
      </c>
      <c r="D19" s="26" t="s">
        <v>142</v>
      </c>
      <c r="E19" s="27">
        <v>113600016</v>
      </c>
      <c r="F19" s="28" t="s">
        <v>152</v>
      </c>
      <c r="G19" s="29" t="s">
        <v>153</v>
      </c>
      <c r="H19" s="30">
        <v>412828</v>
      </c>
      <c r="I19" s="26" t="s">
        <v>79</v>
      </c>
      <c r="J19" s="29" t="s">
        <v>80</v>
      </c>
      <c r="K19" s="31">
        <v>45421</v>
      </c>
      <c r="L19" s="32" t="s">
        <v>145</v>
      </c>
      <c r="M19" s="32" t="s">
        <v>146</v>
      </c>
      <c r="N19" s="29">
        <v>998284819</v>
      </c>
      <c r="O19" s="33">
        <v>15</v>
      </c>
      <c r="P19" s="26" t="s">
        <v>22</v>
      </c>
      <c r="Q19" s="26" t="s">
        <v>79</v>
      </c>
      <c r="R19" s="34"/>
      <c r="S19" s="26" t="s">
        <v>142</v>
      </c>
      <c r="T19" s="73">
        <v>101100337</v>
      </c>
      <c r="U19" s="159" t="s">
        <v>147</v>
      </c>
      <c r="V19" s="160"/>
    </row>
    <row r="20" spans="1:22" s="75" customFormat="1" ht="33" customHeight="1">
      <c r="A20" s="24">
        <v>15</v>
      </c>
      <c r="B20" s="25">
        <v>45414</v>
      </c>
      <c r="C20" s="26" t="s">
        <v>154</v>
      </c>
      <c r="D20" s="26" t="s">
        <v>155</v>
      </c>
      <c r="E20" s="27">
        <v>112580027</v>
      </c>
      <c r="F20" s="28" t="s">
        <v>93</v>
      </c>
      <c r="G20" s="29" t="s">
        <v>161</v>
      </c>
      <c r="H20" s="30" t="s">
        <v>42</v>
      </c>
      <c r="I20" s="26" t="s">
        <v>79</v>
      </c>
      <c r="J20" s="29" t="s">
        <v>80</v>
      </c>
      <c r="K20" s="31">
        <v>45422</v>
      </c>
      <c r="L20" s="32" t="s">
        <v>158</v>
      </c>
      <c r="M20" s="32" t="s">
        <v>81</v>
      </c>
      <c r="N20" s="29">
        <v>998866679</v>
      </c>
      <c r="O20" s="33">
        <v>20</v>
      </c>
      <c r="P20" s="26" t="s">
        <v>22</v>
      </c>
      <c r="Q20" s="26" t="s">
        <v>79</v>
      </c>
      <c r="R20" s="34"/>
      <c r="S20" s="26" t="s">
        <v>155</v>
      </c>
      <c r="T20" s="73">
        <v>300166014</v>
      </c>
      <c r="U20" s="159" t="s">
        <v>157</v>
      </c>
      <c r="V20" s="160"/>
    </row>
    <row r="21" spans="1:22" s="75" customFormat="1" ht="33" customHeight="1">
      <c r="A21" s="24">
        <v>16</v>
      </c>
      <c r="B21" s="25">
        <v>45414</v>
      </c>
      <c r="C21" s="26" t="s">
        <v>154</v>
      </c>
      <c r="D21" s="26" t="s">
        <v>159</v>
      </c>
      <c r="E21" s="27">
        <v>41560061</v>
      </c>
      <c r="F21" s="28" t="s">
        <v>160</v>
      </c>
      <c r="G21" s="29" t="s">
        <v>156</v>
      </c>
      <c r="H21" s="30" t="s">
        <v>42</v>
      </c>
      <c r="I21" s="26" t="s">
        <v>79</v>
      </c>
      <c r="J21" s="29" t="s">
        <v>80</v>
      </c>
      <c r="K21" s="31">
        <v>45422</v>
      </c>
      <c r="L21" s="32" t="s">
        <v>158</v>
      </c>
      <c r="M21" s="32" t="s">
        <v>81</v>
      </c>
      <c r="N21" s="29">
        <v>998866679</v>
      </c>
      <c r="O21" s="33">
        <v>20</v>
      </c>
      <c r="P21" s="26" t="s">
        <v>22</v>
      </c>
      <c r="Q21" s="26" t="s">
        <v>79</v>
      </c>
      <c r="R21" s="34"/>
      <c r="S21" s="26" t="s">
        <v>155</v>
      </c>
      <c r="T21" s="73">
        <v>300166014</v>
      </c>
      <c r="U21" s="159" t="s">
        <v>157</v>
      </c>
      <c r="V21" s="160"/>
    </row>
    <row r="22" spans="1:22" s="212" customFormat="1" ht="33" customHeight="1">
      <c r="A22" s="199">
        <v>17</v>
      </c>
      <c r="B22" s="200">
        <v>45426</v>
      </c>
      <c r="C22" s="201" t="s">
        <v>84</v>
      </c>
      <c r="D22" s="201" t="s">
        <v>284</v>
      </c>
      <c r="E22" s="202">
        <v>40461507</v>
      </c>
      <c r="F22" s="201" t="s">
        <v>222</v>
      </c>
      <c r="G22" s="203" t="s">
        <v>293</v>
      </c>
      <c r="H22" s="204" t="s">
        <v>42</v>
      </c>
      <c r="I22" s="201" t="s">
        <v>79</v>
      </c>
      <c r="J22" s="203" t="s">
        <v>80</v>
      </c>
      <c r="K22" s="205">
        <v>45426</v>
      </c>
      <c r="L22" s="206" t="s">
        <v>289</v>
      </c>
      <c r="M22" s="206" t="s">
        <v>290</v>
      </c>
      <c r="N22" s="203">
        <v>987230515</v>
      </c>
      <c r="O22" s="207">
        <v>15</v>
      </c>
      <c r="P22" s="201" t="s">
        <v>22</v>
      </c>
      <c r="Q22" s="201" t="s">
        <v>79</v>
      </c>
      <c r="R22" s="208"/>
      <c r="S22" s="201" t="s">
        <v>284</v>
      </c>
      <c r="T22" s="209">
        <v>102140936</v>
      </c>
      <c r="U22" s="210" t="s">
        <v>291</v>
      </c>
      <c r="V22" s="211"/>
    </row>
    <row r="23" spans="1:22" s="212" customFormat="1" ht="33" customHeight="1">
      <c r="A23" s="199">
        <v>18</v>
      </c>
      <c r="B23" s="200">
        <v>45418</v>
      </c>
      <c r="C23" s="201" t="s">
        <v>84</v>
      </c>
      <c r="D23" s="201" t="s">
        <v>292</v>
      </c>
      <c r="E23" s="202">
        <v>112520025</v>
      </c>
      <c r="F23" s="201" t="s">
        <v>285</v>
      </c>
      <c r="G23" s="203" t="s">
        <v>288</v>
      </c>
      <c r="H23" s="204" t="s">
        <v>42</v>
      </c>
      <c r="I23" s="201" t="s">
        <v>79</v>
      </c>
      <c r="J23" s="203" t="s">
        <v>80</v>
      </c>
      <c r="K23" s="205">
        <v>45426</v>
      </c>
      <c r="L23" s="206" t="s">
        <v>289</v>
      </c>
      <c r="M23" s="206" t="s">
        <v>290</v>
      </c>
      <c r="N23" s="203">
        <v>987230515</v>
      </c>
      <c r="O23" s="207">
        <v>15</v>
      </c>
      <c r="P23" s="201" t="s">
        <v>22</v>
      </c>
      <c r="Q23" s="201" t="s">
        <v>79</v>
      </c>
      <c r="R23" s="208"/>
      <c r="S23" s="201" t="s">
        <v>292</v>
      </c>
      <c r="T23" s="209">
        <v>102140936</v>
      </c>
      <c r="U23" s="210" t="s">
        <v>291</v>
      </c>
      <c r="V23" s="211"/>
    </row>
    <row r="24" spans="1:22" s="212" customFormat="1" ht="33" customHeight="1">
      <c r="A24" s="199">
        <v>19</v>
      </c>
      <c r="B24" s="213">
        <v>45418</v>
      </c>
      <c r="C24" s="214" t="s">
        <v>84</v>
      </c>
      <c r="D24" s="214" t="s">
        <v>292</v>
      </c>
      <c r="E24" s="215">
        <v>1101010041</v>
      </c>
      <c r="F24" s="214" t="s">
        <v>286</v>
      </c>
      <c r="G24" s="216" t="s">
        <v>287</v>
      </c>
      <c r="H24" s="217" t="s">
        <v>42</v>
      </c>
      <c r="I24" s="214" t="s">
        <v>79</v>
      </c>
      <c r="J24" s="216" t="s">
        <v>80</v>
      </c>
      <c r="K24" s="218">
        <v>45426</v>
      </c>
      <c r="L24" s="219" t="s">
        <v>289</v>
      </c>
      <c r="M24" s="219" t="s">
        <v>290</v>
      </c>
      <c r="N24" s="216">
        <v>987230515</v>
      </c>
      <c r="O24" s="220">
        <v>15</v>
      </c>
      <c r="P24" s="214" t="s">
        <v>22</v>
      </c>
      <c r="Q24" s="214" t="s">
        <v>79</v>
      </c>
      <c r="R24" s="221"/>
      <c r="S24" s="214" t="s">
        <v>292</v>
      </c>
      <c r="T24" s="222">
        <v>102140936</v>
      </c>
      <c r="U24" s="223" t="s">
        <v>291</v>
      </c>
      <c r="V24" s="211"/>
    </row>
    <row r="25" spans="1:22" s="212" customFormat="1" ht="33" customHeight="1">
      <c r="A25" s="199">
        <v>20</v>
      </c>
      <c r="B25" s="213">
        <v>45422</v>
      </c>
      <c r="C25" s="214" t="s">
        <v>83</v>
      </c>
      <c r="D25" s="214" t="s">
        <v>331</v>
      </c>
      <c r="E25" s="215">
        <v>40466241</v>
      </c>
      <c r="F25" s="214" t="s">
        <v>332</v>
      </c>
      <c r="G25" s="216" t="s">
        <v>333</v>
      </c>
      <c r="H25" s="217">
        <v>420278</v>
      </c>
      <c r="I25" s="214" t="s">
        <v>79</v>
      </c>
      <c r="J25" s="216" t="s">
        <v>80</v>
      </c>
      <c r="K25" s="218">
        <v>45427</v>
      </c>
      <c r="L25" s="219" t="s">
        <v>335</v>
      </c>
      <c r="M25" s="219" t="s">
        <v>336</v>
      </c>
      <c r="N25" s="216">
        <v>4167447418</v>
      </c>
      <c r="O25" s="220">
        <v>20</v>
      </c>
      <c r="P25" s="214" t="s">
        <v>22</v>
      </c>
      <c r="Q25" s="214" t="s">
        <v>79</v>
      </c>
      <c r="R25" s="221"/>
      <c r="S25" s="214" t="s">
        <v>331</v>
      </c>
      <c r="T25" s="222">
        <v>100331586</v>
      </c>
      <c r="U25" s="223" t="s">
        <v>337</v>
      </c>
      <c r="V25" s="211"/>
    </row>
    <row r="26" spans="1:22" s="212" customFormat="1" ht="33" customHeight="1">
      <c r="A26" s="199">
        <v>21</v>
      </c>
      <c r="B26" s="213">
        <v>45422</v>
      </c>
      <c r="C26" s="214" t="s">
        <v>83</v>
      </c>
      <c r="D26" s="214" t="s">
        <v>331</v>
      </c>
      <c r="E26" s="215">
        <v>40466241</v>
      </c>
      <c r="F26" s="214" t="s">
        <v>332</v>
      </c>
      <c r="G26" s="216" t="s">
        <v>334</v>
      </c>
      <c r="H26" s="217">
        <v>420279</v>
      </c>
      <c r="I26" s="214" t="s">
        <v>79</v>
      </c>
      <c r="J26" s="216" t="s">
        <v>80</v>
      </c>
      <c r="K26" s="218">
        <v>45427</v>
      </c>
      <c r="L26" s="219" t="s">
        <v>335</v>
      </c>
      <c r="M26" s="219" t="s">
        <v>336</v>
      </c>
      <c r="N26" s="216">
        <v>4167447418</v>
      </c>
      <c r="O26" s="220">
        <v>20</v>
      </c>
      <c r="P26" s="214" t="s">
        <v>22</v>
      </c>
      <c r="Q26" s="214" t="s">
        <v>79</v>
      </c>
      <c r="R26" s="221"/>
      <c r="S26" s="214" t="s">
        <v>331</v>
      </c>
      <c r="T26" s="222">
        <v>100331586</v>
      </c>
      <c r="U26" s="223" t="s">
        <v>337</v>
      </c>
      <c r="V26" s="211"/>
    </row>
    <row r="27" spans="1:22" s="212" customFormat="1" ht="33" customHeight="1">
      <c r="A27" s="199">
        <v>22</v>
      </c>
      <c r="B27" s="213">
        <v>45402</v>
      </c>
      <c r="C27" s="214" t="s">
        <v>84</v>
      </c>
      <c r="D27" s="214" t="s">
        <v>338</v>
      </c>
      <c r="E27" s="215">
        <v>112610068</v>
      </c>
      <c r="F27" s="214" t="s">
        <v>339</v>
      </c>
      <c r="G27" s="216" t="s">
        <v>340</v>
      </c>
      <c r="H27" s="217" t="s">
        <v>42</v>
      </c>
      <c r="I27" s="214" t="s">
        <v>79</v>
      </c>
      <c r="J27" s="216" t="s">
        <v>80</v>
      </c>
      <c r="K27" s="218">
        <v>45427</v>
      </c>
      <c r="L27" s="219" t="s">
        <v>341</v>
      </c>
      <c r="M27" s="219" t="s">
        <v>342</v>
      </c>
      <c r="N27" s="216">
        <v>985220366</v>
      </c>
      <c r="O27" s="220">
        <v>20</v>
      </c>
      <c r="P27" s="214" t="s">
        <v>22</v>
      </c>
      <c r="Q27" s="214" t="s">
        <v>79</v>
      </c>
      <c r="R27" s="221"/>
      <c r="S27" s="214" t="s">
        <v>338</v>
      </c>
      <c r="T27" s="222">
        <v>102496908</v>
      </c>
      <c r="U27" s="223" t="s">
        <v>343</v>
      </c>
      <c r="V27" s="211"/>
    </row>
    <row r="28" spans="1:22" s="212" customFormat="1" ht="33" customHeight="1">
      <c r="A28" s="199">
        <v>23</v>
      </c>
      <c r="B28" s="213">
        <v>45402</v>
      </c>
      <c r="C28" s="214" t="s">
        <v>84</v>
      </c>
      <c r="D28" s="214" t="s">
        <v>338</v>
      </c>
      <c r="E28" s="215">
        <v>40590835</v>
      </c>
      <c r="F28" s="214" t="s">
        <v>344</v>
      </c>
      <c r="G28" s="216" t="s">
        <v>345</v>
      </c>
      <c r="H28" s="217" t="s">
        <v>42</v>
      </c>
      <c r="I28" s="214" t="s">
        <v>79</v>
      </c>
      <c r="J28" s="216" t="s">
        <v>80</v>
      </c>
      <c r="K28" s="218">
        <v>45427</v>
      </c>
      <c r="L28" s="219" t="s">
        <v>341</v>
      </c>
      <c r="M28" s="219" t="s">
        <v>342</v>
      </c>
      <c r="N28" s="216">
        <v>985220366</v>
      </c>
      <c r="O28" s="220">
        <v>20</v>
      </c>
      <c r="P28" s="214" t="s">
        <v>22</v>
      </c>
      <c r="Q28" s="214" t="s">
        <v>79</v>
      </c>
      <c r="R28" s="221"/>
      <c r="S28" s="214" t="s">
        <v>338</v>
      </c>
      <c r="T28" s="222">
        <v>102496908</v>
      </c>
      <c r="U28" s="223" t="s">
        <v>343</v>
      </c>
      <c r="V28" s="211"/>
    </row>
    <row r="29" spans="1:22" s="212" customFormat="1" ht="33" customHeight="1">
      <c r="A29" s="199">
        <v>24</v>
      </c>
      <c r="B29" s="213">
        <v>45412</v>
      </c>
      <c r="C29" s="214" t="s">
        <v>275</v>
      </c>
      <c r="D29" s="214" t="s">
        <v>348</v>
      </c>
      <c r="E29" s="215">
        <v>112570093</v>
      </c>
      <c r="F29" s="214" t="s">
        <v>349</v>
      </c>
      <c r="G29" s="216" t="s">
        <v>350</v>
      </c>
      <c r="H29" s="217">
        <v>410396</v>
      </c>
      <c r="I29" s="214" t="s">
        <v>79</v>
      </c>
      <c r="J29" s="216" t="s">
        <v>80</v>
      </c>
      <c r="K29" s="218">
        <v>45428</v>
      </c>
      <c r="L29" s="219" t="s">
        <v>351</v>
      </c>
      <c r="M29" s="219" t="s">
        <v>352</v>
      </c>
      <c r="N29" s="216">
        <v>997824743</v>
      </c>
      <c r="O29" s="220">
        <v>15</v>
      </c>
      <c r="P29" s="214" t="s">
        <v>22</v>
      </c>
      <c r="Q29" s="214" t="s">
        <v>79</v>
      </c>
      <c r="R29" s="221"/>
      <c r="S29" s="214" t="s">
        <v>348</v>
      </c>
      <c r="T29" s="222">
        <v>105160501</v>
      </c>
      <c r="U29" s="223" t="s">
        <v>353</v>
      </c>
      <c r="V29" s="211"/>
    </row>
    <row r="30" spans="1:22" s="212" customFormat="1" ht="33" customHeight="1">
      <c r="A30" s="199">
        <v>25</v>
      </c>
      <c r="B30" s="213">
        <v>45412</v>
      </c>
      <c r="C30" s="214" t="s">
        <v>275</v>
      </c>
      <c r="D30" s="214" t="s">
        <v>348</v>
      </c>
      <c r="E30" s="215">
        <v>111000051</v>
      </c>
      <c r="F30" s="214" t="s">
        <v>102</v>
      </c>
      <c r="G30" s="216" t="s">
        <v>354</v>
      </c>
      <c r="H30" s="217">
        <v>410391</v>
      </c>
      <c r="I30" s="214" t="s">
        <v>79</v>
      </c>
      <c r="J30" s="216" t="s">
        <v>80</v>
      </c>
      <c r="K30" s="218">
        <v>45428</v>
      </c>
      <c r="L30" s="219" t="s">
        <v>351</v>
      </c>
      <c r="M30" s="219" t="s">
        <v>352</v>
      </c>
      <c r="N30" s="216">
        <v>997824743</v>
      </c>
      <c r="O30" s="220">
        <v>15</v>
      </c>
      <c r="P30" s="214" t="s">
        <v>22</v>
      </c>
      <c r="Q30" s="214" t="s">
        <v>79</v>
      </c>
      <c r="R30" s="221"/>
      <c r="S30" s="214" t="s">
        <v>348</v>
      </c>
      <c r="T30" s="222">
        <v>105160501</v>
      </c>
      <c r="U30" s="223" t="s">
        <v>353</v>
      </c>
      <c r="V30" s="211"/>
    </row>
    <row r="31" spans="1:22" s="212" customFormat="1" ht="33" customHeight="1">
      <c r="A31" s="199">
        <v>26</v>
      </c>
      <c r="B31" s="213">
        <v>45412</v>
      </c>
      <c r="C31" s="214" t="s">
        <v>275</v>
      </c>
      <c r="D31" s="214" t="s">
        <v>348</v>
      </c>
      <c r="E31" s="215">
        <v>40466241</v>
      </c>
      <c r="F31" s="214" t="s">
        <v>295</v>
      </c>
      <c r="G31" s="216" t="s">
        <v>355</v>
      </c>
      <c r="H31" s="217">
        <v>408055</v>
      </c>
      <c r="I31" s="214" t="s">
        <v>79</v>
      </c>
      <c r="J31" s="216" t="s">
        <v>80</v>
      </c>
      <c r="K31" s="218">
        <v>45428</v>
      </c>
      <c r="L31" s="219" t="s">
        <v>351</v>
      </c>
      <c r="M31" s="219" t="s">
        <v>352</v>
      </c>
      <c r="N31" s="216">
        <v>997824743</v>
      </c>
      <c r="O31" s="220">
        <v>15</v>
      </c>
      <c r="P31" s="214" t="s">
        <v>22</v>
      </c>
      <c r="Q31" s="214" t="s">
        <v>79</v>
      </c>
      <c r="R31" s="221"/>
      <c r="S31" s="214" t="s">
        <v>348</v>
      </c>
      <c r="T31" s="222">
        <v>105160501</v>
      </c>
      <c r="U31" s="223" t="s">
        <v>353</v>
      </c>
      <c r="V31" s="211"/>
    </row>
    <row r="32" spans="1:22" s="212" customFormat="1" ht="33" customHeight="1">
      <c r="A32" s="199">
        <v>27</v>
      </c>
      <c r="B32" s="213">
        <v>45360</v>
      </c>
      <c r="C32" s="214" t="s">
        <v>100</v>
      </c>
      <c r="D32" s="214" t="s">
        <v>356</v>
      </c>
      <c r="E32" s="215">
        <v>111030002</v>
      </c>
      <c r="F32" s="214" t="s">
        <v>357</v>
      </c>
      <c r="G32" s="216" t="s">
        <v>358</v>
      </c>
      <c r="H32" s="217" t="s">
        <v>42</v>
      </c>
      <c r="I32" s="214" t="s">
        <v>79</v>
      </c>
      <c r="J32" s="216" t="s">
        <v>80</v>
      </c>
      <c r="K32" s="218">
        <v>45428</v>
      </c>
      <c r="L32" s="219" t="s">
        <v>359</v>
      </c>
      <c r="M32" s="219" t="s">
        <v>360</v>
      </c>
      <c r="N32" s="216">
        <v>958835967</v>
      </c>
      <c r="O32" s="220">
        <v>15</v>
      </c>
      <c r="P32" s="214" t="s">
        <v>22</v>
      </c>
      <c r="Q32" s="214" t="s">
        <v>79</v>
      </c>
      <c r="R32" s="221"/>
      <c r="S32" s="214" t="s">
        <v>356</v>
      </c>
      <c r="T32" s="222">
        <v>104077912001</v>
      </c>
      <c r="U32" s="223" t="s">
        <v>361</v>
      </c>
      <c r="V32" s="211"/>
    </row>
    <row r="33" spans="1:22" s="212" customFormat="1" ht="33" customHeight="1">
      <c r="A33" s="199">
        <v>28</v>
      </c>
      <c r="B33" s="213">
        <v>45360</v>
      </c>
      <c r="C33" s="214" t="s">
        <v>100</v>
      </c>
      <c r="D33" s="214" t="s">
        <v>356</v>
      </c>
      <c r="E33" s="215">
        <v>112580027</v>
      </c>
      <c r="F33" s="214" t="s">
        <v>93</v>
      </c>
      <c r="G33" s="216" t="s">
        <v>362</v>
      </c>
      <c r="H33" s="217" t="s">
        <v>42</v>
      </c>
      <c r="I33" s="214" t="s">
        <v>79</v>
      </c>
      <c r="J33" s="216" t="s">
        <v>80</v>
      </c>
      <c r="K33" s="218">
        <v>45428</v>
      </c>
      <c r="L33" s="219" t="s">
        <v>359</v>
      </c>
      <c r="M33" s="219" t="s">
        <v>360</v>
      </c>
      <c r="N33" s="216">
        <v>958835967</v>
      </c>
      <c r="O33" s="220">
        <v>15</v>
      </c>
      <c r="P33" s="214" t="s">
        <v>22</v>
      </c>
      <c r="Q33" s="214" t="s">
        <v>79</v>
      </c>
      <c r="R33" s="221"/>
      <c r="S33" s="214" t="s">
        <v>356</v>
      </c>
      <c r="T33" s="222">
        <v>104077912001</v>
      </c>
      <c r="U33" s="223" t="s">
        <v>361</v>
      </c>
      <c r="V33" s="211"/>
    </row>
    <row r="34" spans="1:22" s="212" customFormat="1" ht="33" customHeight="1">
      <c r="A34" s="199">
        <v>29</v>
      </c>
      <c r="B34" s="213">
        <v>45360</v>
      </c>
      <c r="C34" s="214" t="s">
        <v>100</v>
      </c>
      <c r="D34" s="214" t="s">
        <v>356</v>
      </c>
      <c r="E34" s="215">
        <v>40461507</v>
      </c>
      <c r="F34" s="214" t="s">
        <v>363</v>
      </c>
      <c r="G34" s="216" t="s">
        <v>364</v>
      </c>
      <c r="H34" s="217" t="s">
        <v>42</v>
      </c>
      <c r="I34" s="214" t="s">
        <v>79</v>
      </c>
      <c r="J34" s="216" t="s">
        <v>80</v>
      </c>
      <c r="K34" s="218">
        <v>45428</v>
      </c>
      <c r="L34" s="219" t="s">
        <v>359</v>
      </c>
      <c r="M34" s="219" t="s">
        <v>360</v>
      </c>
      <c r="N34" s="216">
        <v>958835967</v>
      </c>
      <c r="O34" s="220">
        <v>15</v>
      </c>
      <c r="P34" s="214" t="s">
        <v>22</v>
      </c>
      <c r="Q34" s="214" t="s">
        <v>79</v>
      </c>
      <c r="R34" s="221"/>
      <c r="S34" s="214" t="s">
        <v>356</v>
      </c>
      <c r="T34" s="222">
        <v>104077912001</v>
      </c>
      <c r="U34" s="223" t="s">
        <v>361</v>
      </c>
      <c r="V34" s="211"/>
    </row>
    <row r="35" spans="1:22" s="212" customFormat="1" ht="33" customHeight="1">
      <c r="A35" s="199">
        <v>30</v>
      </c>
      <c r="B35" s="213">
        <v>45360</v>
      </c>
      <c r="C35" s="214" t="s">
        <v>100</v>
      </c>
      <c r="D35" s="214" t="s">
        <v>356</v>
      </c>
      <c r="E35" s="215">
        <v>113430016</v>
      </c>
      <c r="F35" s="214" t="s">
        <v>365</v>
      </c>
      <c r="G35" s="216" t="s">
        <v>366</v>
      </c>
      <c r="H35" s="217" t="s">
        <v>42</v>
      </c>
      <c r="I35" s="214" t="s">
        <v>79</v>
      </c>
      <c r="J35" s="216" t="s">
        <v>80</v>
      </c>
      <c r="K35" s="218">
        <v>45428</v>
      </c>
      <c r="L35" s="219" t="s">
        <v>359</v>
      </c>
      <c r="M35" s="219" t="s">
        <v>360</v>
      </c>
      <c r="N35" s="216">
        <v>958835967</v>
      </c>
      <c r="O35" s="220">
        <v>15</v>
      </c>
      <c r="P35" s="214" t="s">
        <v>22</v>
      </c>
      <c r="Q35" s="214" t="s">
        <v>79</v>
      </c>
      <c r="R35" s="221"/>
      <c r="S35" s="214" t="s">
        <v>356</v>
      </c>
      <c r="T35" s="222">
        <v>104077912001</v>
      </c>
      <c r="U35" s="223" t="s">
        <v>361</v>
      </c>
      <c r="V35" s="211"/>
    </row>
    <row r="36" spans="1:22" s="212" customFormat="1" ht="33" customHeight="1">
      <c r="A36" s="199">
        <v>31</v>
      </c>
      <c r="B36" s="213">
        <v>45360</v>
      </c>
      <c r="C36" s="214" t="s">
        <v>100</v>
      </c>
      <c r="D36" s="214" t="s">
        <v>356</v>
      </c>
      <c r="E36" s="215">
        <v>114270004</v>
      </c>
      <c r="F36" s="214" t="s">
        <v>367</v>
      </c>
      <c r="G36" s="216" t="s">
        <v>358</v>
      </c>
      <c r="H36" s="217" t="s">
        <v>42</v>
      </c>
      <c r="I36" s="214" t="s">
        <v>79</v>
      </c>
      <c r="J36" s="216" t="s">
        <v>80</v>
      </c>
      <c r="K36" s="218">
        <v>45428</v>
      </c>
      <c r="L36" s="219" t="s">
        <v>359</v>
      </c>
      <c r="M36" s="219" t="s">
        <v>360</v>
      </c>
      <c r="N36" s="216">
        <v>958835967</v>
      </c>
      <c r="O36" s="220">
        <v>15</v>
      </c>
      <c r="P36" s="214" t="s">
        <v>22</v>
      </c>
      <c r="Q36" s="214" t="s">
        <v>79</v>
      </c>
      <c r="R36" s="221"/>
      <c r="S36" s="214" t="s">
        <v>356</v>
      </c>
      <c r="T36" s="222">
        <v>104077912001</v>
      </c>
      <c r="U36" s="223" t="s">
        <v>361</v>
      </c>
      <c r="V36" s="211"/>
    </row>
    <row r="37" spans="1:22" s="212" customFormat="1" ht="33" customHeight="1">
      <c r="A37" s="199">
        <v>32</v>
      </c>
      <c r="B37" s="213">
        <v>45367</v>
      </c>
      <c r="C37" s="214" t="s">
        <v>100</v>
      </c>
      <c r="D37" s="214" t="s">
        <v>376</v>
      </c>
      <c r="E37" s="215">
        <v>40466111</v>
      </c>
      <c r="F37" s="214" t="s">
        <v>368</v>
      </c>
      <c r="G37" s="216" t="s">
        <v>369</v>
      </c>
      <c r="H37" s="217" t="s">
        <v>42</v>
      </c>
      <c r="I37" s="214" t="s">
        <v>79</v>
      </c>
      <c r="J37" s="216" t="s">
        <v>80</v>
      </c>
      <c r="K37" s="218">
        <v>45428</v>
      </c>
      <c r="L37" s="219" t="s">
        <v>370</v>
      </c>
      <c r="M37" s="219" t="s">
        <v>378</v>
      </c>
      <c r="N37" s="216">
        <v>996088758</v>
      </c>
      <c r="O37" s="220">
        <v>15</v>
      </c>
      <c r="P37" s="214" t="s">
        <v>22</v>
      </c>
      <c r="Q37" s="214" t="s">
        <v>79</v>
      </c>
      <c r="R37" s="221"/>
      <c r="S37" s="214" t="s">
        <v>376</v>
      </c>
      <c r="T37" s="222">
        <v>701984387</v>
      </c>
      <c r="U37" s="223" t="s">
        <v>371</v>
      </c>
      <c r="V37" s="211"/>
    </row>
    <row r="38" spans="1:22" s="212" customFormat="1" ht="33" customHeight="1">
      <c r="A38" s="199">
        <v>33</v>
      </c>
      <c r="B38" s="213">
        <v>45361</v>
      </c>
      <c r="C38" s="214" t="s">
        <v>100</v>
      </c>
      <c r="D38" s="214" t="s">
        <v>375</v>
      </c>
      <c r="E38" s="215">
        <v>112580058</v>
      </c>
      <c r="F38" s="214" t="s">
        <v>372</v>
      </c>
      <c r="G38" s="216" t="s">
        <v>374</v>
      </c>
      <c r="H38" s="217" t="s">
        <v>42</v>
      </c>
      <c r="I38" s="214" t="s">
        <v>79</v>
      </c>
      <c r="J38" s="216" t="s">
        <v>80</v>
      </c>
      <c r="K38" s="218">
        <v>45428</v>
      </c>
      <c r="L38" s="219" t="s">
        <v>370</v>
      </c>
      <c r="M38" s="219" t="s">
        <v>378</v>
      </c>
      <c r="N38" s="216">
        <v>996088758</v>
      </c>
      <c r="O38" s="220">
        <v>15</v>
      </c>
      <c r="P38" s="214" t="s">
        <v>22</v>
      </c>
      <c r="Q38" s="214" t="s">
        <v>79</v>
      </c>
      <c r="R38" s="221"/>
      <c r="S38" s="214" t="s">
        <v>375</v>
      </c>
      <c r="T38" s="222">
        <v>701984387</v>
      </c>
      <c r="U38" s="223" t="s">
        <v>371</v>
      </c>
      <c r="V38" s="211"/>
    </row>
    <row r="39" spans="1:22" s="212" customFormat="1" ht="33" customHeight="1">
      <c r="A39" s="199">
        <v>34</v>
      </c>
      <c r="B39" s="200">
        <v>45400</v>
      </c>
      <c r="C39" s="201" t="s">
        <v>100</v>
      </c>
      <c r="D39" s="201" t="s">
        <v>379</v>
      </c>
      <c r="E39" s="202">
        <v>111030002</v>
      </c>
      <c r="F39" s="201" t="s">
        <v>357</v>
      </c>
      <c r="G39" s="203" t="s">
        <v>373</v>
      </c>
      <c r="H39" s="204" t="s">
        <v>42</v>
      </c>
      <c r="I39" s="201" t="s">
        <v>79</v>
      </c>
      <c r="J39" s="203" t="s">
        <v>80</v>
      </c>
      <c r="K39" s="205">
        <v>45428</v>
      </c>
      <c r="L39" s="206" t="s">
        <v>370</v>
      </c>
      <c r="M39" s="219" t="s">
        <v>378</v>
      </c>
      <c r="N39" s="203">
        <v>996088758</v>
      </c>
      <c r="O39" s="207">
        <v>15</v>
      </c>
      <c r="P39" s="201" t="s">
        <v>22</v>
      </c>
      <c r="Q39" s="201" t="s">
        <v>79</v>
      </c>
      <c r="R39" s="208"/>
      <c r="S39" s="201" t="s">
        <v>379</v>
      </c>
      <c r="T39" s="222">
        <v>701984387</v>
      </c>
      <c r="U39" s="210" t="s">
        <v>371</v>
      </c>
      <c r="V39" s="211"/>
    </row>
    <row r="40" spans="1:22" s="212" customFormat="1" ht="33" customHeight="1">
      <c r="A40" s="199">
        <v>35</v>
      </c>
      <c r="B40" s="213">
        <v>45399</v>
      </c>
      <c r="C40" s="214" t="s">
        <v>100</v>
      </c>
      <c r="D40" s="214" t="s">
        <v>380</v>
      </c>
      <c r="E40" s="215">
        <v>112580058</v>
      </c>
      <c r="F40" s="214" t="s">
        <v>372</v>
      </c>
      <c r="G40" s="216" t="s">
        <v>381</v>
      </c>
      <c r="H40" s="217">
        <v>418983</v>
      </c>
      <c r="I40" s="201" t="s">
        <v>79</v>
      </c>
      <c r="J40" s="203" t="s">
        <v>80</v>
      </c>
      <c r="K40" s="218">
        <v>45430</v>
      </c>
      <c r="L40" s="219" t="s">
        <v>383</v>
      </c>
      <c r="M40" s="219" t="s">
        <v>384</v>
      </c>
      <c r="N40" s="216">
        <v>960498249</v>
      </c>
      <c r="O40" s="220">
        <v>20</v>
      </c>
      <c r="P40" s="214" t="s">
        <v>22</v>
      </c>
      <c r="Q40" s="214" t="s">
        <v>79</v>
      </c>
      <c r="R40" s="221"/>
      <c r="S40" s="214" t="s">
        <v>385</v>
      </c>
      <c r="T40" s="222">
        <v>102018181</v>
      </c>
      <c r="U40" s="223" t="s">
        <v>386</v>
      </c>
      <c r="V40" s="211"/>
    </row>
    <row r="41" spans="1:22" s="212" customFormat="1" ht="33" customHeight="1">
      <c r="A41" s="199">
        <v>36</v>
      </c>
      <c r="B41" s="213">
        <v>45399</v>
      </c>
      <c r="C41" s="214" t="s">
        <v>100</v>
      </c>
      <c r="D41" s="214" t="s">
        <v>380</v>
      </c>
      <c r="E41" s="215">
        <v>40466111</v>
      </c>
      <c r="F41" s="214" t="s">
        <v>317</v>
      </c>
      <c r="G41" s="216" t="s">
        <v>382</v>
      </c>
      <c r="H41" s="217">
        <v>417507</v>
      </c>
      <c r="I41" s="201" t="s">
        <v>79</v>
      </c>
      <c r="J41" s="203" t="s">
        <v>80</v>
      </c>
      <c r="K41" s="218">
        <v>45430</v>
      </c>
      <c r="L41" s="219" t="s">
        <v>383</v>
      </c>
      <c r="M41" s="219" t="s">
        <v>384</v>
      </c>
      <c r="N41" s="216">
        <v>960498249</v>
      </c>
      <c r="O41" s="220">
        <v>20</v>
      </c>
      <c r="P41" s="214" t="s">
        <v>22</v>
      </c>
      <c r="Q41" s="214" t="s">
        <v>79</v>
      </c>
      <c r="R41" s="221"/>
      <c r="S41" s="214" t="s">
        <v>385</v>
      </c>
      <c r="T41" s="222">
        <v>102018181</v>
      </c>
      <c r="U41" s="223" t="s">
        <v>386</v>
      </c>
      <c r="V41" s="211"/>
    </row>
    <row r="42" spans="1:22" s="212" customFormat="1" ht="33" customHeight="1">
      <c r="A42" s="199">
        <v>37</v>
      </c>
      <c r="B42" s="213">
        <v>45254</v>
      </c>
      <c r="C42" s="214" t="s">
        <v>100</v>
      </c>
      <c r="D42" s="214" t="s">
        <v>421</v>
      </c>
      <c r="E42" s="215">
        <v>112500046</v>
      </c>
      <c r="F42" s="214" t="s">
        <v>422</v>
      </c>
      <c r="G42" s="216" t="s">
        <v>424</v>
      </c>
      <c r="H42" s="217">
        <v>409705</v>
      </c>
      <c r="I42" s="201" t="s">
        <v>79</v>
      </c>
      <c r="J42" s="203" t="s">
        <v>80</v>
      </c>
      <c r="K42" s="218">
        <v>45432</v>
      </c>
      <c r="L42" s="219" t="s">
        <v>428</v>
      </c>
      <c r="M42" s="219" t="s">
        <v>429</v>
      </c>
      <c r="N42" s="216">
        <v>996241898</v>
      </c>
      <c r="O42" s="220">
        <v>15</v>
      </c>
      <c r="P42" s="214" t="s">
        <v>22</v>
      </c>
      <c r="Q42" s="214" t="s">
        <v>79</v>
      </c>
      <c r="R42" s="221"/>
      <c r="S42" s="214" t="s">
        <v>421</v>
      </c>
      <c r="T42" s="222">
        <v>104920558</v>
      </c>
      <c r="U42" s="223" t="s">
        <v>430</v>
      </c>
      <c r="V42" s="211"/>
    </row>
    <row r="43" spans="1:22" s="212" customFormat="1" ht="33" customHeight="1">
      <c r="A43" s="199">
        <v>38</v>
      </c>
      <c r="B43" s="213">
        <v>45254</v>
      </c>
      <c r="C43" s="214" t="s">
        <v>100</v>
      </c>
      <c r="D43" s="214" t="s">
        <v>421</v>
      </c>
      <c r="E43" s="215">
        <v>401971155</v>
      </c>
      <c r="F43" s="214" t="s">
        <v>423</v>
      </c>
      <c r="G43" s="216" t="s">
        <v>425</v>
      </c>
      <c r="H43" s="217">
        <v>407329</v>
      </c>
      <c r="I43" s="201" t="s">
        <v>79</v>
      </c>
      <c r="J43" s="203" t="s">
        <v>80</v>
      </c>
      <c r="K43" s="218">
        <v>45432</v>
      </c>
      <c r="L43" s="219" t="s">
        <v>428</v>
      </c>
      <c r="M43" s="219" t="s">
        <v>429</v>
      </c>
      <c r="N43" s="216">
        <v>996241898</v>
      </c>
      <c r="O43" s="220">
        <v>15</v>
      </c>
      <c r="P43" s="214" t="s">
        <v>22</v>
      </c>
      <c r="Q43" s="214" t="s">
        <v>79</v>
      </c>
      <c r="R43" s="221"/>
      <c r="S43" s="214" t="s">
        <v>421</v>
      </c>
      <c r="T43" s="222">
        <v>104920558</v>
      </c>
      <c r="U43" s="223" t="s">
        <v>430</v>
      </c>
      <c r="V43" s="211"/>
    </row>
    <row r="44" spans="1:22" s="212" customFormat="1" ht="33" customHeight="1">
      <c r="A44" s="199">
        <v>40</v>
      </c>
      <c r="B44" s="213">
        <v>45254</v>
      </c>
      <c r="C44" s="214" t="s">
        <v>100</v>
      </c>
      <c r="D44" s="214" t="s">
        <v>421</v>
      </c>
      <c r="E44" s="244">
        <v>40466241</v>
      </c>
      <c r="F44" s="243" t="s">
        <v>332</v>
      </c>
      <c r="G44" s="245" t="s">
        <v>426</v>
      </c>
      <c r="H44" s="246" t="s">
        <v>42</v>
      </c>
      <c r="I44" s="201" t="s">
        <v>79</v>
      </c>
      <c r="J44" s="203" t="s">
        <v>80</v>
      </c>
      <c r="K44" s="218">
        <v>45432</v>
      </c>
      <c r="L44" s="219" t="s">
        <v>428</v>
      </c>
      <c r="M44" s="219" t="s">
        <v>429</v>
      </c>
      <c r="N44" s="216">
        <v>996241898</v>
      </c>
      <c r="O44" s="220">
        <v>15</v>
      </c>
      <c r="P44" s="214" t="s">
        <v>22</v>
      </c>
      <c r="Q44" s="214" t="s">
        <v>79</v>
      </c>
      <c r="R44" s="221"/>
      <c r="S44" s="214" t="s">
        <v>421</v>
      </c>
      <c r="T44" s="222">
        <v>104920558</v>
      </c>
      <c r="U44" s="223" t="s">
        <v>430</v>
      </c>
      <c r="V44" s="211"/>
    </row>
    <row r="45" spans="1:22" s="75" customFormat="1" ht="33" customHeight="1">
      <c r="A45" s="199">
        <v>41</v>
      </c>
      <c r="B45" s="213">
        <v>45254</v>
      </c>
      <c r="C45" s="214" t="s">
        <v>100</v>
      </c>
      <c r="D45" s="214" t="s">
        <v>421</v>
      </c>
      <c r="E45" s="244">
        <v>111000051</v>
      </c>
      <c r="F45" s="243" t="s">
        <v>102</v>
      </c>
      <c r="G45" s="245" t="s">
        <v>427</v>
      </c>
      <c r="H45" s="246" t="s">
        <v>42</v>
      </c>
      <c r="I45" s="201" t="s">
        <v>79</v>
      </c>
      <c r="J45" s="203" t="s">
        <v>80</v>
      </c>
      <c r="K45" s="218">
        <v>45432</v>
      </c>
      <c r="L45" s="219" t="s">
        <v>428</v>
      </c>
      <c r="M45" s="219" t="s">
        <v>429</v>
      </c>
      <c r="N45" s="216">
        <v>996241898</v>
      </c>
      <c r="O45" s="220">
        <v>15</v>
      </c>
      <c r="P45" s="214" t="s">
        <v>22</v>
      </c>
      <c r="Q45" s="214" t="s">
        <v>79</v>
      </c>
      <c r="R45" s="221"/>
      <c r="S45" s="214" t="s">
        <v>421</v>
      </c>
      <c r="T45" s="222">
        <v>104920558</v>
      </c>
      <c r="U45" s="223" t="s">
        <v>430</v>
      </c>
      <c r="V45" s="160"/>
    </row>
    <row r="46" spans="1:22" s="75" customFormat="1" ht="33" customHeight="1">
      <c r="A46" s="199"/>
      <c r="B46"/>
      <c r="C46"/>
      <c r="D46"/>
      <c r="E46"/>
      <c r="F46"/>
      <c r="G46"/>
      <c r="H46"/>
      <c r="I46"/>
      <c r="J46"/>
      <c r="O46" s="264">
        <f>SUM(O6:O45)</f>
        <v>690</v>
      </c>
      <c r="P46"/>
      <c r="Q46"/>
      <c r="R46"/>
      <c r="S46"/>
      <c r="T46"/>
      <c r="U46"/>
      <c r="V46" s="160"/>
    </row>
    <row r="47" spans="1:22" s="75" customFormat="1" ht="33" customHeight="1">
      <c r="A47" s="199"/>
      <c r="B47"/>
      <c r="C47"/>
      <c r="D47"/>
      <c r="E47"/>
      <c r="F47"/>
      <c r="G47"/>
      <c r="H47"/>
      <c r="I47"/>
      <c r="J47"/>
      <c r="K47" s="75">
        <v>18</v>
      </c>
      <c r="L47" s="75">
        <v>20</v>
      </c>
      <c r="M47" s="75">
        <f>K47*L47</f>
        <v>360</v>
      </c>
      <c r="N47"/>
      <c r="P47"/>
      <c r="Q47"/>
      <c r="R47"/>
      <c r="S47"/>
      <c r="T47"/>
      <c r="U47"/>
      <c r="V47" s="160"/>
    </row>
    <row r="48" spans="1:22" s="75" customFormat="1" ht="33" customHeight="1">
      <c r="A48" s="199"/>
      <c r="B48"/>
      <c r="C48"/>
      <c r="D48"/>
      <c r="E48"/>
      <c r="F48"/>
      <c r="G48"/>
      <c r="H48"/>
      <c r="I48"/>
      <c r="J48"/>
      <c r="K48" s="75">
        <v>22</v>
      </c>
      <c r="L48" s="75">
        <v>15</v>
      </c>
      <c r="M48" s="75">
        <f>K48*L48</f>
        <v>330</v>
      </c>
      <c r="N48"/>
      <c r="O48"/>
      <c r="P48"/>
      <c r="Q48"/>
      <c r="R48"/>
      <c r="S48"/>
      <c r="T48"/>
      <c r="U48"/>
      <c r="V48" s="160"/>
    </row>
    <row r="49" spans="1:22" s="75" customFormat="1" ht="33" customHeight="1">
      <c r="A49"/>
      <c r="B49"/>
      <c r="C49"/>
      <c r="D49"/>
      <c r="E49"/>
      <c r="F49"/>
      <c r="G49"/>
      <c r="H49"/>
      <c r="I49"/>
      <c r="J49"/>
      <c r="M49" s="75">
        <f>SUM(M47:M48)</f>
        <v>690</v>
      </c>
      <c r="N49"/>
      <c r="O49" s="242"/>
      <c r="P49"/>
      <c r="Q49"/>
      <c r="R49"/>
      <c r="S49"/>
      <c r="T49"/>
      <c r="U49"/>
      <c r="V49" s="160"/>
    </row>
    <row r="50" spans="1:22" s="75" customFormat="1" ht="33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60"/>
    </row>
    <row r="51" spans="1:22" s="75" customFormat="1" ht="33" customHeight="1">
      <c r="A51"/>
      <c r="B51"/>
      <c r="C51"/>
      <c r="D51"/>
      <c r="E51"/>
      <c r="F51" t="s">
        <v>377</v>
      </c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60"/>
    </row>
    <row r="52" spans="1:22" s="75" customFormat="1" ht="33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60"/>
    </row>
    <row r="53" spans="1:22" s="75" customFormat="1" ht="33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60"/>
    </row>
    <row r="54" spans="1:22" s="75" customFormat="1" ht="33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60"/>
    </row>
    <row r="55" spans="1:22" s="75" customFormat="1" ht="33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60"/>
    </row>
    <row r="56" spans="1:22" s="75" customFormat="1" ht="33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60"/>
    </row>
    <row r="57" spans="1:22" s="75" customFormat="1" ht="33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60"/>
    </row>
    <row r="58" spans="1:22" s="75" customFormat="1" ht="33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60"/>
    </row>
    <row r="59" spans="1:22" s="75" customFormat="1" ht="33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60"/>
    </row>
    <row r="60" spans="1:22" s="75" customFormat="1" ht="33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60"/>
    </row>
    <row r="61" spans="1:22" s="75" customFormat="1" ht="33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60"/>
    </row>
    <row r="62" spans="1:22" s="75" customFormat="1" ht="33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60"/>
    </row>
    <row r="63" spans="1:22" s="75" customFormat="1" ht="33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60"/>
    </row>
    <row r="64" spans="1:22" s="75" customFormat="1" ht="33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60"/>
    </row>
    <row r="65" spans="1:22" s="75" customFormat="1" ht="33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60"/>
    </row>
    <row r="66" spans="1:22" s="75" customFormat="1" ht="33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60"/>
    </row>
    <row r="67" spans="1:22" s="75" customFormat="1" ht="33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60"/>
    </row>
    <row r="68" spans="1:22" s="75" customFormat="1" ht="33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60"/>
    </row>
    <row r="69" spans="1:22" s="75" customFormat="1" ht="33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60"/>
    </row>
    <row r="70" spans="1:22" s="75" customFormat="1" ht="33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60"/>
    </row>
    <row r="71" spans="1:22" s="75" customFormat="1" ht="33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60"/>
    </row>
    <row r="72" spans="1:22" s="75" customFormat="1" ht="33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60"/>
    </row>
    <row r="73" spans="1:22" s="75" customFormat="1" ht="33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60"/>
    </row>
    <row r="74" spans="1:22" s="75" customFormat="1" ht="33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60"/>
    </row>
    <row r="75" spans="1:22" s="75" customFormat="1" ht="33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60"/>
    </row>
    <row r="76" spans="1:22" s="75" customFormat="1" ht="33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60"/>
    </row>
    <row r="77" spans="1:22" s="75" customFormat="1" ht="33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60"/>
    </row>
    <row r="78" spans="1:22" s="75" customFormat="1" ht="33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60"/>
    </row>
    <row r="79" spans="1:22" s="75" customFormat="1" ht="33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60"/>
    </row>
    <row r="80" spans="1:22" s="75" customFormat="1" ht="33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60"/>
    </row>
    <row r="81" spans="1:22" s="75" customFormat="1" ht="33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60"/>
    </row>
    <row r="82" spans="1:22" s="75" customFormat="1" ht="33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60"/>
    </row>
    <row r="83" spans="1:22" s="75" customFormat="1" ht="33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60"/>
    </row>
    <row r="84" spans="1:22" s="75" customFormat="1" ht="33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60"/>
    </row>
    <row r="85" spans="1:22" s="75" customFormat="1" ht="33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60"/>
    </row>
    <row r="86" spans="1:22" s="75" customFormat="1" ht="33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60"/>
    </row>
    <row r="87" spans="1:22" s="75" customFormat="1" ht="33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60"/>
    </row>
    <row r="88" spans="1:22" s="75" customFormat="1" ht="33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2" s="75" customFormat="1" ht="33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2" s="75" customFormat="1" ht="33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2" s="75" customFormat="1" ht="33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2" s="75" customFormat="1" ht="33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2" s="75" customFormat="1" ht="33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2" ht="32.25" customHeight="1"/>
    <row r="95" spans="1:22" ht="35.25" customHeight="1"/>
    <row r="96" spans="1:22" ht="31.5" customHeight="1"/>
  </sheetData>
  <hyperlinks>
    <hyperlink ref="U6" r:id="rId1" xr:uid="{00000000-0004-0000-0000-000000000000}"/>
    <hyperlink ref="U7" r:id="rId2" xr:uid="{00000000-0004-0000-0000-000001000000}"/>
    <hyperlink ref="U10" r:id="rId3" xr:uid="{00000000-0004-0000-0000-000002000000}"/>
    <hyperlink ref="U11" r:id="rId4" xr:uid="{00000000-0004-0000-0000-000003000000}"/>
    <hyperlink ref="U12" r:id="rId5" xr:uid="{00000000-0004-0000-0000-000004000000}"/>
    <hyperlink ref="U13" r:id="rId6" xr:uid="{00000000-0004-0000-0000-000005000000}"/>
    <hyperlink ref="U14" r:id="rId7" xr:uid="{00000000-0004-0000-0000-000006000000}"/>
    <hyperlink ref="U15" r:id="rId8" xr:uid="{00000000-0004-0000-0000-000007000000}"/>
    <hyperlink ref="U8" r:id="rId9" xr:uid="{00000000-0004-0000-0000-000008000000}"/>
    <hyperlink ref="U9" r:id="rId10" xr:uid="{00000000-0004-0000-0000-000009000000}"/>
    <hyperlink ref="U16" r:id="rId11" xr:uid="{00000000-0004-0000-0000-00000A000000}"/>
    <hyperlink ref="U17" r:id="rId12" xr:uid="{00000000-0004-0000-0000-00000B000000}"/>
    <hyperlink ref="U18" r:id="rId13" xr:uid="{00000000-0004-0000-0000-00000C000000}"/>
    <hyperlink ref="U19" r:id="rId14" xr:uid="{00000000-0004-0000-0000-00000D000000}"/>
    <hyperlink ref="U20" r:id="rId15" xr:uid="{00000000-0004-0000-0000-00000E000000}"/>
    <hyperlink ref="U21" r:id="rId16" xr:uid="{00000000-0004-0000-0000-00000F000000}"/>
    <hyperlink ref="U22" r:id="rId17" xr:uid="{00000000-0004-0000-0000-000010000000}"/>
    <hyperlink ref="U23" r:id="rId18" xr:uid="{00000000-0004-0000-0000-000011000000}"/>
    <hyperlink ref="U24" r:id="rId19" xr:uid="{00000000-0004-0000-0000-000012000000}"/>
    <hyperlink ref="U25" r:id="rId20" xr:uid="{00000000-0004-0000-0000-000013000000}"/>
    <hyperlink ref="U26" r:id="rId21" xr:uid="{00000000-0004-0000-0000-000014000000}"/>
    <hyperlink ref="U27" r:id="rId22" xr:uid="{00000000-0004-0000-0000-000015000000}"/>
    <hyperlink ref="U28" r:id="rId23" xr:uid="{00000000-0004-0000-0000-000016000000}"/>
    <hyperlink ref="U29" r:id="rId24" xr:uid="{00000000-0004-0000-0000-000017000000}"/>
    <hyperlink ref="U30" r:id="rId25" xr:uid="{00000000-0004-0000-0000-000018000000}"/>
    <hyperlink ref="U31" r:id="rId26" xr:uid="{00000000-0004-0000-0000-000019000000}"/>
    <hyperlink ref="U32" r:id="rId27" xr:uid="{00000000-0004-0000-0000-00001A000000}"/>
    <hyperlink ref="U33" r:id="rId28" xr:uid="{00000000-0004-0000-0000-00001B000000}"/>
    <hyperlink ref="U34" r:id="rId29" xr:uid="{00000000-0004-0000-0000-00001C000000}"/>
    <hyperlink ref="U35" r:id="rId30" xr:uid="{00000000-0004-0000-0000-00001D000000}"/>
    <hyperlink ref="U36" r:id="rId31" xr:uid="{00000000-0004-0000-0000-00001E000000}"/>
    <hyperlink ref="U37" r:id="rId32" xr:uid="{00000000-0004-0000-0000-00001F000000}"/>
    <hyperlink ref="U38" r:id="rId33" xr:uid="{00000000-0004-0000-0000-000020000000}"/>
    <hyperlink ref="U39" r:id="rId34" xr:uid="{00000000-0004-0000-0000-000021000000}"/>
    <hyperlink ref="U40" r:id="rId35" xr:uid="{00000000-0004-0000-0000-000022000000}"/>
    <hyperlink ref="U41" r:id="rId36" xr:uid="{00000000-0004-0000-0000-000023000000}"/>
    <hyperlink ref="U42" r:id="rId37" xr:uid="{00000000-0004-0000-0000-000024000000}"/>
    <hyperlink ref="U43" r:id="rId38" xr:uid="{00000000-0004-0000-0000-000025000000}"/>
    <hyperlink ref="U44" r:id="rId39" xr:uid="{00000000-0004-0000-0000-000026000000}"/>
    <hyperlink ref="U45" r:id="rId40" xr:uid="{00000000-0004-0000-0000-000027000000}"/>
  </hyperlinks>
  <pageMargins left="0.7" right="0.7" top="0.75" bottom="0.75" header="0.3" footer="0.3"/>
  <pageSetup paperSize="9" orientation="portrait" horizontalDpi="0" verticalDpi="0" r:id="rId41"/>
  <drawing r:id="rId4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T33"/>
  <sheetViews>
    <sheetView topLeftCell="F16" zoomScale="69" zoomScaleNormal="69" workbookViewId="0">
      <selection activeCell="L46" sqref="L46"/>
    </sheetView>
  </sheetViews>
  <sheetFormatPr baseColWidth="10" defaultRowHeight="15"/>
  <cols>
    <col min="1" max="1" width="11.6640625" bestFit="1" customWidth="1"/>
    <col min="2" max="3" width="13.6640625" bestFit="1" customWidth="1"/>
    <col min="4" max="4" width="11.6640625" bestFit="1" customWidth="1"/>
    <col min="5" max="5" width="17.1640625" customWidth="1"/>
    <col min="6" max="6" width="21" customWidth="1"/>
    <col min="7" max="7" width="12.83203125" bestFit="1" customWidth="1"/>
    <col min="8" max="8" width="28.1640625" customWidth="1"/>
    <col min="9" max="9" width="18.6640625" customWidth="1"/>
    <col min="10" max="10" width="11.6640625" bestFit="1" customWidth="1"/>
    <col min="11" max="11" width="19.6640625" customWidth="1"/>
    <col min="12" max="12" width="21" customWidth="1"/>
    <col min="13" max="13" width="34.1640625" bestFit="1" customWidth="1"/>
    <col min="14" max="14" width="11.6640625" bestFit="1" customWidth="1"/>
    <col min="15" max="15" width="20" bestFit="1" customWidth="1"/>
    <col min="16" max="16" width="17.6640625" customWidth="1"/>
    <col min="17" max="17" width="11.1640625" bestFit="1" customWidth="1"/>
    <col min="18" max="18" width="11.6640625" bestFit="1" customWidth="1"/>
    <col min="19" max="19" width="12.1640625" bestFit="1" customWidth="1"/>
  </cols>
  <sheetData>
    <row r="2" spans="1:20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20">
      <c r="A3" s="43"/>
      <c r="B3" s="44"/>
      <c r="C3" s="45" t="s">
        <v>0</v>
      </c>
      <c r="D3" s="46"/>
      <c r="E3" s="47"/>
      <c r="F3" s="48"/>
      <c r="G3" s="49"/>
      <c r="H3" s="50"/>
      <c r="I3" s="50"/>
      <c r="J3" s="50"/>
      <c r="K3" s="50"/>
      <c r="L3" s="50"/>
      <c r="M3" s="51"/>
      <c r="N3" s="50"/>
      <c r="O3" s="43"/>
      <c r="P3" s="50"/>
      <c r="Q3" s="50"/>
      <c r="R3" s="50"/>
      <c r="S3" s="50"/>
    </row>
    <row r="4" spans="1:20">
      <c r="A4" s="43"/>
      <c r="B4" s="44"/>
      <c r="C4" s="52" t="s">
        <v>1</v>
      </c>
      <c r="D4" s="53"/>
      <c r="E4" s="54"/>
      <c r="F4" s="54"/>
      <c r="G4" s="49"/>
      <c r="H4" s="50"/>
      <c r="I4" s="50"/>
      <c r="J4" s="50"/>
      <c r="K4" s="50"/>
      <c r="L4" s="50"/>
      <c r="M4" s="51"/>
      <c r="N4" s="50"/>
      <c r="O4" s="43"/>
      <c r="P4" s="50"/>
      <c r="Q4" s="50"/>
      <c r="R4" s="50"/>
      <c r="S4" s="50"/>
    </row>
    <row r="5" spans="1:20" ht="28.5" customHeight="1">
      <c r="B5" s="55" t="s">
        <v>90</v>
      </c>
      <c r="C5" s="56"/>
      <c r="D5" s="57"/>
      <c r="E5" s="58" t="s">
        <v>24</v>
      </c>
      <c r="F5" s="59"/>
      <c r="G5" s="60"/>
      <c r="H5" s="61"/>
      <c r="I5" s="57"/>
      <c r="J5" s="62"/>
      <c r="K5" s="62"/>
      <c r="L5" s="63"/>
      <c r="M5" s="64" t="s">
        <v>106</v>
      </c>
      <c r="O5" s="65"/>
    </row>
    <row r="6" spans="1:20">
      <c r="B6" s="66" t="s">
        <v>25</v>
      </c>
      <c r="C6" s="67"/>
      <c r="D6" s="68"/>
      <c r="E6" s="68"/>
      <c r="F6" s="68"/>
      <c r="G6" s="68"/>
      <c r="H6" s="68"/>
      <c r="I6" s="68"/>
      <c r="J6" s="68"/>
      <c r="K6" s="68"/>
      <c r="L6" s="68"/>
      <c r="M6" s="69"/>
      <c r="O6" s="65"/>
    </row>
    <row r="7" spans="1:20">
      <c r="B7" s="70" t="s">
        <v>105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2"/>
      <c r="O7" s="65"/>
    </row>
    <row r="8" spans="1:20" s="40" customFormat="1" ht="34">
      <c r="A8"/>
      <c r="B8" s="156" t="s">
        <v>26</v>
      </c>
      <c r="C8" s="156" t="s">
        <v>27</v>
      </c>
      <c r="D8" s="156" t="s">
        <v>28</v>
      </c>
      <c r="E8" s="156" t="s">
        <v>29</v>
      </c>
      <c r="F8" s="156" t="s">
        <v>30</v>
      </c>
      <c r="G8" s="156" t="s">
        <v>31</v>
      </c>
      <c r="H8" s="156" t="s">
        <v>32</v>
      </c>
      <c r="I8" s="156" t="s">
        <v>33</v>
      </c>
      <c r="J8" s="156" t="s">
        <v>34</v>
      </c>
      <c r="K8" s="156" t="s">
        <v>35</v>
      </c>
      <c r="L8" s="156" t="s">
        <v>36</v>
      </c>
      <c r="M8" s="156" t="s">
        <v>37</v>
      </c>
      <c r="N8" s="156" t="s">
        <v>38</v>
      </c>
      <c r="O8" s="156" t="s">
        <v>39</v>
      </c>
      <c r="P8" s="156" t="s">
        <v>40</v>
      </c>
      <c r="Q8" s="156" t="s">
        <v>41</v>
      </c>
      <c r="R8" s="157" t="s">
        <v>18</v>
      </c>
      <c r="S8" s="158" t="s">
        <v>19</v>
      </c>
    </row>
    <row r="9" spans="1:20" s="260" customFormat="1" ht="56.25" customHeight="1">
      <c r="A9" s="247">
        <v>1</v>
      </c>
      <c r="B9" s="248">
        <v>45401</v>
      </c>
      <c r="C9" s="249">
        <v>45401</v>
      </c>
      <c r="D9" s="250">
        <v>1</v>
      </c>
      <c r="E9" s="250">
        <v>81213050</v>
      </c>
      <c r="F9" s="251" t="s">
        <v>174</v>
      </c>
      <c r="G9" s="252">
        <v>112500047</v>
      </c>
      <c r="H9" s="253" t="s">
        <v>175</v>
      </c>
      <c r="I9" s="254" t="s">
        <v>176</v>
      </c>
      <c r="J9" s="255" t="s">
        <v>42</v>
      </c>
      <c r="K9" s="252" t="s">
        <v>86</v>
      </c>
      <c r="L9" s="252" t="s">
        <v>177</v>
      </c>
      <c r="M9" s="251" t="s">
        <v>178</v>
      </c>
      <c r="N9" s="256">
        <v>12.5</v>
      </c>
      <c r="O9" s="257">
        <v>103798161</v>
      </c>
      <c r="P9" s="258" t="s">
        <v>431</v>
      </c>
      <c r="Q9" s="195">
        <v>987844003</v>
      </c>
      <c r="R9" s="195"/>
      <c r="S9" s="195" t="s">
        <v>179</v>
      </c>
      <c r="T9" s="259"/>
    </row>
    <row r="10" spans="1:20" s="260" customFormat="1" ht="56.25" customHeight="1">
      <c r="A10" s="247">
        <v>2</v>
      </c>
      <c r="B10" s="248">
        <v>46229</v>
      </c>
      <c r="C10" s="249">
        <v>45427</v>
      </c>
      <c r="D10" s="250">
        <v>1</v>
      </c>
      <c r="E10" s="250">
        <v>60803272</v>
      </c>
      <c r="F10" s="251" t="s">
        <v>180</v>
      </c>
      <c r="G10" s="252">
        <v>112500048</v>
      </c>
      <c r="H10" s="253" t="s">
        <v>181</v>
      </c>
      <c r="I10" s="254" t="s">
        <v>182</v>
      </c>
      <c r="J10" s="255" t="s">
        <v>42</v>
      </c>
      <c r="K10" s="252" t="s">
        <v>86</v>
      </c>
      <c r="L10" s="252" t="s">
        <v>183</v>
      </c>
      <c r="M10" s="251" t="s">
        <v>184</v>
      </c>
      <c r="N10" s="256">
        <v>12.5</v>
      </c>
      <c r="O10" s="257">
        <v>301767281</v>
      </c>
      <c r="P10" s="258" t="s">
        <v>406</v>
      </c>
      <c r="Q10" s="195">
        <v>998346841</v>
      </c>
      <c r="R10" s="195">
        <v>12.99</v>
      </c>
      <c r="S10" s="195" t="s">
        <v>185</v>
      </c>
    </row>
    <row r="11" spans="1:20" s="260" customFormat="1" ht="56.25" customHeight="1">
      <c r="A11" s="247">
        <v>3</v>
      </c>
      <c r="B11" s="248">
        <v>45387</v>
      </c>
      <c r="C11" s="249">
        <v>45411</v>
      </c>
      <c r="D11" s="250"/>
      <c r="E11" s="250"/>
      <c r="F11" s="251"/>
      <c r="G11" s="252">
        <v>40584202</v>
      </c>
      <c r="H11" s="253" t="s">
        <v>402</v>
      </c>
      <c r="I11" s="254" t="s">
        <v>403</v>
      </c>
      <c r="J11" s="255" t="s">
        <v>42</v>
      </c>
      <c r="K11" s="252" t="s">
        <v>86</v>
      </c>
      <c r="L11" s="252" t="s">
        <v>404</v>
      </c>
      <c r="M11" s="251" t="s">
        <v>405</v>
      </c>
      <c r="N11" s="256">
        <v>15</v>
      </c>
      <c r="O11" s="257">
        <v>1064232361</v>
      </c>
      <c r="P11" s="258" t="s">
        <v>407</v>
      </c>
      <c r="Q11" s="195">
        <v>967418080</v>
      </c>
      <c r="R11" s="195"/>
      <c r="S11" s="195" t="s">
        <v>408</v>
      </c>
    </row>
    <row r="12" spans="1:20" s="260" customFormat="1" ht="56.25" customHeight="1">
      <c r="A12" s="247">
        <v>4</v>
      </c>
      <c r="B12" s="248">
        <v>45272</v>
      </c>
      <c r="C12" s="249">
        <v>45427</v>
      </c>
      <c r="D12" s="250">
        <v>1</v>
      </c>
      <c r="E12" s="250">
        <v>81219016</v>
      </c>
      <c r="F12" s="251" t="s">
        <v>186</v>
      </c>
      <c r="G12" s="252">
        <v>112580027</v>
      </c>
      <c r="H12" s="253" t="s">
        <v>93</v>
      </c>
      <c r="I12" s="254" t="s">
        <v>187</v>
      </c>
      <c r="J12" s="255" t="s">
        <v>42</v>
      </c>
      <c r="K12" s="252" t="s">
        <v>86</v>
      </c>
      <c r="L12" s="252" t="s">
        <v>188</v>
      </c>
      <c r="M12" s="251" t="s">
        <v>189</v>
      </c>
      <c r="N12" s="256">
        <v>12.5</v>
      </c>
      <c r="O12" s="257">
        <v>101702801</v>
      </c>
      <c r="P12" s="258"/>
      <c r="Q12" s="195">
        <v>992313155</v>
      </c>
      <c r="R12" s="195"/>
      <c r="S12" s="195" t="s">
        <v>190</v>
      </c>
    </row>
    <row r="13" spans="1:20" s="260" customFormat="1" ht="56.25" customHeight="1">
      <c r="A13" s="247">
        <v>5</v>
      </c>
      <c r="B13" s="248">
        <v>45240</v>
      </c>
      <c r="C13" s="249">
        <v>45427</v>
      </c>
      <c r="D13" s="250">
        <v>1</v>
      </c>
      <c r="E13" s="250">
        <v>81219016</v>
      </c>
      <c r="F13" s="251" t="s">
        <v>186</v>
      </c>
      <c r="G13" s="252">
        <v>112580027</v>
      </c>
      <c r="H13" s="253" t="s">
        <v>93</v>
      </c>
      <c r="I13" s="254" t="s">
        <v>191</v>
      </c>
      <c r="J13" s="255" t="s">
        <v>42</v>
      </c>
      <c r="K13" s="252" t="s">
        <v>86</v>
      </c>
      <c r="L13" s="252" t="s">
        <v>192</v>
      </c>
      <c r="M13" s="251" t="s">
        <v>193</v>
      </c>
      <c r="N13" s="256">
        <v>12.5</v>
      </c>
      <c r="O13" s="257">
        <v>700267586</v>
      </c>
      <c r="P13" s="258" t="s">
        <v>195</v>
      </c>
      <c r="Q13" s="195">
        <v>998079671</v>
      </c>
      <c r="R13" s="195"/>
      <c r="S13" s="195" t="s">
        <v>194</v>
      </c>
    </row>
    <row r="14" spans="1:20" s="260" customFormat="1" ht="56.25" customHeight="1">
      <c r="A14" s="247">
        <v>6</v>
      </c>
      <c r="B14" s="248">
        <v>45162</v>
      </c>
      <c r="C14" s="249">
        <v>45427</v>
      </c>
      <c r="D14" s="250">
        <v>1</v>
      </c>
      <c r="E14" s="250">
        <v>81212067</v>
      </c>
      <c r="F14" s="251" t="s">
        <v>196</v>
      </c>
      <c r="G14" s="252">
        <v>112570073</v>
      </c>
      <c r="H14" s="253" t="s">
        <v>101</v>
      </c>
      <c r="I14" s="254" t="s">
        <v>197</v>
      </c>
      <c r="J14" s="255" t="s">
        <v>42</v>
      </c>
      <c r="K14" s="252" t="s">
        <v>86</v>
      </c>
      <c r="L14" s="252" t="s">
        <v>198</v>
      </c>
      <c r="M14" s="251" t="s">
        <v>189</v>
      </c>
      <c r="N14" s="256">
        <v>12.5</v>
      </c>
      <c r="O14" s="257">
        <v>101720076</v>
      </c>
      <c r="P14" s="258"/>
      <c r="Q14" s="195">
        <v>988759488</v>
      </c>
      <c r="R14" s="195"/>
      <c r="S14" s="195" t="s">
        <v>199</v>
      </c>
    </row>
    <row r="15" spans="1:20" s="260" customFormat="1" ht="56.25" customHeight="1">
      <c r="A15" s="247">
        <v>7</v>
      </c>
      <c r="B15" s="248">
        <v>45238</v>
      </c>
      <c r="C15" s="249">
        <v>45412</v>
      </c>
      <c r="D15" s="250">
        <v>1</v>
      </c>
      <c r="E15" s="250">
        <v>60803213</v>
      </c>
      <c r="F15" s="251" t="s">
        <v>200</v>
      </c>
      <c r="G15" s="252">
        <v>112570126</v>
      </c>
      <c r="H15" s="253" t="s">
        <v>85</v>
      </c>
      <c r="I15" s="254" t="s">
        <v>201</v>
      </c>
      <c r="J15" s="255" t="s">
        <v>42</v>
      </c>
      <c r="K15" s="252" t="s">
        <v>86</v>
      </c>
      <c r="L15" s="252" t="s">
        <v>202</v>
      </c>
      <c r="M15" s="251" t="s">
        <v>203</v>
      </c>
      <c r="N15" s="256">
        <v>12.5</v>
      </c>
      <c r="O15" s="257">
        <v>1700174731</v>
      </c>
      <c r="P15" s="258"/>
      <c r="Q15" s="195">
        <v>998066605</v>
      </c>
      <c r="S15" s="195" t="s">
        <v>211</v>
      </c>
    </row>
    <row r="16" spans="1:20" s="260" customFormat="1" ht="56.25" customHeight="1">
      <c r="A16" s="247">
        <v>8</v>
      </c>
      <c r="B16" s="248">
        <v>45133</v>
      </c>
      <c r="C16" s="249">
        <v>45422</v>
      </c>
      <c r="D16" s="250">
        <v>1</v>
      </c>
      <c r="E16" s="250"/>
      <c r="F16" s="251" t="s">
        <v>204</v>
      </c>
      <c r="G16" s="252">
        <v>40197255</v>
      </c>
      <c r="H16" s="253" t="s">
        <v>205</v>
      </c>
      <c r="I16" s="254" t="s">
        <v>206</v>
      </c>
      <c r="J16" s="255" t="s">
        <v>42</v>
      </c>
      <c r="K16" s="252" t="s">
        <v>86</v>
      </c>
      <c r="L16" s="252" t="s">
        <v>207</v>
      </c>
      <c r="M16" s="251" t="s">
        <v>208</v>
      </c>
      <c r="N16" s="256">
        <v>12.5</v>
      </c>
      <c r="O16" s="257">
        <v>1904258860</v>
      </c>
      <c r="P16" s="258" t="s">
        <v>209</v>
      </c>
      <c r="Q16" s="195">
        <v>98976527</v>
      </c>
      <c r="R16" s="195"/>
      <c r="S16" s="195" t="s">
        <v>210</v>
      </c>
    </row>
    <row r="17" spans="1:19" s="192" customFormat="1" ht="56.25" customHeight="1">
      <c r="A17" s="247">
        <v>9</v>
      </c>
      <c r="B17" s="248">
        <v>45419</v>
      </c>
      <c r="C17" s="249">
        <v>45432</v>
      </c>
      <c r="D17" s="250">
        <v>1</v>
      </c>
      <c r="E17" s="250">
        <v>60803268</v>
      </c>
      <c r="F17" s="251" t="s">
        <v>409</v>
      </c>
      <c r="G17" s="252">
        <v>112500048</v>
      </c>
      <c r="H17" s="253" t="s">
        <v>410</v>
      </c>
      <c r="I17" s="254" t="s">
        <v>411</v>
      </c>
      <c r="J17" s="255">
        <v>380508</v>
      </c>
      <c r="K17" s="252" t="s">
        <v>86</v>
      </c>
      <c r="L17" s="252" t="s">
        <v>412</v>
      </c>
      <c r="M17" s="251" t="s">
        <v>413</v>
      </c>
      <c r="N17" s="256">
        <v>12.5</v>
      </c>
      <c r="O17" s="257">
        <v>103884029</v>
      </c>
      <c r="P17" s="258" t="s">
        <v>414</v>
      </c>
      <c r="Q17" s="195">
        <v>995112354</v>
      </c>
      <c r="R17" s="195"/>
      <c r="S17" s="195">
        <v>40103000005007</v>
      </c>
    </row>
    <row r="18" spans="1:19" s="192" customFormat="1" ht="56.25" customHeight="1">
      <c r="A18" s="191"/>
      <c r="B18" s="77"/>
      <c r="C18" s="75"/>
      <c r="D18" s="75"/>
      <c r="E18" s="75"/>
      <c r="F18" s="194"/>
      <c r="J18" s="80">
        <v>7</v>
      </c>
      <c r="K18" s="80" t="s">
        <v>104</v>
      </c>
      <c r="L18" s="80">
        <v>12.5</v>
      </c>
      <c r="M18" s="78">
        <v>87.5</v>
      </c>
      <c r="N18" s="75"/>
      <c r="O18" s="75"/>
      <c r="P18" s="75"/>
      <c r="Q18" s="75"/>
      <c r="R18" s="75">
        <f>SUM(R10:R17)</f>
        <v>12.99</v>
      </c>
      <c r="S18" s="75"/>
    </row>
    <row r="19" spans="1:19" s="192" customFormat="1" ht="33.75" customHeight="1">
      <c r="A19" s="191"/>
      <c r="B19"/>
      <c r="C19"/>
      <c r="D19"/>
      <c r="E19"/>
      <c r="F19" s="79"/>
      <c r="G19" s="80"/>
      <c r="H19" s="81"/>
      <c r="I19" s="75"/>
      <c r="J19">
        <v>1</v>
      </c>
      <c r="K19" s="261" t="s">
        <v>401</v>
      </c>
      <c r="L19">
        <v>12.5</v>
      </c>
      <c r="M19">
        <v>12.5</v>
      </c>
      <c r="N19"/>
      <c r="O19"/>
      <c r="P19"/>
      <c r="Q19"/>
      <c r="R19"/>
      <c r="S19"/>
    </row>
    <row r="20" spans="1:19" s="192" customFormat="1" ht="36.75" customHeight="1">
      <c r="A20" s="191"/>
      <c r="B20"/>
      <c r="C20"/>
      <c r="D20"/>
      <c r="E20"/>
      <c r="F20" s="79"/>
      <c r="G20" s="80"/>
      <c r="H20" s="81"/>
      <c r="I20" s="81"/>
      <c r="J20" s="262">
        <v>1</v>
      </c>
      <c r="K20" s="263" t="s">
        <v>415</v>
      </c>
      <c r="L20">
        <v>15</v>
      </c>
      <c r="M20">
        <v>15</v>
      </c>
      <c r="N20"/>
      <c r="O20"/>
      <c r="P20"/>
      <c r="Q20"/>
      <c r="R20"/>
      <c r="S20"/>
    </row>
    <row r="21" spans="1:19" s="192" customFormat="1" ht="56.25" customHeight="1">
      <c r="A21" s="191"/>
      <c r="B21"/>
      <c r="C21"/>
      <c r="D21"/>
      <c r="E21"/>
      <c r="F21" s="79"/>
      <c r="G21" s="80"/>
      <c r="H21" s="80"/>
      <c r="I21" s="81"/>
      <c r="J21"/>
      <c r="K21" s="263" t="s">
        <v>416</v>
      </c>
      <c r="L21">
        <v>12.99</v>
      </c>
      <c r="M21">
        <v>12.99</v>
      </c>
      <c r="N21"/>
      <c r="O21"/>
      <c r="P21"/>
      <c r="Q21"/>
      <c r="R21"/>
      <c r="S21"/>
    </row>
    <row r="22" spans="1:19" s="192" customFormat="1" ht="56.25" customHeight="1">
      <c r="A22" s="191"/>
      <c r="B22"/>
      <c r="C22"/>
      <c r="D22"/>
      <c r="E22"/>
      <c r="F22"/>
      <c r="G22"/>
      <c r="H22"/>
      <c r="I22"/>
      <c r="J22"/>
      <c r="K22"/>
      <c r="L22"/>
      <c r="M22">
        <f>SUM(M18:M21)</f>
        <v>127.99</v>
      </c>
      <c r="N22"/>
      <c r="O22"/>
      <c r="P22"/>
      <c r="Q22"/>
      <c r="R22"/>
      <c r="S22"/>
    </row>
    <row r="23" spans="1:19" s="192" customFormat="1" ht="56.25" customHeight="1">
      <c r="A23" s="19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s="192" customFormat="1" ht="56.25" customHeight="1">
      <c r="A24" s="19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s="192" customFormat="1" ht="56.25" customHeight="1">
      <c r="A25" s="19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s="192" customFormat="1" ht="56.25" customHeight="1">
      <c r="A26" s="19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s="192" customFormat="1" ht="56.25" customHeight="1">
      <c r="A27" s="19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s="192" customFormat="1" ht="56.25" customHeight="1">
      <c r="A28" s="19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s="192" customFormat="1" ht="56.25" customHeight="1">
      <c r="A29" s="19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s="192" customFormat="1" ht="17">
      <c r="A30" s="193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s="192" customFormat="1" ht="17">
      <c r="A31" s="193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9" s="75" customFormat="1" ht="17">
      <c r="A32" s="76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s="75" customFormat="1" ht="17">
      <c r="A33" s="76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</sheetData>
  <hyperlinks>
    <hyperlink ref="P13" r:id="rId1" xr:uid="{00000000-0004-0000-0100-000000000000}"/>
    <hyperlink ref="P16" r:id="rId2" xr:uid="{00000000-0004-0000-0100-000001000000}"/>
    <hyperlink ref="P9" r:id="rId3" xr:uid="{00000000-0004-0000-0100-000002000000}"/>
    <hyperlink ref="P17" r:id="rId4" xr:uid="{00000000-0004-0000-0100-000003000000}"/>
    <hyperlink ref="P10" r:id="rId5" xr:uid="{00000000-0004-0000-0100-000004000000}"/>
    <hyperlink ref="P11" r:id="rId6" xr:uid="{00000000-0004-0000-0100-000005000000}"/>
  </hyperlinks>
  <pageMargins left="0.7" right="0.7" top="0.75" bottom="0.75" header="0.3" footer="0.3"/>
  <pageSetup paperSize="9" orientation="portrait" horizontalDpi="0" verticalDpi="0" r:id="rId7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U14"/>
  <sheetViews>
    <sheetView topLeftCell="A4" workbookViewId="0">
      <selection activeCell="N19" sqref="N19"/>
    </sheetView>
  </sheetViews>
  <sheetFormatPr baseColWidth="10" defaultRowHeight="15"/>
  <cols>
    <col min="2" max="2" width="11.33203125" bestFit="1" customWidth="1"/>
    <col min="5" max="5" width="16.6640625" customWidth="1"/>
    <col min="6" max="6" width="26.1640625" customWidth="1"/>
    <col min="7" max="7" width="16" customWidth="1"/>
    <col min="11" max="11" width="11.33203125" bestFit="1" customWidth="1"/>
    <col min="14" max="14" width="11.1640625" bestFit="1" customWidth="1"/>
    <col min="16" max="16" width="13.33203125" bestFit="1" customWidth="1"/>
    <col min="20" max="20" width="13.83203125" bestFit="1" customWidth="1"/>
  </cols>
  <sheetData>
    <row r="3" spans="1:21">
      <c r="A3" s="82"/>
      <c r="B3" s="83"/>
      <c r="C3" s="84" t="s">
        <v>43</v>
      </c>
      <c r="D3" s="83"/>
      <c r="E3" s="85"/>
      <c r="F3" s="83"/>
      <c r="G3" s="86"/>
      <c r="H3" s="83"/>
      <c r="I3" s="83"/>
      <c r="J3" s="83"/>
      <c r="K3" s="87"/>
      <c r="L3" s="87"/>
      <c r="M3" s="83"/>
      <c r="N3" s="83"/>
      <c r="O3" s="88"/>
      <c r="P3" s="83"/>
      <c r="Q3" s="83"/>
      <c r="R3" s="83"/>
      <c r="S3" s="83"/>
      <c r="T3" s="83"/>
      <c r="U3" s="89"/>
    </row>
    <row r="4" spans="1:21">
      <c r="A4" s="82"/>
      <c r="B4" s="83"/>
      <c r="C4" s="90" t="s">
        <v>44</v>
      </c>
      <c r="D4" s="83"/>
      <c r="E4" s="83"/>
      <c r="F4" s="83"/>
      <c r="G4" s="86"/>
      <c r="H4" s="83"/>
      <c r="I4" s="83" t="s">
        <v>45</v>
      </c>
      <c r="J4" s="83"/>
      <c r="K4" s="87"/>
      <c r="L4" s="87"/>
      <c r="M4" s="162" t="s">
        <v>162</v>
      </c>
      <c r="N4" s="83"/>
      <c r="O4" s="88"/>
      <c r="P4" s="83"/>
      <c r="Q4" s="91"/>
      <c r="R4" s="83"/>
      <c r="S4" s="83"/>
      <c r="T4" s="92"/>
      <c r="U4" s="93">
        <v>45413</v>
      </c>
    </row>
    <row r="5" spans="1:21" ht="37">
      <c r="A5" s="89"/>
      <c r="B5" s="94" t="s">
        <v>2</v>
      </c>
      <c r="C5" s="94" t="s">
        <v>3</v>
      </c>
      <c r="D5" s="94" t="s">
        <v>4</v>
      </c>
      <c r="E5" s="94" t="s">
        <v>5</v>
      </c>
      <c r="F5" s="94" t="s">
        <v>6</v>
      </c>
      <c r="G5" s="94" t="s">
        <v>7</v>
      </c>
      <c r="H5" s="94" t="s">
        <v>8</v>
      </c>
      <c r="I5" s="94" t="s">
        <v>9</v>
      </c>
      <c r="J5" s="94" t="s">
        <v>10</v>
      </c>
      <c r="K5" s="95" t="s">
        <v>46</v>
      </c>
      <c r="L5" s="95" t="s">
        <v>12</v>
      </c>
      <c r="M5" s="95" t="s">
        <v>13</v>
      </c>
      <c r="N5" s="95" t="s">
        <v>14</v>
      </c>
      <c r="O5" s="96" t="s">
        <v>15</v>
      </c>
      <c r="P5" s="95" t="s">
        <v>47</v>
      </c>
      <c r="Q5" s="95" t="s">
        <v>48</v>
      </c>
      <c r="R5" s="97" t="s">
        <v>49</v>
      </c>
      <c r="S5" s="97" t="s">
        <v>19</v>
      </c>
      <c r="T5" s="98" t="s">
        <v>20</v>
      </c>
      <c r="U5" s="99" t="s">
        <v>50</v>
      </c>
    </row>
    <row r="6" spans="1:21" s="39" customFormat="1" ht="23.25" customHeight="1">
      <c r="A6" s="100">
        <v>1</v>
      </c>
      <c r="B6" s="106">
        <v>45421</v>
      </c>
      <c r="C6" s="107" t="s">
        <v>51</v>
      </c>
      <c r="D6" s="102" t="s">
        <v>388</v>
      </c>
      <c r="E6" s="103">
        <v>111570003</v>
      </c>
      <c r="F6" s="104" t="s">
        <v>89</v>
      </c>
      <c r="G6" s="108" t="s">
        <v>163</v>
      </c>
      <c r="H6" s="109">
        <v>418701</v>
      </c>
      <c r="I6" s="110" t="s">
        <v>79</v>
      </c>
      <c r="J6" s="110" t="s">
        <v>80</v>
      </c>
      <c r="K6" s="106">
        <v>45422</v>
      </c>
      <c r="L6" s="107" t="s">
        <v>164</v>
      </c>
      <c r="M6" s="105" t="s">
        <v>165</v>
      </c>
      <c r="N6" s="198">
        <v>995430420</v>
      </c>
      <c r="O6" s="111">
        <v>29</v>
      </c>
      <c r="P6" s="107" t="s">
        <v>53</v>
      </c>
      <c r="Q6" s="107" t="s">
        <v>79</v>
      </c>
      <c r="R6" s="112">
        <v>0</v>
      </c>
      <c r="S6" s="112">
        <v>0</v>
      </c>
      <c r="T6" s="113">
        <v>706659612</v>
      </c>
      <c r="U6" s="161" t="s">
        <v>166</v>
      </c>
    </row>
    <row r="7" spans="1:21" s="241" customFormat="1" ht="18">
      <c r="A7" s="225">
        <v>2</v>
      </c>
      <c r="B7" s="226">
        <v>45422</v>
      </c>
      <c r="C7" s="227" t="s">
        <v>83</v>
      </c>
      <c r="D7" s="228" t="s">
        <v>52</v>
      </c>
      <c r="E7" s="229">
        <v>111570003</v>
      </c>
      <c r="F7" s="230" t="s">
        <v>89</v>
      </c>
      <c r="G7" s="228" t="s">
        <v>167</v>
      </c>
      <c r="H7" s="231" t="s">
        <v>42</v>
      </c>
      <c r="I7" s="232" t="s">
        <v>79</v>
      </c>
      <c r="J7" s="233" t="s">
        <v>80</v>
      </c>
      <c r="K7" s="234">
        <v>45422</v>
      </c>
      <c r="L7" s="235" t="s">
        <v>83</v>
      </c>
      <c r="M7" s="236" t="s">
        <v>168</v>
      </c>
      <c r="N7" s="196" t="s">
        <v>346</v>
      </c>
      <c r="O7" s="237">
        <v>29</v>
      </c>
      <c r="P7" s="235" t="s">
        <v>53</v>
      </c>
      <c r="Q7" s="235" t="s">
        <v>79</v>
      </c>
      <c r="R7" s="238">
        <v>0</v>
      </c>
      <c r="S7" s="238">
        <v>0</v>
      </c>
      <c r="T7" s="239">
        <v>103642708</v>
      </c>
      <c r="U7" s="240" t="s">
        <v>347</v>
      </c>
    </row>
    <row r="8" spans="1:21" ht="18">
      <c r="A8" s="100">
        <v>3</v>
      </c>
      <c r="B8" s="226">
        <v>45374</v>
      </c>
      <c r="C8" s="227" t="s">
        <v>51</v>
      </c>
      <c r="D8" s="228" t="s">
        <v>387</v>
      </c>
      <c r="E8" s="229">
        <v>111570003</v>
      </c>
      <c r="F8" s="230" t="s">
        <v>89</v>
      </c>
      <c r="G8" s="228" t="s">
        <v>389</v>
      </c>
      <c r="H8" s="231">
        <v>415560</v>
      </c>
      <c r="I8" s="232" t="s">
        <v>79</v>
      </c>
      <c r="J8" s="233" t="s">
        <v>80</v>
      </c>
      <c r="K8" s="234">
        <v>45430</v>
      </c>
      <c r="L8" s="235" t="s">
        <v>390</v>
      </c>
      <c r="M8" s="236" t="s">
        <v>241</v>
      </c>
      <c r="N8" s="196" t="s">
        <v>391</v>
      </c>
      <c r="O8" s="237">
        <v>29</v>
      </c>
      <c r="P8" s="235" t="s">
        <v>53</v>
      </c>
      <c r="Q8" s="235" t="s">
        <v>79</v>
      </c>
      <c r="R8" s="238">
        <v>0</v>
      </c>
      <c r="S8" s="238">
        <v>0</v>
      </c>
      <c r="T8" s="239">
        <v>101360501</v>
      </c>
      <c r="U8" s="240" t="s">
        <v>392</v>
      </c>
    </row>
    <row r="9" spans="1:21" ht="18">
      <c r="A9" s="225">
        <v>4</v>
      </c>
      <c r="B9" s="226">
        <v>45432</v>
      </c>
      <c r="C9" s="227" t="s">
        <v>51</v>
      </c>
      <c r="D9" s="228" t="s">
        <v>52</v>
      </c>
      <c r="E9" s="229">
        <v>111570003</v>
      </c>
      <c r="F9" s="230" t="s">
        <v>89</v>
      </c>
      <c r="G9" s="228" t="s">
        <v>417</v>
      </c>
      <c r="H9" s="231" t="s">
        <v>42</v>
      </c>
      <c r="I9" s="232" t="s">
        <v>79</v>
      </c>
      <c r="J9" s="233" t="s">
        <v>80</v>
      </c>
      <c r="K9" s="234">
        <v>45432</v>
      </c>
      <c r="L9" s="235" t="s">
        <v>418</v>
      </c>
      <c r="M9" s="236" t="s">
        <v>419</v>
      </c>
      <c r="N9" s="196"/>
      <c r="O9" s="237">
        <v>29</v>
      </c>
      <c r="P9" s="235" t="s">
        <v>53</v>
      </c>
      <c r="Q9" s="235" t="s">
        <v>79</v>
      </c>
      <c r="R9" s="238">
        <v>0</v>
      </c>
      <c r="S9" s="238">
        <v>0</v>
      </c>
      <c r="T9" s="239"/>
      <c r="U9" s="240"/>
    </row>
    <row r="10" spans="1:21" ht="18">
      <c r="A10" s="100">
        <v>5</v>
      </c>
      <c r="B10" s="226">
        <v>45432</v>
      </c>
      <c r="C10" s="227" t="s">
        <v>51</v>
      </c>
      <c r="D10" s="228" t="s">
        <v>52</v>
      </c>
      <c r="E10" s="229">
        <v>111570003</v>
      </c>
      <c r="F10" s="230" t="s">
        <v>89</v>
      </c>
      <c r="G10" s="228" t="s">
        <v>420</v>
      </c>
      <c r="H10" s="231" t="s">
        <v>42</v>
      </c>
      <c r="I10" s="232" t="s">
        <v>79</v>
      </c>
      <c r="J10" s="233" t="s">
        <v>80</v>
      </c>
      <c r="K10" s="234">
        <v>45430</v>
      </c>
      <c r="L10" s="235" t="s">
        <v>418</v>
      </c>
      <c r="M10" s="236" t="s">
        <v>419</v>
      </c>
      <c r="N10" s="196"/>
      <c r="O10" s="237">
        <v>29</v>
      </c>
      <c r="P10" s="235" t="s">
        <v>53</v>
      </c>
      <c r="Q10" s="235" t="s">
        <v>79</v>
      </c>
      <c r="R10" s="238">
        <v>0</v>
      </c>
      <c r="S10" s="238">
        <v>0</v>
      </c>
      <c r="T10" s="239"/>
      <c r="U10" s="240"/>
    </row>
    <row r="11" spans="1:21">
      <c r="O11" s="117">
        <f>SUM(O6:O10)</f>
        <v>145</v>
      </c>
    </row>
    <row r="14" spans="1:21" ht="17">
      <c r="I14" s="101">
        <v>5</v>
      </c>
      <c r="J14" t="s">
        <v>45</v>
      </c>
      <c r="K14" s="101">
        <v>29</v>
      </c>
      <c r="L14" s="101">
        <f>I14*K14</f>
        <v>145</v>
      </c>
    </row>
  </sheetData>
  <hyperlinks>
    <hyperlink ref="U6" r:id="rId1" xr:uid="{00000000-0004-0000-0200-000000000000}"/>
    <hyperlink ref="U7" r:id="rId2" xr:uid="{00000000-0004-0000-0200-000001000000}"/>
    <hyperlink ref="U8" r:id="rId3" xr:uid="{00000000-0004-0000-0200-000002000000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V10"/>
  <sheetViews>
    <sheetView topLeftCell="F4" workbookViewId="0">
      <selection activeCell="G23" sqref="F23:G23"/>
    </sheetView>
  </sheetViews>
  <sheetFormatPr baseColWidth="10" defaultRowHeight="15"/>
  <cols>
    <col min="5" max="5" width="15.33203125" customWidth="1"/>
    <col min="6" max="6" width="39.33203125" bestFit="1" customWidth="1"/>
    <col min="7" max="7" width="15.6640625" bestFit="1" customWidth="1"/>
    <col min="10" max="10" width="15.6640625" customWidth="1"/>
    <col min="11" max="11" width="18.6640625" customWidth="1"/>
    <col min="14" max="14" width="16" customWidth="1"/>
  </cols>
  <sheetData>
    <row r="3" spans="1:2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2">
      <c r="A4" s="5"/>
      <c r="B4" s="5"/>
      <c r="C4" s="114" t="s">
        <v>54</v>
      </c>
      <c r="D4" s="115"/>
      <c r="E4" s="115"/>
      <c r="F4" s="5"/>
      <c r="G4" s="115"/>
      <c r="H4" s="115"/>
      <c r="I4" s="115"/>
      <c r="J4" s="115"/>
      <c r="K4" s="115"/>
      <c r="L4" s="115"/>
      <c r="M4" s="115"/>
      <c r="N4" s="115"/>
      <c r="O4" s="115"/>
      <c r="P4" s="5"/>
    </row>
    <row r="5" spans="1:22" ht="16" thickBot="1">
      <c r="A5" s="5"/>
      <c r="B5" s="115"/>
      <c r="C5" s="116" t="s">
        <v>1</v>
      </c>
      <c r="D5" s="116"/>
      <c r="E5" s="116"/>
      <c r="F5" s="5"/>
      <c r="J5" t="s">
        <v>67</v>
      </c>
      <c r="K5" s="5"/>
      <c r="L5" s="124" t="s">
        <v>172</v>
      </c>
      <c r="P5" s="5"/>
    </row>
    <row r="6" spans="1:22" s="23" customFormat="1" ht="58.5" customHeight="1">
      <c r="A6" s="118"/>
      <c r="B6" s="119" t="s">
        <v>55</v>
      </c>
      <c r="C6" s="120" t="s">
        <v>56</v>
      </c>
      <c r="D6" s="120" t="s">
        <v>4</v>
      </c>
      <c r="E6" s="121" t="s">
        <v>57</v>
      </c>
      <c r="F6" s="120" t="s">
        <v>58</v>
      </c>
      <c r="G6" s="120" t="s">
        <v>59</v>
      </c>
      <c r="H6" s="119" t="s">
        <v>8</v>
      </c>
      <c r="I6" s="120" t="s">
        <v>60</v>
      </c>
      <c r="J6" s="120" t="s">
        <v>61</v>
      </c>
      <c r="K6" s="120" t="s">
        <v>62</v>
      </c>
      <c r="L6" s="120" t="s">
        <v>12</v>
      </c>
      <c r="M6" s="122" t="s">
        <v>63</v>
      </c>
      <c r="N6" s="120" t="s">
        <v>14</v>
      </c>
      <c r="O6" s="123" t="s">
        <v>15</v>
      </c>
      <c r="P6" s="120" t="s">
        <v>64</v>
      </c>
      <c r="Q6" s="122"/>
      <c r="R6" s="122"/>
    </row>
    <row r="7" spans="1:22" s="39" customFormat="1" ht="24" customHeight="1">
      <c r="A7" s="24">
        <v>1</v>
      </c>
      <c r="B7" s="25">
        <v>45422</v>
      </c>
      <c r="C7" s="26" t="s">
        <v>83</v>
      </c>
      <c r="D7" s="26" t="s">
        <v>65</v>
      </c>
      <c r="E7" s="27">
        <v>112950020</v>
      </c>
      <c r="F7" s="28" t="s">
        <v>169</v>
      </c>
      <c r="G7" s="29" t="s">
        <v>170</v>
      </c>
      <c r="H7" s="30" t="s">
        <v>42</v>
      </c>
      <c r="I7" s="26" t="s">
        <v>86</v>
      </c>
      <c r="J7" s="29" t="s">
        <v>87</v>
      </c>
      <c r="K7" s="31">
        <v>45422</v>
      </c>
      <c r="L7" s="32" t="s">
        <v>83</v>
      </c>
      <c r="M7" s="32" t="s">
        <v>88</v>
      </c>
      <c r="N7" s="196" t="s">
        <v>346</v>
      </c>
      <c r="O7" s="33">
        <v>15</v>
      </c>
      <c r="P7" s="26" t="s">
        <v>66</v>
      </c>
      <c r="Q7" s="26"/>
      <c r="R7" s="224" t="s">
        <v>347</v>
      </c>
      <c r="S7" s="35"/>
      <c r="T7" s="36"/>
      <c r="U7" s="37"/>
      <c r="V7" s="38"/>
    </row>
    <row r="8" spans="1:22">
      <c r="O8">
        <v>15</v>
      </c>
    </row>
    <row r="9" spans="1:22">
      <c r="O9" s="117"/>
    </row>
    <row r="10" spans="1:22">
      <c r="K10">
        <v>1</v>
      </c>
      <c r="L10" t="s">
        <v>171</v>
      </c>
      <c r="M10">
        <v>15</v>
      </c>
      <c r="N10">
        <f>K10*M10</f>
        <v>15</v>
      </c>
    </row>
  </sheetData>
  <hyperlinks>
    <hyperlink ref="R7" r:id="rId1" xr:uid="{00000000-0004-0000-0300-00000000000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42"/>
  <sheetViews>
    <sheetView workbookViewId="0">
      <selection activeCell="D18" sqref="D18"/>
    </sheetView>
  </sheetViews>
  <sheetFormatPr baseColWidth="10" defaultRowHeight="15"/>
  <cols>
    <col min="3" max="3" width="11.33203125" customWidth="1"/>
    <col min="6" max="6" width="13.33203125" customWidth="1"/>
    <col min="11" max="11" width="20" customWidth="1"/>
  </cols>
  <sheetData>
    <row r="1" spans="1:21">
      <c r="A1" s="125"/>
      <c r="B1" s="126" t="s">
        <v>68</v>
      </c>
      <c r="C1" s="127"/>
      <c r="D1" s="126"/>
      <c r="E1" s="128"/>
      <c r="F1" s="128"/>
      <c r="G1" s="129"/>
      <c r="H1" s="129"/>
      <c r="I1" s="129"/>
      <c r="J1" s="129"/>
      <c r="K1" s="129"/>
      <c r="L1" s="129"/>
      <c r="M1" s="130"/>
      <c r="N1" s="129"/>
      <c r="O1" s="129"/>
      <c r="P1" s="129"/>
    </row>
    <row r="2" spans="1:21">
      <c r="A2" s="125"/>
      <c r="B2" s="131" t="s">
        <v>94</v>
      </c>
      <c r="C2" s="132"/>
      <c r="D2" s="128"/>
      <c r="E2" s="128"/>
      <c r="F2" s="128"/>
      <c r="G2" s="129"/>
      <c r="H2" s="129"/>
      <c r="I2" s="129"/>
      <c r="J2" s="129"/>
      <c r="K2" s="129"/>
      <c r="L2" s="129"/>
      <c r="M2" s="130"/>
      <c r="N2" s="129"/>
      <c r="O2" s="129"/>
      <c r="P2" s="129"/>
    </row>
    <row r="3" spans="1:21">
      <c r="A3" s="125"/>
      <c r="B3" s="133"/>
      <c r="C3" s="134"/>
      <c r="D3" s="133"/>
      <c r="E3" s="133"/>
      <c r="F3" s="133"/>
      <c r="G3" s="133"/>
      <c r="H3" s="133"/>
      <c r="I3" s="135"/>
      <c r="J3" s="133"/>
      <c r="K3" s="128"/>
      <c r="L3" s="128"/>
      <c r="M3" s="136"/>
      <c r="N3" s="129"/>
      <c r="O3" s="129"/>
      <c r="P3" s="133"/>
    </row>
    <row r="4" spans="1:21">
      <c r="A4" s="125"/>
      <c r="B4" s="129"/>
      <c r="C4" s="134" t="s">
        <v>0</v>
      </c>
      <c r="D4" s="129"/>
      <c r="E4" s="137"/>
      <c r="F4" s="129"/>
      <c r="G4" s="138"/>
      <c r="H4" s="129"/>
      <c r="I4" s="129"/>
      <c r="J4" s="129"/>
      <c r="K4" s="128"/>
      <c r="L4" s="132"/>
      <c r="M4" s="130"/>
      <c r="N4" s="129"/>
      <c r="O4" s="129"/>
      <c r="P4" s="129"/>
    </row>
    <row r="5" spans="1:21">
      <c r="A5" s="125"/>
      <c r="B5" s="129"/>
      <c r="C5" s="139" t="s">
        <v>1</v>
      </c>
      <c r="D5" s="139" t="s">
        <v>1</v>
      </c>
      <c r="E5" s="129"/>
      <c r="G5" s="129"/>
      <c r="H5" s="129"/>
      <c r="I5" s="129"/>
      <c r="J5" s="129" t="s">
        <v>78</v>
      </c>
      <c r="K5" s="129"/>
      <c r="L5" s="129"/>
      <c r="M5" s="129" t="s">
        <v>400</v>
      </c>
    </row>
    <row r="6" spans="1:21" ht="37">
      <c r="A6" s="125"/>
      <c r="B6" s="140" t="s">
        <v>2</v>
      </c>
      <c r="C6" s="140" t="s">
        <v>3</v>
      </c>
      <c r="D6" s="140" t="s">
        <v>4</v>
      </c>
      <c r="E6" s="140" t="s">
        <v>5</v>
      </c>
      <c r="F6" s="141" t="s">
        <v>6</v>
      </c>
      <c r="G6" s="140" t="s">
        <v>7</v>
      </c>
      <c r="H6" s="140" t="s">
        <v>8</v>
      </c>
      <c r="I6" s="140" t="s">
        <v>9</v>
      </c>
      <c r="J6" s="140" t="s">
        <v>10</v>
      </c>
      <c r="K6" s="140" t="s">
        <v>11</v>
      </c>
      <c r="L6" s="140" t="s">
        <v>70</v>
      </c>
      <c r="M6" s="142" t="s">
        <v>71</v>
      </c>
      <c r="N6" s="140" t="s">
        <v>72</v>
      </c>
      <c r="O6" s="140" t="s">
        <v>69</v>
      </c>
      <c r="P6" s="140" t="s">
        <v>73</v>
      </c>
      <c r="Q6" s="140" t="s">
        <v>74</v>
      </c>
      <c r="R6" s="140" t="s">
        <v>75</v>
      </c>
      <c r="S6" s="140" t="s">
        <v>76</v>
      </c>
      <c r="T6" s="142" t="s">
        <v>77</v>
      </c>
      <c r="U6" s="140" t="s">
        <v>13</v>
      </c>
    </row>
    <row r="7" spans="1:21" s="40" customFormat="1" ht="24" customHeight="1">
      <c r="A7" s="40">
        <v>1</v>
      </c>
      <c r="B7" s="143"/>
      <c r="C7" s="144"/>
      <c r="D7" s="144"/>
      <c r="E7" s="145"/>
      <c r="F7" s="144"/>
      <c r="G7" s="146"/>
      <c r="H7" s="147" t="s">
        <v>42</v>
      </c>
      <c r="I7" s="148" t="s">
        <v>95</v>
      </c>
      <c r="J7" s="148" t="s">
        <v>80</v>
      </c>
      <c r="K7" s="149"/>
      <c r="L7" s="150"/>
      <c r="M7" s="150"/>
      <c r="N7" s="151"/>
      <c r="O7" s="152" t="s">
        <v>96</v>
      </c>
      <c r="P7" s="144"/>
      <c r="Q7" s="197"/>
      <c r="R7" s="154"/>
      <c r="S7" s="150"/>
      <c r="T7" s="150"/>
      <c r="U7" s="153"/>
    </row>
    <row r="8" spans="1:21" s="40" customFormat="1" ht="24" customHeight="1">
      <c r="A8"/>
      <c r="B8"/>
      <c r="C8"/>
      <c r="D8"/>
      <c r="E8"/>
      <c r="F8"/>
      <c r="G8"/>
      <c r="H8"/>
      <c r="I8"/>
      <c r="J8"/>
      <c r="K8"/>
      <c r="L8"/>
      <c r="M8"/>
      <c r="N8" s="155"/>
      <c r="O8"/>
      <c r="P8"/>
      <c r="Q8"/>
      <c r="R8"/>
      <c r="S8"/>
      <c r="T8"/>
      <c r="U8"/>
    </row>
    <row r="9" spans="1:21" s="40" customFormat="1" ht="24" customHeigh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s="40" customFormat="1" ht="24" customHeigh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s="40" customFormat="1" ht="24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s="40" customFormat="1" ht="24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s="40" customFormat="1" ht="24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s="40" customFormat="1" ht="24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s="40" customFormat="1" ht="24" customHeigh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40" customFormat="1" ht="24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40" customFormat="1" ht="24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40" customFormat="1" ht="24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s="40" customFormat="1" ht="24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s="40" customFormat="1" ht="24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s="40" customFormat="1" ht="24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s="40" customFormat="1" ht="24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s="40" customFormat="1" ht="24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s="40" customFormat="1" ht="24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s="40" customFormat="1" ht="24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s="40" customFormat="1" ht="24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s="40" customFormat="1" ht="24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s="40" customFormat="1" ht="24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s="40" customFormat="1" ht="24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s="40" customFormat="1" ht="24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s="40" customFormat="1" ht="24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s="40" customFormat="1" ht="24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s="40" customFormat="1" ht="24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s="40" customFormat="1" ht="24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s="40" customFormat="1" ht="24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s="40" customFormat="1" ht="24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s="40" customFormat="1" ht="24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s="40" customFormat="1" ht="24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s="40" customFormat="1" ht="24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s="40" customFormat="1" ht="24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40" customFormat="1" ht="24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0" customFormat="1" ht="24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25"/>
  <sheetViews>
    <sheetView tabSelected="1" topLeftCell="I10" zoomScale="110" zoomScaleNormal="110" workbookViewId="0">
      <selection activeCell="P27" sqref="P27"/>
    </sheetView>
  </sheetViews>
  <sheetFormatPr baseColWidth="10" defaultRowHeight="15"/>
  <sheetData>
    <row r="1" spans="1:21" ht="16">
      <c r="F1" t="s">
        <v>219</v>
      </c>
      <c r="G1" s="190"/>
    </row>
    <row r="2" spans="1:21">
      <c r="B2" s="163"/>
      <c r="C2" s="164" t="s">
        <v>0</v>
      </c>
      <c r="F2" s="165"/>
      <c r="G2" s="166"/>
      <c r="H2" s="167"/>
      <c r="I2" s="168"/>
      <c r="J2" s="169"/>
      <c r="K2" s="170"/>
      <c r="L2" s="171"/>
      <c r="M2" s="171"/>
      <c r="N2" s="163"/>
      <c r="O2" s="172"/>
      <c r="T2" s="173"/>
    </row>
    <row r="3" spans="1:21">
      <c r="B3" s="163"/>
      <c r="C3" s="174" t="s">
        <v>1</v>
      </c>
      <c r="F3" s="175"/>
      <c r="G3" s="166"/>
      <c r="H3" s="167"/>
      <c r="I3" s="168"/>
      <c r="J3" s="169" t="s">
        <v>91</v>
      </c>
      <c r="K3" s="170"/>
      <c r="L3" s="171"/>
      <c r="M3" s="176"/>
      <c r="N3" s="177" t="s">
        <v>173</v>
      </c>
      <c r="O3" s="172"/>
      <c r="P3" s="178"/>
      <c r="T3" s="173"/>
    </row>
    <row r="4" spans="1:21" ht="20">
      <c r="B4" s="179" t="s">
        <v>11</v>
      </c>
      <c r="C4" s="179" t="s">
        <v>2</v>
      </c>
      <c r="D4" s="179" t="s">
        <v>3</v>
      </c>
      <c r="E4" s="179" t="s">
        <v>4</v>
      </c>
      <c r="F4" s="179" t="s">
        <v>5</v>
      </c>
      <c r="G4" s="179" t="s">
        <v>6</v>
      </c>
      <c r="H4" s="179" t="s">
        <v>7</v>
      </c>
      <c r="I4" s="179" t="s">
        <v>8</v>
      </c>
      <c r="J4" s="179" t="s">
        <v>9</v>
      </c>
      <c r="K4" s="179" t="s">
        <v>10</v>
      </c>
      <c r="L4" s="180" t="s">
        <v>12</v>
      </c>
      <c r="M4" s="180" t="s">
        <v>13</v>
      </c>
      <c r="N4" s="179" t="s">
        <v>14</v>
      </c>
      <c r="O4" s="181" t="s">
        <v>15</v>
      </c>
      <c r="P4" s="179" t="s">
        <v>16</v>
      </c>
      <c r="Q4" s="179" t="s">
        <v>17</v>
      </c>
      <c r="R4" s="182" t="s">
        <v>18</v>
      </c>
      <c r="S4" s="179" t="s">
        <v>19</v>
      </c>
      <c r="T4" s="179" t="s">
        <v>20</v>
      </c>
      <c r="U4" s="183" t="s">
        <v>21</v>
      </c>
    </row>
    <row r="5" spans="1:21">
      <c r="A5">
        <v>1</v>
      </c>
      <c r="B5" s="184">
        <v>45406</v>
      </c>
      <c r="C5" s="184">
        <v>45372</v>
      </c>
      <c r="D5" s="184" t="s">
        <v>100</v>
      </c>
      <c r="E5" s="184" t="s">
        <v>212</v>
      </c>
      <c r="F5" s="185" t="s">
        <v>213</v>
      </c>
      <c r="G5" s="184" t="s">
        <v>214</v>
      </c>
      <c r="H5" s="184">
        <v>111910000000146</v>
      </c>
      <c r="I5" s="185" t="s">
        <v>215</v>
      </c>
      <c r="J5" s="184" t="s">
        <v>86</v>
      </c>
      <c r="K5" s="184" t="s">
        <v>87</v>
      </c>
      <c r="L5" s="184" t="s">
        <v>216</v>
      </c>
      <c r="M5" s="184" t="s">
        <v>217</v>
      </c>
      <c r="N5" s="186">
        <v>998660812</v>
      </c>
      <c r="O5" s="187">
        <v>40</v>
      </c>
      <c r="P5" s="184" t="s">
        <v>92</v>
      </c>
      <c r="Q5" s="184" t="s">
        <v>86</v>
      </c>
      <c r="R5" s="184"/>
      <c r="S5" s="184" t="s">
        <v>212</v>
      </c>
      <c r="T5" s="188">
        <v>150196897</v>
      </c>
      <c r="U5" s="189" t="s">
        <v>218</v>
      </c>
    </row>
    <row r="6" spans="1:21">
      <c r="A6">
        <v>2</v>
      </c>
      <c r="B6" s="184">
        <v>45406</v>
      </c>
      <c r="C6" s="184">
        <v>45404</v>
      </c>
      <c r="D6" s="184" t="s">
        <v>100</v>
      </c>
      <c r="E6" s="184" t="s">
        <v>220</v>
      </c>
      <c r="F6" s="185" t="s">
        <v>221</v>
      </c>
      <c r="G6" s="184" t="s">
        <v>222</v>
      </c>
      <c r="H6" s="184" t="s">
        <v>223</v>
      </c>
      <c r="I6" s="185" t="s">
        <v>42</v>
      </c>
      <c r="J6" s="184" t="s">
        <v>86</v>
      </c>
      <c r="K6" s="184" t="s">
        <v>87</v>
      </c>
      <c r="L6" s="184" t="s">
        <v>224</v>
      </c>
      <c r="M6" s="184" t="s">
        <v>225</v>
      </c>
      <c r="N6" s="186">
        <v>983183988</v>
      </c>
      <c r="O6" s="187">
        <v>15</v>
      </c>
      <c r="P6" s="184" t="s">
        <v>92</v>
      </c>
      <c r="Q6" s="184" t="s">
        <v>86</v>
      </c>
      <c r="R6" s="184"/>
      <c r="S6" s="184" t="s">
        <v>220</v>
      </c>
      <c r="T6" s="188">
        <v>101248169</v>
      </c>
      <c r="U6" s="189" t="s">
        <v>226</v>
      </c>
    </row>
    <row r="7" spans="1:21">
      <c r="A7">
        <v>3</v>
      </c>
      <c r="B7" s="184">
        <v>45407</v>
      </c>
      <c r="C7" s="184">
        <v>45349</v>
      </c>
      <c r="D7" s="184" t="s">
        <v>100</v>
      </c>
      <c r="E7" s="184" t="s">
        <v>227</v>
      </c>
      <c r="F7" s="185" t="s">
        <v>228</v>
      </c>
      <c r="G7" s="184" t="s">
        <v>229</v>
      </c>
      <c r="H7" s="184" t="s">
        <v>230</v>
      </c>
      <c r="I7" s="185" t="s">
        <v>231</v>
      </c>
      <c r="J7" s="184" t="s">
        <v>86</v>
      </c>
      <c r="K7" s="184" t="s">
        <v>87</v>
      </c>
      <c r="L7" s="184" t="s">
        <v>232</v>
      </c>
      <c r="M7" s="184" t="s">
        <v>233</v>
      </c>
      <c r="N7" s="186">
        <v>984786156</v>
      </c>
      <c r="O7" s="187">
        <v>36</v>
      </c>
      <c r="P7" s="184" t="s">
        <v>92</v>
      </c>
      <c r="Q7" s="184" t="s">
        <v>86</v>
      </c>
      <c r="R7" s="184"/>
      <c r="S7" s="184" t="s">
        <v>227</v>
      </c>
      <c r="T7" s="188">
        <v>301181681</v>
      </c>
      <c r="U7" s="189" t="s">
        <v>234</v>
      </c>
    </row>
    <row r="8" spans="1:21">
      <c r="A8">
        <v>4</v>
      </c>
      <c r="B8" s="184">
        <v>45407</v>
      </c>
      <c r="C8" s="184">
        <v>45378</v>
      </c>
      <c r="D8" s="184" t="s">
        <v>100</v>
      </c>
      <c r="E8" s="184" t="s">
        <v>235</v>
      </c>
      <c r="F8" s="185" t="s">
        <v>236</v>
      </c>
      <c r="G8" s="184" t="s">
        <v>237</v>
      </c>
      <c r="H8" s="184" t="s">
        <v>238</v>
      </c>
      <c r="I8" s="185" t="s">
        <v>239</v>
      </c>
      <c r="J8" s="184" t="s">
        <v>86</v>
      </c>
      <c r="K8" s="184" t="s">
        <v>87</v>
      </c>
      <c r="L8" s="184" t="s">
        <v>240</v>
      </c>
      <c r="M8" s="184" t="s">
        <v>241</v>
      </c>
      <c r="N8" s="186">
        <v>985016119</v>
      </c>
      <c r="O8" s="187">
        <v>15</v>
      </c>
      <c r="P8" s="184" t="s">
        <v>92</v>
      </c>
      <c r="Q8" s="184" t="s">
        <v>86</v>
      </c>
      <c r="R8" s="184"/>
      <c r="S8" s="184" t="s">
        <v>235</v>
      </c>
      <c r="T8" s="188">
        <v>101856466</v>
      </c>
      <c r="U8" s="189" t="s">
        <v>242</v>
      </c>
    </row>
    <row r="9" spans="1:21">
      <c r="A9">
        <v>5</v>
      </c>
      <c r="B9" s="184">
        <v>45407</v>
      </c>
      <c r="C9" s="184">
        <v>45398</v>
      </c>
      <c r="D9" s="184" t="s">
        <v>100</v>
      </c>
      <c r="E9" s="184" t="s">
        <v>243</v>
      </c>
      <c r="F9" s="185" t="s">
        <v>244</v>
      </c>
      <c r="G9" s="184" t="s">
        <v>250</v>
      </c>
      <c r="H9" s="184" t="s">
        <v>245</v>
      </c>
      <c r="I9" s="185" t="s">
        <v>246</v>
      </c>
      <c r="J9" s="184" t="s">
        <v>86</v>
      </c>
      <c r="K9" s="184" t="s">
        <v>87</v>
      </c>
      <c r="L9" s="184" t="s">
        <v>247</v>
      </c>
      <c r="M9" s="184" t="s">
        <v>248</v>
      </c>
      <c r="N9" s="186">
        <v>995328141</v>
      </c>
      <c r="O9" s="187">
        <v>36</v>
      </c>
      <c r="P9" s="184" t="s">
        <v>92</v>
      </c>
      <c r="Q9" s="184" t="s">
        <v>86</v>
      </c>
      <c r="R9" s="184"/>
      <c r="S9" s="184" t="s">
        <v>243</v>
      </c>
      <c r="T9" s="188">
        <v>102298122001</v>
      </c>
      <c r="U9" s="189" t="s">
        <v>249</v>
      </c>
    </row>
    <row r="10" spans="1:21">
      <c r="A10">
        <v>6</v>
      </c>
      <c r="B10" s="184">
        <v>45411</v>
      </c>
      <c r="C10" s="184">
        <v>45296</v>
      </c>
      <c r="D10" s="184" t="s">
        <v>100</v>
      </c>
      <c r="E10" s="184" t="s">
        <v>251</v>
      </c>
      <c r="F10" s="185" t="s">
        <v>252</v>
      </c>
      <c r="G10" s="184" t="s">
        <v>253</v>
      </c>
      <c r="H10" s="184" t="s">
        <v>254</v>
      </c>
      <c r="I10" s="185" t="s">
        <v>255</v>
      </c>
      <c r="J10" s="184" t="s">
        <v>86</v>
      </c>
      <c r="K10" s="184" t="s">
        <v>87</v>
      </c>
      <c r="L10" s="184" t="s">
        <v>256</v>
      </c>
      <c r="M10" s="184" t="s">
        <v>257</v>
      </c>
      <c r="N10" s="186">
        <v>998233173</v>
      </c>
      <c r="O10" s="187">
        <v>25</v>
      </c>
      <c r="P10" s="184" t="s">
        <v>92</v>
      </c>
      <c r="Q10" s="184" t="s">
        <v>86</v>
      </c>
      <c r="R10" s="184"/>
      <c r="S10" s="184" t="s">
        <v>251</v>
      </c>
      <c r="T10" s="188">
        <v>10200107001</v>
      </c>
      <c r="U10" s="189" t="s">
        <v>258</v>
      </c>
    </row>
    <row r="11" spans="1:21">
      <c r="A11">
        <v>7</v>
      </c>
      <c r="B11" s="184">
        <v>45411</v>
      </c>
      <c r="C11" s="184">
        <v>45387</v>
      </c>
      <c r="D11" s="184" t="s">
        <v>100</v>
      </c>
      <c r="E11" s="184" t="s">
        <v>259</v>
      </c>
      <c r="F11" s="185" t="s">
        <v>260</v>
      </c>
      <c r="G11" s="184" t="s">
        <v>261</v>
      </c>
      <c r="H11" s="184" t="s">
        <v>262</v>
      </c>
      <c r="I11" s="185" t="s">
        <v>263</v>
      </c>
      <c r="J11" s="184" t="s">
        <v>86</v>
      </c>
      <c r="K11" s="184" t="s">
        <v>87</v>
      </c>
      <c r="L11" s="184" t="s">
        <v>264</v>
      </c>
      <c r="M11" s="184" t="s">
        <v>265</v>
      </c>
      <c r="N11" s="186">
        <v>960942082</v>
      </c>
      <c r="O11" s="187">
        <v>36</v>
      </c>
      <c r="P11" s="184" t="s">
        <v>92</v>
      </c>
      <c r="Q11" s="184" t="s">
        <v>86</v>
      </c>
      <c r="R11" s="184"/>
      <c r="S11" s="184" t="s">
        <v>259</v>
      </c>
      <c r="T11" s="188">
        <v>105449557</v>
      </c>
      <c r="U11" s="189" t="s">
        <v>266</v>
      </c>
    </row>
    <row r="12" spans="1:21">
      <c r="A12">
        <v>8</v>
      </c>
      <c r="B12" s="184">
        <v>45412</v>
      </c>
      <c r="C12" s="184">
        <v>45412</v>
      </c>
      <c r="D12" s="184" t="s">
        <v>267</v>
      </c>
      <c r="E12" s="184" t="s">
        <v>268</v>
      </c>
      <c r="F12" s="185" t="s">
        <v>269</v>
      </c>
      <c r="G12" s="184" t="s">
        <v>270</v>
      </c>
      <c r="H12" s="184" t="s">
        <v>274</v>
      </c>
      <c r="I12" s="185" t="s">
        <v>42</v>
      </c>
      <c r="J12" s="184" t="s">
        <v>86</v>
      </c>
      <c r="K12" s="184" t="s">
        <v>87</v>
      </c>
      <c r="L12" s="184" t="s">
        <v>271</v>
      </c>
      <c r="M12" s="184" t="s">
        <v>272</v>
      </c>
      <c r="N12" s="186">
        <v>997473993</v>
      </c>
      <c r="O12" s="187">
        <v>25</v>
      </c>
      <c r="P12" s="184" t="s">
        <v>92</v>
      </c>
      <c r="Q12" s="184" t="s">
        <v>86</v>
      </c>
      <c r="R12" s="184"/>
      <c r="S12" s="184" t="s">
        <v>268</v>
      </c>
      <c r="T12" s="188">
        <v>201509783</v>
      </c>
      <c r="U12" s="189" t="s">
        <v>273</v>
      </c>
    </row>
    <row r="13" spans="1:21">
      <c r="A13">
        <v>9</v>
      </c>
      <c r="B13" s="184">
        <v>45413</v>
      </c>
      <c r="C13" s="184">
        <v>45349</v>
      </c>
      <c r="D13" s="184" t="s">
        <v>275</v>
      </c>
      <c r="E13" s="184" t="s">
        <v>276</v>
      </c>
      <c r="F13" s="185" t="s">
        <v>277</v>
      </c>
      <c r="G13" s="184" t="s">
        <v>278</v>
      </c>
      <c r="H13" s="184" t="s">
        <v>279</v>
      </c>
      <c r="I13" s="185" t="s">
        <v>280</v>
      </c>
      <c r="J13" s="184" t="s">
        <v>86</v>
      </c>
      <c r="K13" s="184" t="s">
        <v>87</v>
      </c>
      <c r="L13" s="184" t="s">
        <v>281</v>
      </c>
      <c r="M13" s="184" t="s">
        <v>282</v>
      </c>
      <c r="N13" s="186">
        <v>967242802</v>
      </c>
      <c r="O13" s="187">
        <v>45</v>
      </c>
      <c r="P13" s="184" t="s">
        <v>92</v>
      </c>
      <c r="Q13" s="184" t="s">
        <v>86</v>
      </c>
      <c r="R13" s="184"/>
      <c r="S13" s="184" t="s">
        <v>276</v>
      </c>
      <c r="T13" s="188">
        <v>102826682</v>
      </c>
      <c r="U13" s="189" t="s">
        <v>283</v>
      </c>
    </row>
    <row r="14" spans="1:21">
      <c r="A14">
        <v>10</v>
      </c>
      <c r="B14" s="184">
        <v>45419</v>
      </c>
      <c r="C14" s="184">
        <v>45401</v>
      </c>
      <c r="D14" s="184" t="s">
        <v>83</v>
      </c>
      <c r="E14" s="184" t="s">
        <v>294</v>
      </c>
      <c r="F14" s="185" t="s">
        <v>236</v>
      </c>
      <c r="G14" s="184" t="s">
        <v>295</v>
      </c>
      <c r="H14" s="184" t="s">
        <v>296</v>
      </c>
      <c r="I14" s="185" t="s">
        <v>297</v>
      </c>
      <c r="J14" s="184" t="s">
        <v>86</v>
      </c>
      <c r="K14" s="184" t="s">
        <v>87</v>
      </c>
      <c r="L14" s="184" t="s">
        <v>298</v>
      </c>
      <c r="M14" s="184" t="s">
        <v>299</v>
      </c>
      <c r="N14" s="186">
        <v>991316082</v>
      </c>
      <c r="O14" s="187">
        <v>15</v>
      </c>
      <c r="P14" s="184" t="s">
        <v>92</v>
      </c>
      <c r="Q14" s="184" t="s">
        <v>86</v>
      </c>
      <c r="R14" s="184"/>
      <c r="S14" s="184" t="s">
        <v>294</v>
      </c>
      <c r="T14" s="188">
        <v>101026227</v>
      </c>
      <c r="U14" s="189" t="s">
        <v>300</v>
      </c>
    </row>
    <row r="15" spans="1:21">
      <c r="A15">
        <v>11</v>
      </c>
      <c r="B15" s="184">
        <v>45420</v>
      </c>
      <c r="C15" s="184">
        <v>45201</v>
      </c>
      <c r="D15" s="184" t="s">
        <v>301</v>
      </c>
      <c r="E15" s="184" t="s">
        <v>302</v>
      </c>
      <c r="F15" s="185" t="s">
        <v>303</v>
      </c>
      <c r="G15" s="184" t="s">
        <v>304</v>
      </c>
      <c r="H15" s="184" t="s">
        <v>305</v>
      </c>
      <c r="I15" s="185" t="s">
        <v>306</v>
      </c>
      <c r="J15" s="184" t="s">
        <v>86</v>
      </c>
      <c r="K15" s="184" t="s">
        <v>87</v>
      </c>
      <c r="L15" s="184" t="s">
        <v>307</v>
      </c>
      <c r="M15" s="184" t="s">
        <v>308</v>
      </c>
      <c r="N15" s="186">
        <v>984121807</v>
      </c>
      <c r="O15" s="187">
        <v>25</v>
      </c>
      <c r="P15" s="184" t="s">
        <v>92</v>
      </c>
      <c r="Q15" s="184" t="s">
        <v>86</v>
      </c>
      <c r="R15" s="184"/>
      <c r="S15" s="184" t="s">
        <v>302</v>
      </c>
      <c r="T15" s="188">
        <v>301378824</v>
      </c>
      <c r="U15" s="189" t="s">
        <v>309</v>
      </c>
    </row>
    <row r="16" spans="1:21">
      <c r="A16">
        <v>12</v>
      </c>
      <c r="B16" s="184">
        <v>45425</v>
      </c>
      <c r="C16" s="184">
        <v>45416</v>
      </c>
      <c r="D16" s="184" t="s">
        <v>99</v>
      </c>
      <c r="E16" s="184" t="s">
        <v>310</v>
      </c>
      <c r="F16" s="185" t="s">
        <v>236</v>
      </c>
      <c r="G16" s="184" t="s">
        <v>295</v>
      </c>
      <c r="H16" s="184" t="s">
        <v>311</v>
      </c>
      <c r="I16" s="185" t="s">
        <v>42</v>
      </c>
      <c r="J16" s="184" t="s">
        <v>86</v>
      </c>
      <c r="K16" s="184" t="s">
        <v>87</v>
      </c>
      <c r="L16" s="184" t="s">
        <v>312</v>
      </c>
      <c r="M16" s="184" t="s">
        <v>313</v>
      </c>
      <c r="N16" s="186">
        <v>991811255</v>
      </c>
      <c r="O16" s="187">
        <v>15</v>
      </c>
      <c r="P16" s="184" t="s">
        <v>92</v>
      </c>
      <c r="Q16" s="184" t="s">
        <v>86</v>
      </c>
      <c r="R16" s="184"/>
      <c r="S16" s="184" t="s">
        <v>310</v>
      </c>
      <c r="T16" s="188">
        <v>702911561</v>
      </c>
      <c r="U16" s="189" t="s">
        <v>314</v>
      </c>
    </row>
    <row r="17" spans="1:21">
      <c r="A17">
        <v>13</v>
      </c>
      <c r="B17" s="184">
        <v>45425</v>
      </c>
      <c r="C17" s="184">
        <v>45422</v>
      </c>
      <c r="D17" s="184" t="s">
        <v>100</v>
      </c>
      <c r="E17" s="184" t="s">
        <v>315</v>
      </c>
      <c r="F17" s="185" t="s">
        <v>316</v>
      </c>
      <c r="G17" s="184" t="s">
        <v>317</v>
      </c>
      <c r="H17" s="184" t="s">
        <v>318</v>
      </c>
      <c r="I17" s="185" t="s">
        <v>42</v>
      </c>
      <c r="J17" s="184" t="s">
        <v>86</v>
      </c>
      <c r="K17" s="184" t="s">
        <v>87</v>
      </c>
      <c r="L17" s="184" t="s">
        <v>319</v>
      </c>
      <c r="M17" s="184" t="s">
        <v>320</v>
      </c>
      <c r="N17" s="186">
        <v>989535896</v>
      </c>
      <c r="O17" s="187">
        <v>15</v>
      </c>
      <c r="P17" s="184" t="s">
        <v>92</v>
      </c>
      <c r="Q17" s="184" t="s">
        <v>86</v>
      </c>
      <c r="R17" s="184"/>
      <c r="S17" s="184" t="s">
        <v>315</v>
      </c>
      <c r="T17" s="188">
        <v>102336526</v>
      </c>
      <c r="U17" s="189" t="s">
        <v>321</v>
      </c>
    </row>
    <row r="18" spans="1:21">
      <c r="A18">
        <v>14</v>
      </c>
      <c r="B18" s="184">
        <v>45426</v>
      </c>
      <c r="C18" s="184">
        <v>45156</v>
      </c>
      <c r="D18" s="184" t="s">
        <v>322</v>
      </c>
      <c r="E18" s="184" t="s">
        <v>323</v>
      </c>
      <c r="F18" s="185" t="s">
        <v>324</v>
      </c>
      <c r="G18" s="184" t="s">
        <v>325</v>
      </c>
      <c r="H18" s="184" t="s">
        <v>326</v>
      </c>
      <c r="I18" s="185" t="s">
        <v>327</v>
      </c>
      <c r="J18" s="184" t="s">
        <v>86</v>
      </c>
      <c r="K18" s="184" t="s">
        <v>87</v>
      </c>
      <c r="L18" s="184" t="s">
        <v>328</v>
      </c>
      <c r="M18" s="184" t="s">
        <v>329</v>
      </c>
      <c r="N18" s="186">
        <v>998274492</v>
      </c>
      <c r="O18" s="187">
        <v>25</v>
      </c>
      <c r="P18" s="184" t="s">
        <v>92</v>
      </c>
      <c r="Q18" s="184" t="s">
        <v>86</v>
      </c>
      <c r="R18" s="184"/>
      <c r="S18" s="184" t="s">
        <v>323</v>
      </c>
      <c r="T18" s="188">
        <v>103111266</v>
      </c>
      <c r="U18" s="189" t="s">
        <v>330</v>
      </c>
    </row>
    <row r="19" spans="1:21">
      <c r="A19">
        <v>15</v>
      </c>
      <c r="B19" s="184">
        <v>45429</v>
      </c>
      <c r="C19" s="184">
        <v>45421</v>
      </c>
      <c r="D19" s="184" t="s">
        <v>100</v>
      </c>
      <c r="E19" s="184" t="s">
        <v>393</v>
      </c>
      <c r="F19" s="185" t="s">
        <v>394</v>
      </c>
      <c r="G19" s="184" t="s">
        <v>93</v>
      </c>
      <c r="H19" s="184" t="s">
        <v>395</v>
      </c>
      <c r="I19" s="185" t="s">
        <v>396</v>
      </c>
      <c r="J19" s="184" t="s">
        <v>86</v>
      </c>
      <c r="K19" s="184" t="s">
        <v>87</v>
      </c>
      <c r="L19" s="184" t="s">
        <v>397</v>
      </c>
      <c r="M19" s="184" t="s">
        <v>398</v>
      </c>
      <c r="N19" s="186">
        <v>993011710</v>
      </c>
      <c r="O19" s="187">
        <v>29</v>
      </c>
      <c r="P19" s="184" t="s">
        <v>92</v>
      </c>
      <c r="Q19" s="184" t="s">
        <v>86</v>
      </c>
      <c r="R19" s="184"/>
      <c r="S19" s="184" t="s">
        <v>393</v>
      </c>
      <c r="T19" s="188">
        <v>300638533</v>
      </c>
      <c r="U19" s="189" t="s">
        <v>399</v>
      </c>
    </row>
    <row r="20" spans="1:21">
      <c r="A20">
        <v>16</v>
      </c>
      <c r="B20" s="184"/>
      <c r="C20" s="184"/>
      <c r="D20" s="184"/>
      <c r="E20" s="184"/>
      <c r="F20" s="185"/>
      <c r="G20" s="184"/>
      <c r="H20" s="184"/>
      <c r="I20" s="185"/>
      <c r="J20" s="184" t="s">
        <v>86</v>
      </c>
      <c r="K20" s="184" t="s">
        <v>87</v>
      </c>
      <c r="L20" s="184"/>
      <c r="M20" s="184"/>
      <c r="N20" s="186"/>
      <c r="O20" s="187"/>
      <c r="P20" s="184" t="s">
        <v>92</v>
      </c>
      <c r="Q20" s="184" t="s">
        <v>86</v>
      </c>
      <c r="R20" s="184"/>
      <c r="S20" s="184"/>
      <c r="T20" s="188"/>
      <c r="U20" s="189"/>
    </row>
    <row r="21" spans="1:21">
      <c r="A21">
        <v>17</v>
      </c>
      <c r="B21" s="184"/>
      <c r="C21" s="184"/>
      <c r="D21" s="184"/>
      <c r="E21" s="184"/>
      <c r="F21" s="185"/>
      <c r="G21" s="184"/>
      <c r="H21" s="184"/>
      <c r="I21" s="185"/>
      <c r="J21" s="184" t="s">
        <v>86</v>
      </c>
      <c r="K21" s="184" t="s">
        <v>87</v>
      </c>
      <c r="L21" s="184"/>
      <c r="M21" s="184"/>
      <c r="N21" s="186"/>
      <c r="O21" s="187"/>
      <c r="P21" s="184" t="s">
        <v>92</v>
      </c>
      <c r="Q21" s="184" t="s">
        <v>86</v>
      </c>
      <c r="R21" s="184"/>
      <c r="S21" s="184"/>
      <c r="T21" s="188"/>
      <c r="U21" s="189"/>
    </row>
    <row r="22" spans="1:21">
      <c r="A22">
        <v>18</v>
      </c>
      <c r="B22" s="184"/>
      <c r="C22" s="184"/>
      <c r="D22" s="184"/>
      <c r="E22" s="184"/>
      <c r="F22" s="185"/>
      <c r="G22" s="184"/>
      <c r="H22" s="184"/>
      <c r="I22" s="185"/>
      <c r="J22" s="184" t="s">
        <v>86</v>
      </c>
      <c r="K22" s="184" t="s">
        <v>87</v>
      </c>
      <c r="L22" s="184"/>
      <c r="M22" s="184"/>
      <c r="N22" s="186"/>
      <c r="O22" s="187"/>
      <c r="P22" s="184" t="s">
        <v>92</v>
      </c>
      <c r="Q22" s="184" t="s">
        <v>86</v>
      </c>
      <c r="R22" s="184"/>
      <c r="S22" s="184"/>
      <c r="T22" s="188"/>
      <c r="U22" s="189"/>
    </row>
    <row r="23" spans="1:21">
      <c r="A23">
        <v>19</v>
      </c>
      <c r="B23" s="184"/>
      <c r="C23" s="184"/>
      <c r="D23" s="184"/>
      <c r="E23" s="184"/>
      <c r="F23" s="185"/>
      <c r="G23" s="184"/>
      <c r="H23" s="184"/>
      <c r="I23" s="185"/>
      <c r="J23" s="184" t="s">
        <v>86</v>
      </c>
      <c r="K23" s="184" t="s">
        <v>87</v>
      </c>
      <c r="L23" s="184"/>
      <c r="M23" s="184"/>
      <c r="N23" s="186"/>
      <c r="O23" s="187"/>
      <c r="P23" s="184" t="s">
        <v>92</v>
      </c>
      <c r="Q23" s="184" t="s">
        <v>86</v>
      </c>
      <c r="R23" s="184"/>
      <c r="S23" s="184"/>
      <c r="T23" s="188"/>
      <c r="U23" s="189"/>
    </row>
    <row r="24" spans="1:21">
      <c r="A24">
        <v>20</v>
      </c>
      <c r="B24" s="184"/>
      <c r="C24" s="184"/>
      <c r="D24" s="184"/>
      <c r="E24" s="184"/>
      <c r="F24" s="185"/>
      <c r="G24" s="184"/>
      <c r="H24" s="184"/>
      <c r="I24" s="185"/>
      <c r="J24" s="184" t="s">
        <v>86</v>
      </c>
      <c r="K24" s="184" t="s">
        <v>87</v>
      </c>
      <c r="L24" s="184"/>
      <c r="M24" s="184"/>
      <c r="N24" s="186"/>
      <c r="O24" s="187"/>
      <c r="P24" s="184" t="s">
        <v>92</v>
      </c>
      <c r="Q24" s="184" t="s">
        <v>86</v>
      </c>
      <c r="R24" s="184"/>
      <c r="S24" s="184"/>
      <c r="T24" s="188"/>
      <c r="U24" s="189"/>
    </row>
    <row r="25" spans="1:21">
      <c r="O25" s="155">
        <f>SUM(O5:O24)</f>
        <v>397</v>
      </c>
    </row>
  </sheetData>
  <hyperlinks>
    <hyperlink ref="U5" r:id="rId1" xr:uid="{00000000-0004-0000-0500-000000000000}"/>
    <hyperlink ref="U6" r:id="rId2" xr:uid="{00000000-0004-0000-0500-000001000000}"/>
    <hyperlink ref="U7" r:id="rId3" xr:uid="{00000000-0004-0000-0500-000002000000}"/>
    <hyperlink ref="U9" r:id="rId4" xr:uid="{00000000-0004-0000-0500-000003000000}"/>
    <hyperlink ref="U10" r:id="rId5" xr:uid="{00000000-0004-0000-0500-000004000000}"/>
    <hyperlink ref="U11" r:id="rId6" xr:uid="{00000000-0004-0000-0500-000005000000}"/>
    <hyperlink ref="U12" r:id="rId7" xr:uid="{00000000-0004-0000-0500-000006000000}"/>
    <hyperlink ref="U13" r:id="rId8" xr:uid="{00000000-0004-0000-0500-000007000000}"/>
    <hyperlink ref="U14" r:id="rId9" xr:uid="{00000000-0004-0000-0500-000008000000}"/>
    <hyperlink ref="U15" r:id="rId10" xr:uid="{00000000-0004-0000-0500-000009000000}"/>
    <hyperlink ref="U16" r:id="rId11" xr:uid="{00000000-0004-0000-0500-00000A000000}"/>
    <hyperlink ref="U17" r:id="rId12" xr:uid="{00000000-0004-0000-0500-00000B000000}"/>
    <hyperlink ref="U18" r:id="rId13" xr:uid="{00000000-0004-0000-0500-00000C000000}"/>
    <hyperlink ref="U19" r:id="rId14" xr:uid="{00000000-0004-0000-0500-00000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PROMOCION</vt:lpstr>
      <vt:lpstr>GARANTIA</vt:lpstr>
      <vt:lpstr>BBQ</vt:lpstr>
      <vt:lpstr>ALMACENES </vt:lpstr>
      <vt:lpstr>PROYECTO </vt:lpstr>
      <vt:lpstr>1 PRODUCTO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Marcia Navarrete</dc:creator>
  <cp:lastModifiedBy>Andres Cardenas</cp:lastModifiedBy>
  <dcterms:created xsi:type="dcterms:W3CDTF">2024-01-22T20:29:31Z</dcterms:created>
  <dcterms:modified xsi:type="dcterms:W3CDTF">2024-12-23T21:05:41Z</dcterms:modified>
</cp:coreProperties>
</file>