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olivercapelo/Desktop/REPORTES 2024 CONSOLIDADO/"/>
    </mc:Choice>
  </mc:AlternateContent>
  <xr:revisionPtr revIDLastSave="0" documentId="13_ncr:1_{F25729C9-D101-EA4B-8984-1D8D12AA1499}" xr6:coauthVersionLast="47" xr6:coauthVersionMax="47" xr10:uidLastSave="{00000000-0000-0000-0000-000000000000}"/>
  <bookViews>
    <workbookView xWindow="0" yWindow="500" windowWidth="44800" windowHeight="23000" activeTab="5" xr2:uid="{00000000-000D-0000-FFFF-FFFF00000000}"/>
  </bookViews>
  <sheets>
    <sheet name="PROMOCION" sheetId="1" r:id="rId1"/>
    <sheet name="GARANTIA" sheetId="2" r:id="rId2"/>
    <sheet name="BBQ" sheetId="3" r:id="rId3"/>
    <sheet name="ALMACENES " sheetId="4" r:id="rId4"/>
    <sheet name="PROYECTO " sheetId="5" r:id="rId5"/>
    <sheet name="1 PRODUCTO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" i="2" l="1"/>
  <c r="O31" i="1"/>
  <c r="O15" i="3"/>
  <c r="M24" i="2"/>
  <c r="M41" i="1" l="1"/>
  <c r="M40" i="1"/>
  <c r="M42" i="1" l="1"/>
</calcChain>
</file>

<file path=xl/sharedStrings.xml><?xml version="1.0" encoding="utf-8"?>
<sst xmlns="http://schemas.openxmlformats.org/spreadsheetml/2006/main" count="963" uniqueCount="448">
  <si>
    <t xml:space="preserve">TEKA ECUADOR S.A. </t>
  </si>
  <si>
    <t>Registro Único de Contribuyente: 1791883144001</t>
  </si>
  <si>
    <t xml:space="preserve">FECHA DE COMPRA </t>
  </si>
  <si>
    <t xml:space="preserve">LUGAR DE COMRPA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</si>
  <si>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</si>
  <si>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</si>
  <si>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</si>
  <si>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</si>
  <si>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</si>
  <si>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</si>
  <si>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</si>
  <si>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</si>
  <si>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</si>
  <si>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</si>
  <si>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</si>
  <si>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</si>
  <si>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</si>
  <si>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</si>
  <si>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</si>
  <si>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FACTURA NUMERO</t>
  </si>
  <si>
    <t>CEDULA O RUC</t>
  </si>
  <si>
    <t xml:space="preserve">CORREO DEL CLIENTE </t>
  </si>
  <si>
    <t>Cliente final</t>
  </si>
  <si>
    <t xml:space="preserve">PROMOCION </t>
  </si>
  <si>
    <t xml:space="preserve">                  TRABAJOS EN GARANTÍAS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</si>
  <si>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</si>
  <si>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</si>
  <si>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</si>
  <si>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</si>
  <si>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</si>
  <si>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</si>
  <si>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</si>
  <si>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</si>
  <si>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</si>
  <si>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</si>
  <si>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</si>
  <si>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</si>
  <si>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</si>
  <si>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</si>
  <si>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</si>
  <si>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</si>
  <si>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</si>
  <si>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>SAP</t>
  </si>
  <si>
    <t xml:space="preserve">     TEKA ECUADOR S.A. </t>
  </si>
  <si>
    <t xml:space="preserve">    Registro Único de Contribuyente: 1791883144001</t>
  </si>
  <si>
    <t>BBQ</t>
  </si>
  <si>
    <t xml:space="preserve">FECHA INSTALACION </t>
  </si>
  <si>
    <t xml:space="preserve">COMO LLEGO INFORMACION </t>
  </si>
  <si>
    <t>TECNICO QUE ATENDIO</t>
  </si>
  <si>
    <t>VIATICOS</t>
  </si>
  <si>
    <t>CORREO DEL CLIENTE</t>
  </si>
  <si>
    <t>TEKA ECUADOR S.A.</t>
  </si>
  <si>
    <t>FECHA DE COMPRA</t>
  </si>
  <si>
    <t>LUGAR DE COMRPA</t>
  </si>
  <si>
    <t>CODIGO DEL PRODUCTO</t>
  </si>
  <si>
    <t>DESCRIPCION DE PRODUCTO</t>
  </si>
  <si>
    <t>SERIE DEL EQUIPO</t>
  </si>
  <si>
    <t>TECNICO</t>
  </si>
  <si>
    <t>CIUDAD</t>
  </si>
  <si>
    <t>FECHA INSTALACION</t>
  </si>
  <si>
    <t>DIRECCION INSTALACION</t>
  </si>
  <si>
    <t>COMO LLEGO INFORMACION</t>
  </si>
  <si>
    <t xml:space="preserve">ALMACENES </t>
  </si>
  <si>
    <t>DETALLE DE PRODUCTOS INSTALADOS EN PROYECTO</t>
  </si>
  <si>
    <t xml:space="preserve">COMO NOS LLEGO LA INFORMACION </t>
  </si>
  <si>
    <t>Nombre de cliente</t>
  </si>
  <si>
    <t xml:space="preserve">Celular cliente </t>
  </si>
  <si>
    <t>VALOR</t>
  </si>
  <si>
    <t>RUC O CEDULA DUEÑO DE CASA</t>
  </si>
  <si>
    <t xml:space="preserve">CORREO DEL DUEÑO DE CASA </t>
  </si>
  <si>
    <t>DPTO.</t>
  </si>
  <si>
    <t>RECIBIDO POR</t>
  </si>
  <si>
    <t>CÉDULA</t>
  </si>
  <si>
    <t xml:space="preserve">PROYECTO </t>
  </si>
  <si>
    <t>Capelo</t>
  </si>
  <si>
    <t>Cuenca</t>
  </si>
  <si>
    <t>CAPELO</t>
  </si>
  <si>
    <t>CUENCA</t>
  </si>
  <si>
    <t>Barbacoa a Gas T-BBQ 4100 SS</t>
  </si>
  <si>
    <t>De Cristian Capelo</t>
  </si>
  <si>
    <t>UN SOLO PRODUCTO</t>
  </si>
  <si>
    <t>CLIENTE FINAL</t>
  </si>
  <si>
    <t>CORREO ELECTRONICO</t>
  </si>
  <si>
    <t>SEPTIEMBRE 2024</t>
  </si>
  <si>
    <t>Cristian Capelo</t>
  </si>
  <si>
    <t>Trituradores</t>
  </si>
  <si>
    <t>Cocinas</t>
  </si>
  <si>
    <t>Horno</t>
  </si>
  <si>
    <t>CAPELO NOVIEMBRE2024</t>
  </si>
  <si>
    <t xml:space="preserve">CAPELO NOVIEMBRE 2024 </t>
  </si>
  <si>
    <t>CAPELO DICIEMBRE 2024</t>
  </si>
  <si>
    <t>Al 16 de DICIEMBRE del 2024</t>
  </si>
  <si>
    <t>Diciembre</t>
  </si>
  <si>
    <t>Capelo Diciembre 2024</t>
  </si>
  <si>
    <t>CAPELO - DICIEMBRE 2024</t>
  </si>
  <si>
    <t>Barbacoa a Gas T-BBQ 3100</t>
  </si>
  <si>
    <t>COMERCIAL SOLIS</t>
  </si>
  <si>
    <t>≥≥≥≥≥≥≥≥</t>
  </si>
  <si>
    <t>KYWI</t>
  </si>
  <si>
    <t>Fregadero</t>
  </si>
  <si>
    <t>Campana</t>
  </si>
  <si>
    <t>Refrigerador</t>
  </si>
  <si>
    <t>Exhibicion Almacen</t>
  </si>
  <si>
    <t>HORNO HSB 610 BK</t>
  </si>
  <si>
    <t>MARIA JOSE URRIOLA</t>
  </si>
  <si>
    <t>AV. 10 DE AGOSTO 3-175</t>
  </si>
  <si>
    <t>0993180207</t>
  </si>
  <si>
    <t>0106445984</t>
  </si>
  <si>
    <t>majo.urriola@gmail.com</t>
  </si>
  <si>
    <t>COCINA IZC 640010MSS BK</t>
  </si>
  <si>
    <t>CAMPANA TP233E02535</t>
  </si>
  <si>
    <t>ZP23C101409</t>
  </si>
  <si>
    <t>TP233E02535</t>
  </si>
  <si>
    <t>TZ241405501</t>
  </si>
  <si>
    <t>REFRIGERADOR RFD77820GBIL</t>
  </si>
  <si>
    <t>MC2231N00013</t>
  </si>
  <si>
    <t>MARIBEL ARGUDO</t>
  </si>
  <si>
    <t>NO ENFRIA</t>
  </si>
  <si>
    <t>COCINA 1R 9530</t>
  </si>
  <si>
    <t>ZP212AR00011</t>
  </si>
  <si>
    <t>CAMILA VASQUEZ</t>
  </si>
  <si>
    <t>FILTROS DE CORRIENTE CIRCUITADAS</t>
  </si>
  <si>
    <t>031678745</t>
  </si>
  <si>
    <t>c_ami_vasquez@hotmail.com</t>
  </si>
  <si>
    <t>0987102174</t>
  </si>
  <si>
    <t>001-001-000000486</t>
  </si>
  <si>
    <t>COCINA JZC 63312 ABB</t>
  </si>
  <si>
    <t>ZP213R00020</t>
  </si>
  <si>
    <t>ROSA GUZMAN</t>
  </si>
  <si>
    <t>0103923561</t>
  </si>
  <si>
    <t>rosyguzmanj@gmail.com</t>
  </si>
  <si>
    <t>0995553004</t>
  </si>
  <si>
    <t>001-101-000003549</t>
  </si>
  <si>
    <t>001-500-000068588</t>
  </si>
  <si>
    <t>112930063</t>
  </si>
  <si>
    <t>CAMPANA DRI 88-61E05BP1</t>
  </si>
  <si>
    <t>PX244N00123</t>
  </si>
  <si>
    <t>MAGALY COCHAY</t>
  </si>
  <si>
    <t>TURI</t>
  </si>
  <si>
    <t>0992126289</t>
  </si>
  <si>
    <t>0104530050</t>
  </si>
  <si>
    <t>magalycochay@gmail.com</t>
  </si>
  <si>
    <t>111000051</t>
  </si>
  <si>
    <t>HORNO HLB 8416 BK</t>
  </si>
  <si>
    <t>TZ249916713</t>
  </si>
  <si>
    <t>0987601353</t>
  </si>
  <si>
    <t>0104841101</t>
  </si>
  <si>
    <t>annacorral48@gmail.com</t>
  </si>
  <si>
    <t>001-500-000042984</t>
  </si>
  <si>
    <t>074114427</t>
  </si>
  <si>
    <t>repcar_repuestos@hotmail.com</t>
  </si>
  <si>
    <t>0103678710001</t>
  </si>
  <si>
    <t>043-904-000053996</t>
  </si>
  <si>
    <t>CO249E00062</t>
  </si>
  <si>
    <t>BETTY AMOROSO</t>
  </si>
  <si>
    <t>RACAR</t>
  </si>
  <si>
    <t>0992849415</t>
  </si>
  <si>
    <t>0301542317</t>
  </si>
  <si>
    <t>bettyamoroso10@hotmail.com</t>
  </si>
  <si>
    <t>043-902-000033100</t>
  </si>
  <si>
    <t>CO249E00142</t>
  </si>
  <si>
    <t>XAVIER VAZQUEZ</t>
  </si>
  <si>
    <t>NICANOR AGUILAR Y ROBERTO CRESPO</t>
  </si>
  <si>
    <t>0993093598</t>
  </si>
  <si>
    <t>0101443539</t>
  </si>
  <si>
    <t>asesoria.legal.xv@gmail.com</t>
  </si>
  <si>
    <t>CO249E00524</t>
  </si>
  <si>
    <t>CO249E00543</t>
  </si>
  <si>
    <t>MARISCAL LAMAR</t>
  </si>
  <si>
    <t>0987515341</t>
  </si>
  <si>
    <t>0105903785</t>
  </si>
  <si>
    <t>adrian9mcd@gmail.com</t>
  </si>
  <si>
    <t>001-500-000069200</t>
  </si>
  <si>
    <t>112520025</t>
  </si>
  <si>
    <t>COCINA IZ C64010MST BK</t>
  </si>
  <si>
    <t>ZP245900259</t>
  </si>
  <si>
    <t>MERCEDES CAMPOVERDE</t>
  </si>
  <si>
    <t>EDWIN SACOTO 1 07 Y AV 12 ABRIL</t>
  </si>
  <si>
    <t>074828034</t>
  </si>
  <si>
    <t>0100768894</t>
  </si>
  <si>
    <t>mmmmechita@yahoo.com</t>
  </si>
  <si>
    <t>MERCARD</t>
  </si>
  <si>
    <t>001-001-000000295</t>
  </si>
  <si>
    <t>COCINA IZS 86630 MST BK</t>
  </si>
  <si>
    <t>ZP238W00454</t>
  </si>
  <si>
    <t>TORRES DEL BOSQUE</t>
  </si>
  <si>
    <t>0999099953</t>
  </si>
  <si>
    <t>0190416119</t>
  </si>
  <si>
    <t>juanacarrasco86@hotmail.com</t>
  </si>
  <si>
    <t>HORNO HBB 510 BK</t>
  </si>
  <si>
    <t>TZ 244524961</t>
  </si>
  <si>
    <t>016-002-000486583</t>
  </si>
  <si>
    <t>COCINA GSC 96320 SBAS IX</t>
  </si>
  <si>
    <t>HORNO HSB 750 G LPG EP</t>
  </si>
  <si>
    <t>ZP244P00124</t>
  </si>
  <si>
    <t>TZ243012633</t>
  </si>
  <si>
    <t>ELENA CARDENAS</t>
  </si>
  <si>
    <t>RICAURTE</t>
  </si>
  <si>
    <t>0969091621</t>
  </si>
  <si>
    <t>0101076164</t>
  </si>
  <si>
    <t>ecardenas15sep@gmail.com</t>
  </si>
  <si>
    <t xml:space="preserve">  </t>
  </si>
  <si>
    <t>TRITURADOR TR510.1</t>
  </si>
  <si>
    <t>Z40115AF1302</t>
  </si>
  <si>
    <t>CLARA TORAL</t>
  </si>
  <si>
    <t>0102590502</t>
  </si>
  <si>
    <t>nenacarrascot@hotmail.com</t>
  </si>
  <si>
    <t>0984048763</t>
  </si>
  <si>
    <t>043-904-000046821</t>
  </si>
  <si>
    <t>HOME VEGA</t>
  </si>
  <si>
    <t>006-002-000157167</t>
  </si>
  <si>
    <t>112570128</t>
  </si>
  <si>
    <t>COCINA JZC 96342 BBB</t>
  </si>
  <si>
    <t>ZP244400279</t>
  </si>
  <si>
    <t>GONZALO ALVARADO</t>
  </si>
  <si>
    <t>GUARANGOS</t>
  </si>
  <si>
    <t>0998299811</t>
  </si>
  <si>
    <t>0104134648</t>
  </si>
  <si>
    <t>gonzaloalvaradoarquitecto@hotmail.com</t>
  </si>
  <si>
    <t>001-500-000068943</t>
  </si>
  <si>
    <t>40466111</t>
  </si>
  <si>
    <t>CAMPANA C910</t>
  </si>
  <si>
    <t>TP254411240</t>
  </si>
  <si>
    <t>FERNANDO ALVARADO</t>
  </si>
  <si>
    <t>PRADOS DEL YANUNCAY</t>
  </si>
  <si>
    <t>0983170105</t>
  </si>
  <si>
    <t>0102586161</t>
  </si>
  <si>
    <t>feralvaradop@hotmail.com</t>
  </si>
  <si>
    <t>INES VINTIMILLA</t>
  </si>
  <si>
    <t>006-002-000187204</t>
  </si>
  <si>
    <t>111010028</t>
  </si>
  <si>
    <t>HORNO HSB 646 SS</t>
  </si>
  <si>
    <t>TZ247416496</t>
  </si>
  <si>
    <t>CASALES DEL SOL</t>
  </si>
  <si>
    <t>0999736330</t>
  </si>
  <si>
    <t>0102535969</t>
  </si>
  <si>
    <t>ivintimi@pichincha.com</t>
  </si>
  <si>
    <t>TP233MO3412</t>
  </si>
  <si>
    <t>LUCIA DELGADO</t>
  </si>
  <si>
    <t>SAYAUSI</t>
  </si>
  <si>
    <t>0998089173</t>
  </si>
  <si>
    <t>0104603725</t>
  </si>
  <si>
    <t>luciadel34@hotmail.com</t>
  </si>
  <si>
    <t>093-903-000048487</t>
  </si>
  <si>
    <t>006-002-000154017</t>
  </si>
  <si>
    <t>40467320</t>
  </si>
  <si>
    <t>CAMPANA C7310</t>
  </si>
  <si>
    <t>TP243M06212</t>
  </si>
  <si>
    <t>NORA REINOSO</t>
  </si>
  <si>
    <t>ORDONEZ LASSO</t>
  </si>
  <si>
    <t>0997205127</t>
  </si>
  <si>
    <t>0102193794</t>
  </si>
  <si>
    <t>nreinoso@ecuaquimica.com.ec</t>
  </si>
  <si>
    <t>CO249E00827</t>
  </si>
  <si>
    <t>CO249E00048</t>
  </si>
  <si>
    <t>KYWI WAYRA</t>
  </si>
  <si>
    <t>AV 24 DE MAYO</t>
  </si>
  <si>
    <t>0995218282</t>
  </si>
  <si>
    <t>1313565226</t>
  </si>
  <si>
    <t>meza101048@gmail.com</t>
  </si>
  <si>
    <t>COCINA IZC 64010 MSS BK</t>
  </si>
  <si>
    <t>ZP245900255</t>
  </si>
  <si>
    <t>TP245HII209</t>
  </si>
  <si>
    <t>SERGIO VASQUEZ</t>
  </si>
  <si>
    <t>EDIFICIO SAN FRANCISCO</t>
  </si>
  <si>
    <t>0909311601</t>
  </si>
  <si>
    <t>0100960772</t>
  </si>
  <si>
    <t>sergio.vasquezf94@gmail.com</t>
  </si>
  <si>
    <t>COCINA GZC 96310 KBB</t>
  </si>
  <si>
    <t>HORNO HLB 85G1 PBM</t>
  </si>
  <si>
    <t>MICROONDAS ML 82 G1 BIS L</t>
  </si>
  <si>
    <t>ZP23B000238</t>
  </si>
  <si>
    <t>TZ242K21498</t>
  </si>
  <si>
    <t>TP243M05788</t>
  </si>
  <si>
    <t>PATRICIO MARCA NIEVES</t>
  </si>
  <si>
    <t>ORDOÑEZ LASSO</t>
  </si>
  <si>
    <t>0980807164</t>
  </si>
  <si>
    <t>0104638861</t>
  </si>
  <si>
    <t>car_lo_ly@hotmail.com</t>
  </si>
  <si>
    <t>ANNA CORRAL ESPINOZA</t>
  </si>
  <si>
    <t>CALLE LATINOAMERICANA Y U. NACIONAL</t>
  </si>
  <si>
    <t>TRITURADOR NO ENCIENDE, CAMBIO PRODUCTO</t>
  </si>
  <si>
    <t>COCINA NO ENCIENDE, TARJETA TOUCH TERMINALES FLOJOS</t>
  </si>
  <si>
    <t>LAVAVAJILLAS DW8 57 FIM-D</t>
  </si>
  <si>
    <t>MD22BL00276</t>
  </si>
  <si>
    <t>JUAN FERNANDEZ DE CORDOVA</t>
  </si>
  <si>
    <t>VALVULA DE ENTRADA DE AGUA NO SELLA COMPLETAMENTE</t>
  </si>
  <si>
    <t>0104236630</t>
  </si>
  <si>
    <t>jsfcordova@gmail.com</t>
  </si>
  <si>
    <t>072455328</t>
  </si>
  <si>
    <t>001-200-210900023</t>
  </si>
  <si>
    <t>AW23300200</t>
  </si>
  <si>
    <t>LORENA IÑIGUEZ</t>
  </si>
  <si>
    <t>PATA NIVELADORA ROSCA BARRIDA</t>
  </si>
  <si>
    <t>0105274117</t>
  </si>
  <si>
    <t>0989761551</t>
  </si>
  <si>
    <t>001-001-000000153</t>
  </si>
  <si>
    <t>113430018</t>
  </si>
  <si>
    <t>REFRIGERADOR RFL 74920 SS</t>
  </si>
  <si>
    <t>MC232R00088</t>
  </si>
  <si>
    <t>ENRIQUE TAPIA</t>
  </si>
  <si>
    <t>PEDRO BERROETA Y EZEQUIEL MARQUEZ</t>
  </si>
  <si>
    <t>0901064873</t>
  </si>
  <si>
    <t>0989434151</t>
  </si>
  <si>
    <t>enaltos@gmail.com</t>
  </si>
  <si>
    <t xml:space="preserve">COCINA GBC 64000 KBB </t>
  </si>
  <si>
    <t>ZP242N00890</t>
  </si>
  <si>
    <t>GABRIELA SULTANI</t>
  </si>
  <si>
    <t>FRANCISCO ORELLANA Y PEDRO MUELES</t>
  </si>
  <si>
    <t>0984834818</t>
  </si>
  <si>
    <t>0103789748</t>
  </si>
  <si>
    <t>gabisultani@gmail.com</t>
  </si>
  <si>
    <t>TP245H11216</t>
  </si>
  <si>
    <t>043-903-000049121</t>
  </si>
  <si>
    <t>CO249E00929</t>
  </si>
  <si>
    <t>HERNANDO MACHADO</t>
  </si>
  <si>
    <t>YANUNCAY</t>
  </si>
  <si>
    <t>0995660430</t>
  </si>
  <si>
    <t>0101331502</t>
  </si>
  <si>
    <t>machadonando93@gmail.com</t>
  </si>
  <si>
    <t>JUANA CARRASCO</t>
  </si>
  <si>
    <t>001-501-000004411</t>
  </si>
  <si>
    <t>001-502-000000069</t>
  </si>
  <si>
    <t>001-500-000067875</t>
  </si>
  <si>
    <t>001-501-000001650</t>
  </si>
  <si>
    <t>lorena@sensorvital.com</t>
  </si>
  <si>
    <t>040-103-000003154</t>
  </si>
  <si>
    <t>006-002-000157215</t>
  </si>
  <si>
    <t>40197255</t>
  </si>
  <si>
    <t>TRITURADOR 710.1</t>
  </si>
  <si>
    <t>240428AF0772</t>
  </si>
  <si>
    <t>JUAN LANDY</t>
  </si>
  <si>
    <t>LA SALLE</t>
  </si>
  <si>
    <t>0995388169</t>
  </si>
  <si>
    <t>0105500862</t>
  </si>
  <si>
    <t>juanpablolandym@gmail.com</t>
  </si>
  <si>
    <t>BOYACA</t>
  </si>
  <si>
    <t>007-006-0001255900</t>
  </si>
  <si>
    <t>40466110</t>
  </si>
  <si>
    <t>TP236M05665</t>
  </si>
  <si>
    <t>TOTORACOCHA</t>
  </si>
  <si>
    <t>SONIA GUERRERO</t>
  </si>
  <si>
    <t>0104367784</t>
  </si>
  <si>
    <t>mirela.gn@hotmail.com</t>
  </si>
  <si>
    <t>001-500-000067725</t>
  </si>
  <si>
    <t>016-902-000488113</t>
  </si>
  <si>
    <t>CAMPANA DLV98660 TRL</t>
  </si>
  <si>
    <t>TP24703555</t>
  </si>
  <si>
    <t>MIGUEL YUQUILIMA</t>
  </si>
  <si>
    <t>OCHOA LEON</t>
  </si>
  <si>
    <t>9175287798</t>
  </si>
  <si>
    <t>016-902-000-499113</t>
  </si>
  <si>
    <t>0104216635</t>
  </si>
  <si>
    <t>CIRCUITO ALIMENTACION FILTRO TEKA 61, CIRCUITO ALIMENTACION FILTRO TEKA 61+dominio</t>
  </si>
  <si>
    <t>001-500-000069539</t>
  </si>
  <si>
    <t>MICROONDAS MWG 14X</t>
  </si>
  <si>
    <t>MW247A00216</t>
  </si>
  <si>
    <t>JACKELINE CARRION</t>
  </si>
  <si>
    <t>EL CEBOLLAR</t>
  </si>
  <si>
    <t>0979470809</t>
  </si>
  <si>
    <t>0705145019</t>
  </si>
  <si>
    <t>jklcarrion@gmail.com</t>
  </si>
  <si>
    <t>001-500-000069381</t>
  </si>
  <si>
    <t>HORNO HLB 830 SS</t>
  </si>
  <si>
    <t>TZ23BD11123</t>
  </si>
  <si>
    <t>VICENTE MEJIA</t>
  </si>
  <si>
    <t>CHALLUABAMBA</t>
  </si>
  <si>
    <t>0997094691</t>
  </si>
  <si>
    <t>0102343373</t>
  </si>
  <si>
    <t>vmajia@ups.edu.ec</t>
  </si>
  <si>
    <t>z</t>
  </si>
  <si>
    <t>COCINA JZC96342 BBB</t>
  </si>
  <si>
    <t>ZP245F00239</t>
  </si>
  <si>
    <t>TP245H11214</t>
  </si>
  <si>
    <t>MICROONDAS ML 820 BIS</t>
  </si>
  <si>
    <t>TP245C01873</t>
  </si>
  <si>
    <t>001-500-000065821</t>
  </si>
  <si>
    <t>CAMPANA DPL 980 T</t>
  </si>
  <si>
    <t>HORNO 8510 P BK</t>
  </si>
  <si>
    <t>COCINA GZC 75330 XBB</t>
  </si>
  <si>
    <t>TP241W03075</t>
  </si>
  <si>
    <t>TZ242032267</t>
  </si>
  <si>
    <t>ZP2422100374</t>
  </si>
  <si>
    <t>MICHELLE MOSQUERA</t>
  </si>
  <si>
    <t>ISABEL LA CATOLICA</t>
  </si>
  <si>
    <t>0962822015</t>
  </si>
  <si>
    <t>0101283653</t>
  </si>
  <si>
    <t>silviaauquilla42@gmail.com</t>
  </si>
  <si>
    <t>043-906-000036123</t>
  </si>
  <si>
    <t>CO249E00403</t>
  </si>
  <si>
    <t>CO249E00002</t>
  </si>
  <si>
    <t xml:space="preserve">MARIA CORDERO </t>
  </si>
  <si>
    <t>MIGUEL DE SANTIAGO Y AV. 27 DE FEBRERO</t>
  </si>
  <si>
    <t>0984188451</t>
  </si>
  <si>
    <t>0104153432</t>
  </si>
  <si>
    <t>lulacordero15@hotmail.com</t>
  </si>
  <si>
    <t>001-500-000067519</t>
  </si>
  <si>
    <t>COCINA GBC 95030 KBB</t>
  </si>
  <si>
    <t>ZP242P00828</t>
  </si>
  <si>
    <t>WILSON VINTIMILLA</t>
  </si>
  <si>
    <t>TP246B012158</t>
  </si>
  <si>
    <t>0984146942</t>
  </si>
  <si>
    <t>0104011127</t>
  </si>
  <si>
    <t>wvintimilla@jep.coop</t>
  </si>
  <si>
    <t>231125AF0082</t>
  </si>
  <si>
    <t>CRISTIAN MONTERO</t>
  </si>
  <si>
    <t xml:space="preserve">PULSADOR NEUMATICO TRABADO,SE DESARMA LIMPIA Y REPARA </t>
  </si>
  <si>
    <t>LAVAVAJILLAS DFI 46900</t>
  </si>
  <si>
    <t>0103379186001</t>
  </si>
  <si>
    <t>chmontero@hotmail.com</t>
  </si>
  <si>
    <t>0728335031</t>
  </si>
  <si>
    <t>001-500-000065723</t>
  </si>
  <si>
    <t>111040006</t>
  </si>
  <si>
    <t>HORNO 750 G LPG E10</t>
  </si>
  <si>
    <t>TZ245W29986</t>
  </si>
  <si>
    <t>JOCELYN VAZQUEZ</t>
  </si>
  <si>
    <t>CALLE PASEO RIO TARQUI</t>
  </si>
  <si>
    <t>0989159722</t>
  </si>
  <si>
    <t>006-000157049</t>
  </si>
  <si>
    <t>0152643912</t>
  </si>
  <si>
    <t>pesantez63@gmail.com</t>
  </si>
  <si>
    <t>ALM ESPAÑA</t>
  </si>
  <si>
    <t>008-501-000008822</t>
  </si>
  <si>
    <t>40197155</t>
  </si>
  <si>
    <t>TRITURADOR 510.1</t>
  </si>
  <si>
    <t>230710AF1949</t>
  </si>
  <si>
    <t>0994376010</t>
  </si>
  <si>
    <t>1103410476</t>
  </si>
  <si>
    <t>irinaeguiguren@hotmail.com</t>
  </si>
  <si>
    <t>IRINA EGUIGUREN</t>
  </si>
  <si>
    <t>016-902-000491248</t>
  </si>
  <si>
    <t>COCINA</t>
  </si>
  <si>
    <t>ZP243500366</t>
  </si>
  <si>
    <t>CARLOS RENGIFO</t>
  </si>
  <si>
    <t>CONDOMINIO PASEO CEREZOIS</t>
  </si>
  <si>
    <t>0939222812</t>
  </si>
  <si>
    <t>karlosmenchado@gmail.com</t>
  </si>
  <si>
    <t>043-903-000035858</t>
  </si>
  <si>
    <t>ZP242500257</t>
  </si>
  <si>
    <t>CARLOS MUÑOZ</t>
  </si>
  <si>
    <t>SININCAY</t>
  </si>
  <si>
    <t>0984383464</t>
  </si>
  <si>
    <t>0103754495</t>
  </si>
  <si>
    <t>carlos_8048@hotmail.com</t>
  </si>
  <si>
    <t>lavavajillas</t>
  </si>
  <si>
    <t>TOTAL</t>
  </si>
  <si>
    <t>001-500-000065230</t>
  </si>
  <si>
    <t>001-500-000063394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</si>
</sst>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&quot;$&quot;\-#,##0"/>
    <numFmt numFmtId="43" formatCode="_ * #,##0.00_ ;_ * \-#,##0.00_ ;_ * &quot;-&quot;??_ ;_ @_ "/>
    <numFmt numFmtId="164" formatCode="dd\-mm\-yy;@"/>
    <numFmt numFmtId="165" formatCode="&quot;$&quot;#,##0.00"/>
    <numFmt numFmtId="166" formatCode="dd/mm/yy;@"/>
    <numFmt numFmtId="167" formatCode="_-* #,##0.00\ _€_-;\-* #,##0.00\ _€_-;_-* &quot;-&quot;??\ _€_-;_-@_-"/>
    <numFmt numFmtId="168" formatCode="dd/mm/yyyy;@"/>
  </numFmts>
  <fonts count="7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7"/>
      <name val="Calibri"/>
      <family val="2"/>
    </font>
    <font>
      <sz val="9"/>
      <name val="Franklin Gothic Book"/>
      <family val="2"/>
    </font>
    <font>
      <sz val="11"/>
      <name val="Calibri"/>
      <family val="2"/>
    </font>
    <font>
      <sz val="7"/>
      <color indexed="8"/>
      <name val="Calibri"/>
      <family val="2"/>
    </font>
    <font>
      <sz val="8"/>
      <color indexed="8"/>
      <name val="Calibri"/>
      <family val="2"/>
    </font>
    <font>
      <b/>
      <sz val="9"/>
      <name val="Franklin Gothic Book"/>
      <family val="2"/>
    </font>
    <font>
      <sz val="11"/>
      <color indexed="8"/>
      <name val="Calibri"/>
      <family val="2"/>
      <charset val="1"/>
    </font>
    <font>
      <sz val="11"/>
      <name val="Calibri"/>
      <family val="2"/>
      <charset val="1"/>
    </font>
    <font>
      <sz val="12"/>
      <color indexed="8"/>
      <name val="Calibri"/>
      <family val="2"/>
      <charset val="1"/>
    </font>
    <font>
      <sz val="10"/>
      <color theme="1"/>
      <name val="Aptos Narrow"/>
      <family val="2"/>
      <scheme val="minor"/>
    </font>
    <font>
      <b/>
      <sz val="10"/>
      <color rgb="FFFFFFFF"/>
      <name val="Calibri"/>
      <family val="2"/>
    </font>
    <font>
      <sz val="13"/>
      <color indexed="8"/>
      <name val="Calibri"/>
      <family val="2"/>
    </font>
    <font>
      <u/>
      <sz val="13"/>
      <color theme="4"/>
      <name val="Aptos Narrow"/>
      <family val="2"/>
      <scheme val="minor"/>
    </font>
    <font>
      <u/>
      <sz val="13"/>
      <color theme="10"/>
      <name val="Aptos Narrow"/>
      <family val="2"/>
      <scheme val="minor"/>
    </font>
    <font>
      <sz val="13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color rgb="FF000000"/>
      <name val="Calibri"/>
      <family val="2"/>
      <charset val="1"/>
    </font>
    <font>
      <sz val="11"/>
      <color theme="1"/>
      <name val="Aptos Narrow"/>
      <scheme val="minor"/>
    </font>
    <font>
      <sz val="7"/>
      <color theme="1"/>
      <name val="Aptos Narrow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Aptos Narrow"/>
      <family val="2"/>
      <scheme val="minor"/>
    </font>
    <font>
      <sz val="9"/>
      <name val="Calibri"/>
      <family val="2"/>
    </font>
    <font>
      <b/>
      <sz val="18"/>
      <name val="Aptos Narrow"/>
      <family val="2"/>
      <scheme val="minor"/>
    </font>
    <font>
      <b/>
      <sz val="18"/>
      <color indexed="8"/>
      <name val="Aptos Narrow"/>
      <family val="2"/>
      <scheme val="minor"/>
    </font>
    <font>
      <sz val="15"/>
      <name val="Aptos Narrow"/>
      <family val="2"/>
      <scheme val="minor"/>
    </font>
    <font>
      <b/>
      <sz val="7"/>
      <name val="Aptos Narrow"/>
      <family val="2"/>
      <scheme val="minor"/>
    </font>
    <font>
      <b/>
      <sz val="15"/>
      <name val="Arial"/>
      <family val="2"/>
    </font>
    <font>
      <sz val="10"/>
      <name val="Aptos Narrow"/>
      <family val="2"/>
      <scheme val="minor"/>
    </font>
    <font>
      <u/>
      <sz val="10"/>
      <color theme="10"/>
      <name val="Arial"/>
      <family val="2"/>
    </font>
    <font>
      <u/>
      <sz val="13"/>
      <color theme="4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sz val="9"/>
      <color rgb="FF1D2228"/>
      <name val="Gothic sans-serif"/>
      <charset val="1"/>
    </font>
    <font>
      <sz val="10"/>
      <color rgb="FF1D2228"/>
      <name val="Arial"/>
      <family val="2"/>
      <charset val="1"/>
    </font>
    <font>
      <b/>
      <sz val="9"/>
      <color rgb="FF1D2228"/>
      <name val="Gothic sans-serif"/>
      <charset val="1"/>
    </font>
    <font>
      <b/>
      <sz val="11"/>
      <color rgb="FF000000"/>
      <name val="Calibri"/>
      <family val="2"/>
      <charset val="1"/>
    </font>
    <font>
      <b/>
      <sz val="10"/>
      <color theme="0"/>
      <name val="Aptos Narrow"/>
      <family val="2"/>
      <scheme val="minor"/>
    </font>
    <font>
      <sz val="10"/>
      <name val="Arial"/>
      <family val="2"/>
      <charset val="1"/>
    </font>
    <font>
      <sz val="8"/>
      <color theme="0"/>
      <name val="Aptos Narrow"/>
      <family val="2"/>
      <scheme val="minor"/>
    </font>
    <font>
      <sz val="12"/>
      <color indexed="8"/>
      <name val="Calibri"/>
      <family val="2"/>
    </font>
    <font>
      <b/>
      <sz val="12"/>
      <color theme="0"/>
      <name val="Aptos Narrow"/>
      <family val="2"/>
      <scheme val="minor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sz val="9"/>
      <color theme="1"/>
      <name val="Libre Franklin"/>
    </font>
    <font>
      <sz val="9"/>
      <color theme="1"/>
      <name val="Calibri"/>
      <family val="2"/>
    </font>
    <font>
      <sz val="9"/>
      <color theme="1"/>
      <name val="Aptos Narrow"/>
      <family val="2"/>
      <scheme val="minor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b/>
      <sz val="9"/>
      <color theme="1"/>
      <name val="Libre Franklin"/>
    </font>
    <font>
      <b/>
      <sz val="11"/>
      <color theme="1"/>
      <name val="Calibri"/>
      <family val="2"/>
    </font>
    <font>
      <b/>
      <sz val="6"/>
      <color rgb="FFFFFFFF"/>
      <name val="Calibri"/>
      <family val="2"/>
    </font>
    <font>
      <sz val="8"/>
      <color theme="1"/>
      <name val="Arial"/>
      <family val="2"/>
    </font>
    <font>
      <sz val="12"/>
      <color indexed="8"/>
      <name val="Aptos Narrow"/>
      <family val="2"/>
      <scheme val="minor"/>
    </font>
    <font>
      <sz val="12"/>
      <name val="Calibri"/>
      <family val="2"/>
    </font>
    <font>
      <sz val="13"/>
      <color rgb="FF000000"/>
      <name val="Calibri"/>
      <family val="2"/>
    </font>
    <font>
      <sz val="22"/>
      <color theme="1"/>
      <name val="Aptos Narrow"/>
      <family val="2"/>
      <scheme val="minor"/>
    </font>
    <font>
      <sz val="14"/>
      <color indexed="8"/>
      <name val="Calibri"/>
      <family val="2"/>
    </font>
    <font>
      <sz val="14"/>
      <color theme="1"/>
      <name val="Arial"/>
      <family val="2"/>
    </font>
    <font>
      <u/>
      <sz val="14"/>
      <color theme="1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theme="1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2">
    <xf numFmtId="0" fontId="0" fillId="0" borderId="0"/>
    <xf numFmtId="0" fontId="12" fillId="0" borderId="0"/>
    <xf numFmtId="0" fontId="12" fillId="2" borderId="0">
      <alignment horizontal="left"/>
    </xf>
    <xf numFmtId="0" fontId="4" fillId="0" borderId="0"/>
    <xf numFmtId="0" fontId="5" fillId="0" borderId="0" applyNumberFormat="0" applyFill="0" applyBorder="0" applyAlignment="0" applyProtection="0"/>
    <xf numFmtId="0" fontId="23" fillId="0" borderId="0"/>
    <xf numFmtId="0" fontId="4" fillId="0" borderId="0"/>
    <xf numFmtId="0" fontId="4" fillId="0" borderId="0"/>
    <xf numFmtId="0" fontId="4" fillId="0" borderId="0"/>
    <xf numFmtId="0" fontId="27" fillId="0" borderId="0"/>
    <xf numFmtId="0" fontId="4" fillId="0" borderId="0"/>
    <xf numFmtId="167" fontId="4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43" fontId="27" fillId="0" borderId="0" applyFont="0" applyFill="0" applyBorder="0" applyAlignment="0" applyProtection="0"/>
    <xf numFmtId="0" fontId="49" fillId="0" borderId="0"/>
    <xf numFmtId="0" fontId="27" fillId="0" borderId="0"/>
    <xf numFmtId="0" fontId="4" fillId="0" borderId="0"/>
    <xf numFmtId="0" fontId="5" fillId="0" borderId="0" applyNumberFormat="0" applyFill="0" applyBorder="0" applyAlignment="0" applyProtection="0"/>
    <xf numFmtId="0" fontId="27" fillId="0" borderId="0"/>
    <xf numFmtId="0" fontId="12" fillId="0" borderId="0"/>
  </cellStyleXfs>
  <cellXfs count="218">
    <xf numFmtId="0" fontId="0" fillId="0" borderId="0" xfId="0"/>
    <xf numFmtId="0" fontId="6" fillId="0" borderId="0" xfId="0" applyFont="1" applyAlignment="1">
      <alignment horizontal="right"/>
    </xf>
    <xf numFmtId="4" fontId="7" fillId="0" borderId="0" xfId="0" applyNumberFormat="1" applyFont="1"/>
    <xf numFmtId="0" fontId="8" fillId="0" borderId="0" xfId="0" applyFont="1" applyAlignment="1">
      <alignment horizontal="left" vertical="center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9" fillId="0" borderId="0" xfId="0" applyFont="1"/>
    <xf numFmtId="49" fontId="9" fillId="0" borderId="0" xfId="0" applyNumberFormat="1" applyFont="1" applyAlignment="1">
      <alignment horizontal="left"/>
    </xf>
    <xf numFmtId="1" fontId="0" fillId="0" borderId="0" xfId="0" applyNumberFormat="1"/>
    <xf numFmtId="2" fontId="10" fillId="0" borderId="0" xfId="0" applyNumberFormat="1" applyFont="1" applyAlignment="1">
      <alignment horizontal="right" indent="1"/>
    </xf>
    <xf numFmtId="4" fontId="11" fillId="0" borderId="0" xfId="0" applyNumberFormat="1" applyFont="1" applyAlignment="1">
      <alignment horizontal="left" vertical="center"/>
    </xf>
    <xf numFmtId="0" fontId="13" fillId="0" borderId="0" xfId="1" applyFont="1"/>
    <xf numFmtId="0" fontId="14" fillId="2" borderId="0" xfId="2" applyFont="1" applyAlignment="1">
      <alignment horizontal="center" vertical="center"/>
    </xf>
    <xf numFmtId="1" fontId="14" fillId="2" borderId="0" xfId="2" applyNumberFormat="1" applyFont="1" applyAlignment="1">
      <alignment horizontal="right" vertical="center"/>
    </xf>
    <xf numFmtId="1" fontId="14" fillId="2" borderId="0" xfId="2" applyNumberFormat="1" applyFont="1" applyAlignment="1">
      <alignment horizontal="center" vertical="center"/>
    </xf>
    <xf numFmtId="2" fontId="14" fillId="2" borderId="0" xfId="2" applyNumberFormat="1" applyFont="1" applyAlignment="1">
      <alignment vertical="center"/>
    </xf>
    <xf numFmtId="49" fontId="0" fillId="0" borderId="0" xfId="0" quotePrefix="1" applyNumberFormat="1"/>
    <xf numFmtId="17" fontId="10" fillId="0" borderId="0" xfId="0" quotePrefix="1" applyNumberFormat="1" applyFont="1" applyAlignment="1">
      <alignment horizontal="left"/>
    </xf>
    <xf numFmtId="0" fontId="15" fillId="0" borderId="0" xfId="0" applyFont="1" applyAlignment="1">
      <alignment horizontal="center" vertical="center"/>
    </xf>
    <xf numFmtId="0" fontId="16" fillId="3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 wrapText="1"/>
    </xf>
    <xf numFmtId="1" fontId="16" fillId="3" borderId="1" xfId="0" applyNumberFormat="1" applyFont="1" applyFill="1" applyBorder="1" applyAlignment="1">
      <alignment horizontal="center" vertical="center" wrapText="1"/>
    </xf>
    <xf numFmtId="2" fontId="16" fillId="3" borderId="1" xfId="0" applyNumberFormat="1" applyFont="1" applyFill="1" applyBorder="1" applyAlignment="1">
      <alignment horizontal="center" vertical="center" wrapText="1"/>
    </xf>
    <xf numFmtId="0" fontId="15" fillId="0" borderId="0" xfId="0" applyFont="1"/>
    <xf numFmtId="0" fontId="17" fillId="0" borderId="0" xfId="3" applyFont="1" applyAlignment="1">
      <alignment horizontal="right"/>
    </xf>
    <xf numFmtId="0" fontId="17" fillId="5" borderId="2" xfId="3" applyFont="1" applyFill="1" applyBorder="1" applyAlignment="1">
      <alignment horizontal="center" vertical="center"/>
    </xf>
    <xf numFmtId="0" fontId="18" fillId="5" borderId="2" xfId="4" applyNumberFormat="1" applyFont="1" applyFill="1" applyBorder="1"/>
    <xf numFmtId="0" fontId="19" fillId="5" borderId="2" xfId="4" applyNumberFormat="1" applyFont="1" applyFill="1" applyBorder="1"/>
    <xf numFmtId="0" fontId="20" fillId="0" borderId="3" xfId="3" applyFont="1" applyBorder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 vertical="top"/>
    </xf>
    <xf numFmtId="0" fontId="22" fillId="6" borderId="0" xfId="0" applyFont="1" applyFill="1" applyAlignment="1">
      <alignment horizontal="left"/>
    </xf>
    <xf numFmtId="0" fontId="24" fillId="0" borderId="0" xfId="5" applyFont="1"/>
    <xf numFmtId="0" fontId="23" fillId="0" borderId="0" xfId="5" applyAlignment="1">
      <alignment horizontal="right"/>
    </xf>
    <xf numFmtId="4" fontId="11" fillId="0" borderId="0" xfId="6" applyNumberFormat="1" applyFont="1" applyAlignment="1">
      <alignment horizontal="left"/>
    </xf>
    <xf numFmtId="0" fontId="25" fillId="0" borderId="0" xfId="6" applyFont="1" applyAlignment="1">
      <alignment horizontal="center"/>
    </xf>
    <xf numFmtId="0" fontId="26" fillId="0" borderId="0" xfId="6" applyFont="1" applyAlignment="1">
      <alignment vertical="center"/>
    </xf>
    <xf numFmtId="0" fontId="25" fillId="0" borderId="0" xfId="6" applyFont="1"/>
    <xf numFmtId="2" fontId="27" fillId="0" borderId="0" xfId="6" applyNumberFormat="1" applyFont="1" applyAlignment="1">
      <alignment horizontal="left"/>
    </xf>
    <xf numFmtId="0" fontId="23" fillId="0" borderId="0" xfId="5"/>
    <xf numFmtId="0" fontId="28" fillId="0" borderId="0" xfId="5" applyFont="1"/>
    <xf numFmtId="4" fontId="11" fillId="0" borderId="0" xfId="6" applyNumberFormat="1" applyFont="1" applyAlignment="1">
      <alignment horizontal="left" vertical="center"/>
    </xf>
    <xf numFmtId="0" fontId="27" fillId="0" borderId="0" xfId="6" applyFont="1" applyAlignment="1">
      <alignment horizontal="center"/>
    </xf>
    <xf numFmtId="0" fontId="27" fillId="0" borderId="0" xfId="6" applyFont="1"/>
    <xf numFmtId="166" fontId="29" fillId="0" borderId="4" xfId="7" applyNumberFormat="1" applyFont="1" applyBorder="1" applyAlignment="1">
      <alignment horizontal="left"/>
    </xf>
    <xf numFmtId="0" fontId="29" fillId="0" borderId="5" xfId="7" applyFont="1" applyBorder="1" applyAlignment="1">
      <alignment horizontal="left"/>
    </xf>
    <xf numFmtId="0" fontId="28" fillId="0" borderId="5" xfId="7" applyFont="1" applyBorder="1" applyAlignment="1">
      <alignment horizontal="left"/>
    </xf>
    <xf numFmtId="0" fontId="30" fillId="0" borderId="5" xfId="7" applyFont="1" applyBorder="1" applyAlignment="1">
      <alignment horizontal="left"/>
    </xf>
    <xf numFmtId="0" fontId="31" fillId="0" borderId="5" xfId="7" applyFont="1" applyBorder="1" applyAlignment="1">
      <alignment horizontal="left" wrapText="1" readingOrder="1"/>
    </xf>
    <xf numFmtId="0" fontId="30" fillId="0" borderId="5" xfId="7" applyFont="1" applyBorder="1" applyAlignment="1">
      <alignment horizontal="left" wrapText="1"/>
    </xf>
    <xf numFmtId="0" fontId="32" fillId="0" borderId="5" xfId="7" applyFont="1" applyBorder="1" applyAlignment="1">
      <alignment horizontal="left" wrapText="1"/>
    </xf>
    <xf numFmtId="17" fontId="33" fillId="0" borderId="5" xfId="7" quotePrefix="1" applyNumberFormat="1" applyFont="1" applyBorder="1" applyAlignment="1">
      <alignment horizontal="left"/>
    </xf>
    <xf numFmtId="0" fontId="27" fillId="0" borderId="5" xfId="7" applyFont="1" applyBorder="1" applyAlignment="1">
      <alignment horizontal="left"/>
    </xf>
    <xf numFmtId="49" fontId="34" fillId="0" borderId="6" xfId="7" quotePrefix="1" applyNumberFormat="1" applyFont="1" applyBorder="1" applyAlignment="1">
      <alignment horizontal="left"/>
    </xf>
    <xf numFmtId="0" fontId="24" fillId="0" borderId="0" xfId="0" applyFont="1"/>
    <xf numFmtId="166" fontId="29" fillId="0" borderId="7" xfId="7" applyNumberFormat="1" applyFont="1" applyBorder="1" applyAlignment="1">
      <alignment horizontal="left"/>
    </xf>
    <xf numFmtId="0" fontId="29" fillId="0" borderId="0" xfId="7" applyFont="1" applyAlignment="1">
      <alignment horizontal="left"/>
    </xf>
    <xf numFmtId="0" fontId="28" fillId="0" borderId="0" xfId="7" applyFont="1" applyAlignment="1">
      <alignment horizontal="left"/>
    </xf>
    <xf numFmtId="0" fontId="28" fillId="0" borderId="8" xfId="7" applyFont="1" applyBorder="1" applyAlignment="1">
      <alignment horizontal="left"/>
    </xf>
    <xf numFmtId="166" fontId="35" fillId="0" borderId="9" xfId="7" applyNumberFormat="1" applyFont="1" applyBorder="1" applyAlignment="1">
      <alignment horizontal="left"/>
    </xf>
    <xf numFmtId="0" fontId="28" fillId="0" borderId="10" xfId="7" applyFont="1" applyBorder="1" applyAlignment="1">
      <alignment horizontal="left"/>
    </xf>
    <xf numFmtId="0" fontId="28" fillId="0" borderId="11" xfId="7" applyFont="1" applyBorder="1" applyAlignment="1">
      <alignment horizontal="left"/>
    </xf>
    <xf numFmtId="0" fontId="38" fillId="0" borderId="0" xfId="0" applyFont="1"/>
    <xf numFmtId="0" fontId="17" fillId="0" borderId="0" xfId="0" applyFont="1" applyAlignment="1">
      <alignment horizontal="right"/>
    </xf>
    <xf numFmtId="0" fontId="40" fillId="0" borderId="0" xfId="9" applyFont="1"/>
    <xf numFmtId="0" fontId="4" fillId="0" borderId="0" xfId="14"/>
    <xf numFmtId="4" fontId="7" fillId="0" borderId="0" xfId="14" applyNumberFormat="1" applyFont="1"/>
    <xf numFmtId="0" fontId="8" fillId="0" borderId="0" xfId="14" applyFont="1" applyAlignment="1">
      <alignment vertical="center"/>
    </xf>
    <xf numFmtId="2" fontId="4" fillId="0" borderId="0" xfId="14" applyNumberFormat="1" applyAlignment="1">
      <alignment horizontal="left"/>
    </xf>
    <xf numFmtId="0" fontId="4" fillId="0" borderId="0" xfId="14" applyAlignment="1">
      <alignment horizontal="left"/>
    </xf>
    <xf numFmtId="43" fontId="4" fillId="0" borderId="0" xfId="15" applyFont="1" applyFill="1"/>
    <xf numFmtId="0" fontId="41" fillId="0" borderId="0" xfId="14" applyFont="1"/>
    <xf numFmtId="4" fontId="11" fillId="0" borderId="0" xfId="14" applyNumberFormat="1" applyFont="1" applyAlignment="1">
      <alignment horizontal="left" vertical="center"/>
    </xf>
    <xf numFmtId="0" fontId="27" fillId="0" borderId="0" xfId="9"/>
    <xf numFmtId="17" fontId="4" fillId="0" borderId="0" xfId="14" quotePrefix="1" applyNumberFormat="1"/>
    <xf numFmtId="17" fontId="41" fillId="0" borderId="0" xfId="14" quotePrefix="1" applyNumberFormat="1" applyFont="1"/>
    <xf numFmtId="0" fontId="42" fillId="7" borderId="14" xfId="14" applyFont="1" applyFill="1" applyBorder="1" applyAlignment="1">
      <alignment horizontal="center" wrapText="1"/>
    </xf>
    <xf numFmtId="0" fontId="43" fillId="7" borderId="14" xfId="9" applyFont="1" applyFill="1" applyBorder="1" applyAlignment="1">
      <alignment horizontal="left" wrapText="1"/>
    </xf>
    <xf numFmtId="43" fontId="43" fillId="7" borderId="14" xfId="15" applyFont="1" applyFill="1" applyBorder="1" applyAlignment="1">
      <alignment horizontal="left" wrapText="1"/>
    </xf>
    <xf numFmtId="0" fontId="43" fillId="7" borderId="14" xfId="9" applyFont="1" applyFill="1" applyBorder="1" applyAlignment="1">
      <alignment horizontal="center" wrapText="1"/>
    </xf>
    <xf numFmtId="0" fontId="43" fillId="7" borderId="0" xfId="9" applyFont="1" applyFill="1" applyAlignment="1">
      <alignment horizontal="left" wrapText="1"/>
    </xf>
    <xf numFmtId="0" fontId="42" fillId="7" borderId="14" xfId="9" applyFont="1" applyFill="1" applyBorder="1" applyAlignment="1">
      <alignment horizontal="left" wrapText="1"/>
    </xf>
    <xf numFmtId="0" fontId="44" fillId="0" borderId="0" xfId="0" applyFont="1" applyAlignment="1">
      <alignment vertical="center"/>
    </xf>
    <xf numFmtId="0" fontId="45" fillId="0" borderId="0" xfId="0" applyFont="1"/>
    <xf numFmtId="0" fontId="46" fillId="0" borderId="16" xfId="0" applyFont="1" applyBorder="1" applyAlignment="1">
      <alignment vertical="center"/>
    </xf>
    <xf numFmtId="0" fontId="15" fillId="0" borderId="0" xfId="0" quotePrefix="1" applyFont="1"/>
    <xf numFmtId="0" fontId="48" fillId="7" borderId="14" xfId="0" applyFont="1" applyFill="1" applyBorder="1" applyAlignment="1">
      <alignment horizontal="center" wrapText="1"/>
    </xf>
    <xf numFmtId="0" fontId="48" fillId="7" borderId="14" xfId="0" applyFont="1" applyFill="1" applyBorder="1" applyAlignment="1">
      <alignment wrapText="1"/>
    </xf>
    <xf numFmtId="0" fontId="48" fillId="7" borderId="14" xfId="0" applyFont="1" applyFill="1" applyBorder="1" applyAlignment="1">
      <alignment horizontal="center" vertical="center" wrapText="1"/>
    </xf>
    <xf numFmtId="0" fontId="48" fillId="7" borderId="17" xfId="0" applyFont="1" applyFill="1" applyBorder="1" applyAlignment="1">
      <alignment wrapText="1"/>
    </xf>
    <xf numFmtId="0" fontId="48" fillId="7" borderId="17" xfId="0" applyFont="1" applyFill="1" applyBorder="1" applyAlignment="1">
      <alignment horizontal="center" wrapText="1"/>
    </xf>
    <xf numFmtId="17" fontId="47" fillId="0" borderId="0" xfId="0" quotePrefix="1" applyNumberFormat="1" applyFont="1" applyAlignment="1">
      <alignment horizontal="left"/>
    </xf>
    <xf numFmtId="0" fontId="40" fillId="0" borderId="0" xfId="0" applyFont="1"/>
    <xf numFmtId="0" fontId="33" fillId="0" borderId="0" xfId="17" applyFont="1"/>
    <xf numFmtId="4" fontId="33" fillId="0" borderId="0" xfId="17" applyNumberFormat="1" applyFont="1"/>
    <xf numFmtId="0" fontId="28" fillId="0" borderId="0" xfId="17" applyFont="1"/>
    <xf numFmtId="0" fontId="27" fillId="0" borderId="0" xfId="17"/>
    <xf numFmtId="49" fontId="27" fillId="0" borderId="0" xfId="17" applyNumberFormat="1"/>
    <xf numFmtId="17" fontId="33" fillId="0" borderId="0" xfId="17" quotePrefix="1" applyNumberFormat="1" applyFont="1"/>
    <xf numFmtId="4" fontId="28" fillId="0" borderId="0" xfId="17" applyNumberFormat="1" applyFont="1"/>
    <xf numFmtId="0" fontId="40" fillId="0" borderId="0" xfId="17" applyFont="1"/>
    <xf numFmtId="4" fontId="7" fillId="0" borderId="0" xfId="17" applyNumberFormat="1" applyFont="1"/>
    <xf numFmtId="0" fontId="41" fillId="0" borderId="0" xfId="8" applyFont="1"/>
    <xf numFmtId="49" fontId="41" fillId="0" borderId="0" xfId="8" applyNumberFormat="1" applyFont="1"/>
    <xf numFmtId="0" fontId="8" fillId="0" borderId="0" xfId="17" applyFont="1" applyAlignment="1">
      <alignment vertical="center"/>
    </xf>
    <xf numFmtId="2" fontId="27" fillId="0" borderId="0" xfId="17" applyNumberFormat="1" applyAlignment="1">
      <alignment horizontal="left"/>
    </xf>
    <xf numFmtId="4" fontId="11" fillId="0" borderId="0" xfId="17" applyNumberFormat="1" applyFont="1" applyAlignment="1">
      <alignment horizontal="left" vertical="center"/>
    </xf>
    <xf numFmtId="0" fontId="42" fillId="7" borderId="14" xfId="18" applyFont="1" applyFill="1" applyBorder="1" applyAlignment="1">
      <alignment wrapText="1"/>
    </xf>
    <xf numFmtId="0" fontId="50" fillId="7" borderId="14" xfId="18" applyFont="1" applyFill="1" applyBorder="1" applyAlignment="1">
      <alignment wrapText="1"/>
    </xf>
    <xf numFmtId="49" fontId="42" fillId="7" borderId="14" xfId="18" applyNumberFormat="1" applyFont="1" applyFill="1" applyBorder="1" applyAlignment="1">
      <alignment wrapText="1"/>
    </xf>
    <xf numFmtId="0" fontId="52" fillId="7" borderId="1" xfId="8" applyFont="1" applyFill="1" applyBorder="1" applyAlignment="1">
      <alignment horizontal="center" wrapText="1"/>
    </xf>
    <xf numFmtId="0" fontId="53" fillId="7" borderId="1" xfId="0" applyFont="1" applyFill="1" applyBorder="1" applyAlignment="1">
      <alignment horizontal="center" vertical="center" wrapText="1"/>
    </xf>
    <xf numFmtId="0" fontId="53" fillId="7" borderId="1" xfId="0" applyFont="1" applyFill="1" applyBorder="1" applyAlignment="1">
      <alignment vertical="center" wrapText="1"/>
    </xf>
    <xf numFmtId="0" fontId="0" fillId="0" borderId="0" xfId="14" applyFont="1"/>
    <xf numFmtId="0" fontId="54" fillId="0" borderId="0" xfId="0" applyFont="1" applyAlignment="1">
      <alignment horizontal="left"/>
    </xf>
    <xf numFmtId="4" fontId="55" fillId="0" borderId="0" xfId="0" applyNumberFormat="1" applyFont="1"/>
    <xf numFmtId="0" fontId="56" fillId="0" borderId="0" xfId="0" applyFont="1" applyAlignment="1">
      <alignment horizontal="left" vertical="center"/>
    </xf>
    <xf numFmtId="0" fontId="57" fillId="0" borderId="0" xfId="0" applyFont="1"/>
    <xf numFmtId="2" fontId="54" fillId="0" borderId="0" xfId="0" applyNumberFormat="1" applyFont="1" applyAlignment="1">
      <alignment horizontal="left"/>
    </xf>
    <xf numFmtId="0" fontId="54" fillId="0" borderId="0" xfId="0" applyFont="1" applyAlignment="1">
      <alignment horizontal="right"/>
    </xf>
    <xf numFmtId="0" fontId="58" fillId="0" borderId="0" xfId="0" applyFont="1"/>
    <xf numFmtId="49" fontId="58" fillId="0" borderId="0" xfId="0" applyNumberFormat="1" applyFont="1" applyAlignment="1">
      <alignment horizontal="left"/>
    </xf>
    <xf numFmtId="1" fontId="54" fillId="0" borderId="0" xfId="0" applyNumberFormat="1" applyFont="1"/>
    <xf numFmtId="2" fontId="59" fillId="0" borderId="0" xfId="0" applyNumberFormat="1" applyFont="1" applyAlignment="1">
      <alignment horizontal="right"/>
    </xf>
    <xf numFmtId="0" fontId="54" fillId="0" borderId="0" xfId="0" applyFont="1" applyAlignment="1">
      <alignment horizontal="center"/>
    </xf>
    <xf numFmtId="4" fontId="60" fillId="0" borderId="0" xfId="0" applyNumberFormat="1" applyFont="1" applyAlignment="1">
      <alignment horizontal="left" vertical="center"/>
    </xf>
    <xf numFmtId="0" fontId="56" fillId="0" borderId="0" xfId="0" applyFont="1" applyAlignment="1">
      <alignment horizontal="left"/>
    </xf>
    <xf numFmtId="49" fontId="54" fillId="0" borderId="0" xfId="0" applyNumberFormat="1" applyFont="1"/>
    <xf numFmtId="0" fontId="61" fillId="0" borderId="0" xfId="0" applyFont="1" applyAlignment="1">
      <alignment horizontal="left"/>
    </xf>
    <xf numFmtId="17" fontId="59" fillId="0" borderId="0" xfId="0" applyNumberFormat="1" applyFont="1" applyAlignment="1">
      <alignment horizontal="left"/>
    </xf>
    <xf numFmtId="0" fontId="62" fillId="3" borderId="18" xfId="0" applyFont="1" applyFill="1" applyBorder="1" applyAlignment="1">
      <alignment horizontal="left" vertical="center" wrapText="1"/>
    </xf>
    <xf numFmtId="1" fontId="62" fillId="3" borderId="18" xfId="0" applyNumberFormat="1" applyFont="1" applyFill="1" applyBorder="1" applyAlignment="1">
      <alignment horizontal="left" vertical="center" wrapText="1"/>
    </xf>
    <xf numFmtId="2" fontId="62" fillId="3" borderId="18" xfId="0" applyNumberFormat="1" applyFont="1" applyFill="1" applyBorder="1" applyAlignment="1">
      <alignment horizontal="left" vertical="center" wrapText="1"/>
    </xf>
    <xf numFmtId="0" fontId="62" fillId="3" borderId="19" xfId="0" applyFont="1" applyFill="1" applyBorder="1" applyAlignment="1">
      <alignment horizontal="left" vertical="center" wrapText="1"/>
    </xf>
    <xf numFmtId="0" fontId="62" fillId="3" borderId="20" xfId="0" applyFont="1" applyFill="1" applyBorder="1" applyAlignment="1">
      <alignment horizontal="left" vertical="center" wrapText="1"/>
    </xf>
    <xf numFmtId="0" fontId="51" fillId="5" borderId="15" xfId="0" applyFont="1" applyFill="1" applyBorder="1" applyAlignment="1">
      <alignment horizontal="center" vertical="center"/>
    </xf>
    <xf numFmtId="0" fontId="38" fillId="8" borderId="1" xfId="0" applyFont="1" applyFill="1" applyBorder="1" applyAlignment="1">
      <alignment vertical="center"/>
    </xf>
    <xf numFmtId="14" fontId="39" fillId="8" borderId="2" xfId="10" applyNumberFormat="1" applyFont="1" applyFill="1" applyBorder="1" applyAlignment="1">
      <alignment vertical="center" wrapText="1"/>
    </xf>
    <xf numFmtId="14" fontId="39" fillId="8" borderId="2" xfId="10" applyNumberFormat="1" applyFont="1" applyFill="1" applyBorder="1" applyAlignment="1">
      <alignment horizontal="left" vertical="center" wrapText="1"/>
    </xf>
    <xf numFmtId="0" fontId="39" fillId="8" borderId="2" xfId="10" applyFont="1" applyFill="1" applyBorder="1" applyAlignment="1">
      <alignment horizontal="center" vertical="center" wrapText="1"/>
    </xf>
    <xf numFmtId="0" fontId="38" fillId="8" borderId="2" xfId="0" applyFont="1" applyFill="1" applyBorder="1" applyAlignment="1">
      <alignment horizontal="left" vertical="center" wrapText="1"/>
    </xf>
    <xf numFmtId="0" fontId="39" fillId="8" borderId="2" xfId="10" applyFont="1" applyFill="1" applyBorder="1" applyAlignment="1">
      <alignment horizontal="left" vertical="center" wrapText="1"/>
    </xf>
    <xf numFmtId="0" fontId="39" fillId="8" borderId="12" xfId="10" applyFont="1" applyFill="1" applyBorder="1" applyAlignment="1">
      <alignment vertical="center" wrapText="1"/>
    </xf>
    <xf numFmtId="0" fontId="39" fillId="8" borderId="2" xfId="10" quotePrefix="1" applyFont="1" applyFill="1" applyBorder="1" applyAlignment="1">
      <alignment horizontal="left" vertical="center" wrapText="1"/>
    </xf>
    <xf numFmtId="1" fontId="39" fillId="8" borderId="2" xfId="11" quotePrefix="1" applyNumberFormat="1" applyFont="1" applyFill="1" applyBorder="1" applyAlignment="1">
      <alignment horizontal="left" vertical="center"/>
    </xf>
    <xf numFmtId="43" fontId="39" fillId="8" borderId="2" xfId="12" applyFont="1" applyFill="1" applyBorder="1" applyAlignment="1">
      <alignment vertical="center"/>
    </xf>
    <xf numFmtId="43" fontId="5" fillId="8" borderId="13" xfId="19" applyNumberFormat="1" applyFill="1" applyBorder="1" applyAlignment="1">
      <alignment horizontal="left" vertical="center"/>
    </xf>
    <xf numFmtId="0" fontId="5" fillId="8" borderId="0" xfId="19" applyFill="1" applyAlignment="1">
      <alignment vertical="center"/>
    </xf>
    <xf numFmtId="0" fontId="38" fillId="8" borderId="0" xfId="0" applyFont="1" applyFill="1" applyAlignment="1">
      <alignment vertical="center"/>
    </xf>
    <xf numFmtId="0" fontId="17" fillId="8" borderId="2" xfId="3" applyFont="1" applyFill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0" fontId="17" fillId="8" borderId="2" xfId="3" applyFont="1" applyFill="1" applyBorder="1" applyAlignment="1">
      <alignment horizontal="left" vertical="center"/>
    </xf>
    <xf numFmtId="168" fontId="38" fillId="9" borderId="21" xfId="0" applyNumberFormat="1" applyFont="1" applyFill="1" applyBorder="1" applyAlignment="1">
      <alignment horizontal="left" vertical="center"/>
    </xf>
    <xf numFmtId="14" fontId="17" fillId="8" borderId="2" xfId="3" applyNumberFormat="1" applyFont="1" applyFill="1" applyBorder="1" applyAlignment="1">
      <alignment horizontal="center" vertical="center"/>
    </xf>
    <xf numFmtId="1" fontId="17" fillId="8" borderId="2" xfId="3" applyNumberFormat="1" applyFont="1" applyFill="1" applyBorder="1" applyAlignment="1">
      <alignment horizontal="left" vertical="center"/>
    </xf>
    <xf numFmtId="2" fontId="17" fillId="8" borderId="2" xfId="3" applyNumberFormat="1" applyFont="1" applyFill="1" applyBorder="1" applyAlignment="1">
      <alignment horizontal="center" vertical="center"/>
    </xf>
    <xf numFmtId="165" fontId="17" fillId="8" borderId="2" xfId="3" applyNumberFormat="1" applyFont="1" applyFill="1" applyBorder="1" applyAlignment="1">
      <alignment horizontal="center" vertical="center"/>
    </xf>
    <xf numFmtId="0" fontId="5" fillId="8" borderId="2" xfId="19" applyNumberFormat="1" applyFill="1" applyBorder="1" applyAlignment="1">
      <alignment horizontal="left" vertical="center"/>
    </xf>
    <xf numFmtId="49" fontId="17" fillId="8" borderId="2" xfId="3" applyNumberFormat="1" applyFont="1" applyFill="1" applyBorder="1" applyAlignment="1">
      <alignment horizontal="left" vertical="center"/>
    </xf>
    <xf numFmtId="49" fontId="37" fillId="8" borderId="2" xfId="4" applyNumberFormat="1" applyFont="1" applyFill="1" applyBorder="1" applyAlignment="1">
      <alignment horizontal="center" vertical="center"/>
    </xf>
    <xf numFmtId="0" fontId="66" fillId="11" borderId="2" xfId="0" applyFont="1" applyFill="1" applyBorder="1" applyAlignment="1">
      <alignment horizontal="left" vertical="center"/>
    </xf>
    <xf numFmtId="49" fontId="39" fillId="8" borderId="2" xfId="12" quotePrefix="1" applyNumberFormat="1" applyFont="1" applyFill="1" applyBorder="1" applyAlignment="1">
      <alignment horizontal="left" vertical="center"/>
    </xf>
    <xf numFmtId="14" fontId="63" fillId="9" borderId="1" xfId="0" applyNumberFormat="1" applyFont="1" applyFill="1" applyBorder="1" applyAlignment="1">
      <alignment horizontal="left" vertical="center"/>
    </xf>
    <xf numFmtId="49" fontId="63" fillId="9" borderId="1" xfId="0" applyNumberFormat="1" applyFont="1" applyFill="1" applyBorder="1" applyAlignment="1">
      <alignment horizontal="left" vertical="center"/>
    </xf>
    <xf numFmtId="43" fontId="0" fillId="0" borderId="0" xfId="0" applyNumberFormat="1"/>
    <xf numFmtId="43" fontId="39" fillId="8" borderId="2" xfId="12" applyFont="1" applyFill="1" applyBorder="1" applyAlignment="1">
      <alignment horizontal="right" vertical="center"/>
    </xf>
    <xf numFmtId="14" fontId="38" fillId="8" borderId="2" xfId="10" applyNumberFormat="1" applyFont="1" applyFill="1" applyBorder="1" applyAlignment="1">
      <alignment horizontal="left" vertical="center" wrapText="1"/>
    </xf>
    <xf numFmtId="2" fontId="38" fillId="8" borderId="2" xfId="3" applyNumberFormat="1" applyFont="1" applyFill="1" applyBorder="1" applyAlignment="1">
      <alignment horizontal="center" vertical="center"/>
    </xf>
    <xf numFmtId="0" fontId="67" fillId="0" borderId="1" xfId="0" applyFont="1" applyBorder="1"/>
    <xf numFmtId="0" fontId="3" fillId="0" borderId="1" xfId="0" applyFont="1" applyBorder="1"/>
    <xf numFmtId="0" fontId="65" fillId="8" borderId="1" xfId="10" applyFont="1" applyFill="1" applyBorder="1" applyAlignment="1">
      <alignment horizontal="left" vertical="center" wrapText="1"/>
    </xf>
    <xf numFmtId="0" fontId="3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164" fontId="68" fillId="5" borderId="2" xfId="3" applyNumberFormat="1" applyFont="1" applyFill="1" applyBorder="1" applyAlignment="1">
      <alignment horizontal="left"/>
    </xf>
    <xf numFmtId="0" fontId="68" fillId="5" borderId="2" xfId="3" applyFont="1" applyFill="1" applyBorder="1"/>
    <xf numFmtId="49" fontId="69" fillId="9" borderId="21" xfId="0" applyNumberFormat="1" applyFont="1" applyFill="1" applyBorder="1" applyAlignment="1">
      <alignment horizontal="left" vertical="center"/>
    </xf>
    <xf numFmtId="14" fontId="69" fillId="9" borderId="21" xfId="0" applyNumberFormat="1" applyFont="1" applyFill="1" applyBorder="1" applyAlignment="1">
      <alignment horizontal="left" vertical="center"/>
    </xf>
    <xf numFmtId="0" fontId="68" fillId="5" borderId="2" xfId="3" applyFont="1" applyFill="1" applyBorder="1" applyAlignment="1">
      <alignment horizontal="left" vertical="center"/>
    </xf>
    <xf numFmtId="0" fontId="68" fillId="5" borderId="2" xfId="3" applyFont="1" applyFill="1" applyBorder="1" applyAlignment="1">
      <alignment horizontal="left"/>
    </xf>
    <xf numFmtId="1" fontId="68" fillId="5" borderId="2" xfId="3" applyNumberFormat="1" applyFont="1" applyFill="1" applyBorder="1"/>
    <xf numFmtId="2" fontId="68" fillId="5" borderId="2" xfId="3" applyNumberFormat="1" applyFont="1" applyFill="1" applyBorder="1" applyAlignment="1">
      <alignment horizontal="center"/>
    </xf>
    <xf numFmtId="165" fontId="70" fillId="5" borderId="2" xfId="19" applyNumberFormat="1" applyFont="1" applyFill="1" applyBorder="1" applyAlignment="1">
      <alignment horizontal="left"/>
    </xf>
    <xf numFmtId="2" fontId="63" fillId="9" borderId="1" xfId="0" applyNumberFormat="1" applyFont="1" applyFill="1" applyBorder="1" applyAlignment="1">
      <alignment horizontal="left" vertical="center"/>
    </xf>
    <xf numFmtId="49" fontId="63" fillId="10" borderId="1" xfId="0" applyNumberFormat="1" applyFont="1" applyFill="1" applyBorder="1" applyAlignment="1">
      <alignment horizontal="left" vertical="center"/>
    </xf>
    <xf numFmtId="0" fontId="5" fillId="10" borderId="1" xfId="19" applyFill="1" applyBorder="1" applyAlignment="1">
      <alignment horizontal="left" vertical="center"/>
    </xf>
    <xf numFmtId="49" fontId="38" fillId="8" borderId="2" xfId="12" quotePrefix="1" applyNumberFormat="1" applyFont="1" applyFill="1" applyBorder="1" applyAlignment="1">
      <alignment horizontal="left" vertical="center"/>
    </xf>
    <xf numFmtId="49" fontId="38" fillId="8" borderId="1" xfId="0" applyNumberFormat="1" applyFont="1" applyFill="1" applyBorder="1" applyAlignment="1">
      <alignment vertical="center"/>
    </xf>
    <xf numFmtId="0" fontId="39" fillId="8" borderId="1" xfId="9" applyFont="1" applyFill="1" applyBorder="1" applyAlignment="1">
      <alignment vertical="center"/>
    </xf>
    <xf numFmtId="2" fontId="0" fillId="0" borderId="0" xfId="0" applyNumberFormat="1"/>
    <xf numFmtId="14" fontId="63" fillId="9" borderId="17" xfId="0" applyNumberFormat="1" applyFont="1" applyFill="1" applyBorder="1" applyAlignment="1">
      <alignment horizontal="left" vertical="center"/>
    </xf>
    <xf numFmtId="49" fontId="63" fillId="10" borderId="17" xfId="0" applyNumberFormat="1" applyFont="1" applyFill="1" applyBorder="1" applyAlignment="1">
      <alignment horizontal="left" vertical="center"/>
    </xf>
    <xf numFmtId="0" fontId="63" fillId="0" borderId="0" xfId="0" applyFont="1" applyAlignment="1">
      <alignment horizontal="left"/>
    </xf>
    <xf numFmtId="0" fontId="1" fillId="0" borderId="1" xfId="0" applyFont="1" applyBorder="1"/>
    <xf numFmtId="0" fontId="0" fillId="0" borderId="1" xfId="0" applyBorder="1" applyAlignment="1">
      <alignment horizontal="right"/>
    </xf>
    <xf numFmtId="6" fontId="0" fillId="0" borderId="0" xfId="0" applyNumberFormat="1"/>
    <xf numFmtId="0" fontId="71" fillId="0" borderId="22" xfId="0" applyFont="1" applyBorder="1"/>
    <xf numFmtId="6" fontId="71" fillId="0" borderId="23" xfId="0" applyNumberFormat="1" applyFont="1" applyBorder="1"/>
    <xf numFmtId="43" fontId="0" fillId="0" borderId="24" xfId="0" applyNumberFormat="1" applyBorder="1"/>
    <xf numFmtId="0" fontId="20" fillId="0" borderId="1" xfId="14" applyFont="1" applyBorder="1" applyAlignment="1">
      <alignment horizontal="right"/>
    </xf>
    <xf numFmtId="14" fontId="20" fillId="0" borderId="1" xfId="14" applyNumberFormat="1" applyFont="1" applyBorder="1" applyAlignment="1">
      <alignment horizontal="left"/>
    </xf>
    <xf numFmtId="0" fontId="20" fillId="0" borderId="1" xfId="14" applyFont="1" applyBorder="1" applyAlignment="1">
      <alignment horizontal="left" vertical="center"/>
    </xf>
    <xf numFmtId="0" fontId="20" fillId="0" borderId="1" xfId="14" applyFont="1" applyBorder="1" applyAlignment="1">
      <alignment horizontal="left"/>
    </xf>
    <xf numFmtId="0" fontId="20" fillId="0" borderId="1" xfId="14" applyFont="1" applyBorder="1"/>
    <xf numFmtId="0" fontId="20" fillId="0" borderId="1" xfId="14" quotePrefix="1" applyFont="1" applyBorder="1" applyAlignment="1">
      <alignment horizontal="left"/>
    </xf>
    <xf numFmtId="14" fontId="20" fillId="0" borderId="1" xfId="14" applyNumberFormat="1" applyFont="1" applyBorder="1" applyAlignment="1">
      <alignment horizontal="left" vertical="center"/>
    </xf>
    <xf numFmtId="49" fontId="64" fillId="8" borderId="1" xfId="21" applyNumberFormat="1" applyFont="1" applyFill="1" applyBorder="1" applyAlignment="1">
      <alignment horizontal="left"/>
    </xf>
    <xf numFmtId="43" fontId="20" fillId="0" borderId="1" xfId="15" applyFont="1" applyBorder="1"/>
    <xf numFmtId="43" fontId="20" fillId="0" borderId="1" xfId="15" applyFont="1" applyBorder="1" applyAlignment="1">
      <alignment horizontal="left" vertical="center"/>
    </xf>
    <xf numFmtId="49" fontId="20" fillId="0" borderId="1" xfId="14" quotePrefix="1" applyNumberFormat="1" applyFont="1" applyBorder="1" applyAlignment="1">
      <alignment horizontal="left" vertical="center"/>
    </xf>
    <xf numFmtId="0" fontId="5" fillId="0" borderId="1" xfId="19" applyBorder="1" applyAlignment="1">
      <alignment horizontal="left" vertical="center"/>
    </xf>
    <xf numFmtId="0" fontId="5" fillId="0" borderId="1" xfId="19" applyBorder="1"/>
    <xf numFmtId="14" fontId="5" fillId="9" borderId="1" xfId="19" applyNumberFormat="1" applyFill="1" applyBorder="1" applyAlignment="1">
      <alignment horizontal="left" vertical="center"/>
    </xf>
    <xf numFmtId="14" fontId="63" fillId="12" borderId="1" xfId="0" applyNumberFormat="1" applyFont="1" applyFill="1" applyBorder="1" applyAlignment="1">
      <alignment horizontal="left" vertical="center"/>
    </xf>
    <xf numFmtId="49" fontId="63" fillId="12" borderId="1" xfId="0" applyNumberFormat="1" applyFont="1" applyFill="1" applyBorder="1" applyAlignment="1">
      <alignment horizontal="left" vertical="center"/>
    </xf>
    <xf numFmtId="49" fontId="63" fillId="13" borderId="1" xfId="0" applyNumberFormat="1" applyFont="1" applyFill="1" applyBorder="1" applyAlignment="1">
      <alignment horizontal="left" vertical="center"/>
    </xf>
  </cellXfs>
  <cellStyles count="22">
    <cellStyle name="Hipervínculo" xfId="19" builtinId="8"/>
    <cellStyle name="Hipervínculo 2 5" xfId="13" xr:uid="{00000000-0005-0000-0000-000001000000}"/>
    <cellStyle name="Hipervínculo 6" xfId="4" xr:uid="{00000000-0005-0000-0000-000002000000}"/>
    <cellStyle name="Millares 10 15 9" xfId="12" xr:uid="{00000000-0005-0000-0000-000003000000}"/>
    <cellStyle name="Millares 10 19 37" xfId="15" xr:uid="{00000000-0005-0000-0000-000004000000}"/>
    <cellStyle name="Millares 39 2" xfId="11" xr:uid="{00000000-0005-0000-0000-000005000000}"/>
    <cellStyle name="Normal" xfId="0" builtinId="0"/>
    <cellStyle name="Normal 10 2" xfId="9" xr:uid="{00000000-0005-0000-0000-000007000000}"/>
    <cellStyle name="Normal 104" xfId="7" xr:uid="{00000000-0005-0000-0000-000008000000}"/>
    <cellStyle name="Normal 104 5" xfId="21" xr:uid="{00000000-0005-0000-0000-000009000000}"/>
    <cellStyle name="Normal 18" xfId="5" xr:uid="{00000000-0005-0000-0000-00000A000000}"/>
    <cellStyle name="Normal 2" xfId="17" xr:uid="{00000000-0005-0000-0000-00000B000000}"/>
    <cellStyle name="Normal 2 2 2" xfId="20" xr:uid="{00000000-0005-0000-0000-00000C000000}"/>
    <cellStyle name="Normal 2 2 2 2" xfId="16" xr:uid="{00000000-0005-0000-0000-00000D000000}"/>
    <cellStyle name="Normal 27" xfId="3" xr:uid="{00000000-0005-0000-0000-00000E000000}"/>
    <cellStyle name="Normal 30" xfId="18" xr:uid="{00000000-0005-0000-0000-00000F000000}"/>
    <cellStyle name="Normal 34 5 8" xfId="8" xr:uid="{00000000-0005-0000-0000-000010000000}"/>
    <cellStyle name="Normal 34 5 8 2 2" xfId="10" xr:uid="{00000000-0005-0000-0000-000011000000}"/>
    <cellStyle name="Normal 34 5 8 4 2" xfId="14" xr:uid="{00000000-0005-0000-0000-000012000000}"/>
    <cellStyle name="Normal 34 5 8 5" xfId="1" xr:uid="{00000000-0005-0000-0000-000013000000}"/>
    <cellStyle name="Normal 38 4 7" xfId="6" xr:uid="{00000000-0005-0000-0000-000014000000}"/>
    <cellStyle name="Normal 4 2" xfId="2" xr:uid="{00000000-0005-0000-0000-00001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1</xdr:row>
      <xdr:rowOff>133350</xdr:rowOff>
    </xdr:from>
    <xdr:to>
      <xdr:col>1</xdr:col>
      <xdr:colOff>628650</xdr:colOff>
      <xdr:row>3</xdr:row>
      <xdr:rowOff>168384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F0B9567C-F8BB-4DD5-A55A-73D7494BB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38471475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230443</xdr:colOff>
      <xdr:row>1</xdr:row>
      <xdr:rowOff>69134</xdr:rowOff>
    </xdr:from>
    <xdr:to>
      <xdr:col>1</xdr:col>
      <xdr:colOff>780861</xdr:colOff>
      <xdr:row>3</xdr:row>
      <xdr:rowOff>71754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540AE8-65E7-404E-9748-E3C6E8F8153C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63843" y="3041201609"/>
          <a:ext cx="550418" cy="38362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1</xdr:row>
      <xdr:rowOff>57150</xdr:rowOff>
    </xdr:from>
    <xdr:to>
      <xdr:col>1</xdr:col>
      <xdr:colOff>666750</xdr:colOff>
      <xdr:row>3</xdr:row>
      <xdr:rowOff>92184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3CB4DED9-BD78-4DFB-B071-EA16D19A6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715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2</xdr:row>
      <xdr:rowOff>76200</xdr:rowOff>
    </xdr:from>
    <xdr:to>
      <xdr:col>1</xdr:col>
      <xdr:colOff>676275</xdr:colOff>
      <xdr:row>4</xdr:row>
      <xdr:rowOff>111234</xdr:rowOff>
    </xdr:to>
    <xdr:pic>
      <xdr:nvPicPr>
        <xdr:cNvPr id="2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DFEDF2DF-B860-4873-B623-C928EA1CB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8200" y="5486400"/>
          <a:ext cx="600075" cy="4160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121242</xdr:colOff>
      <xdr:row>2</xdr:row>
      <xdr:rowOff>114301</xdr:rowOff>
    </xdr:from>
    <xdr:to>
      <xdr:col>1</xdr:col>
      <xdr:colOff>654642</xdr:colOff>
      <xdr:row>4</xdr:row>
      <xdr:rowOff>156277</xdr:rowOff>
    </xdr:to>
    <xdr:pic>
      <xdr:nvPicPr>
        <xdr:cNvPr id="3" name="Imagen 1" descr="Un dibujo con letras&#10;&#10;Descripción generada automáticamente con confianza media">
          <a:extLst>
            <a:ext uri="{FF2B5EF4-FFF2-40B4-BE49-F238E27FC236}">
              <a16:creationId xmlns:a16="http://schemas.microsoft.com/office/drawing/2014/main" id="{4B793AFA-A79F-48DA-8F38-BEC74D92D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3242" y="495301"/>
          <a:ext cx="533400" cy="42297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blipFill dpi="0" rotWithShape="0">
                <a:blip xmlns:r="http://schemas.openxmlformats.org/officeDocument/2006/relationships"/>
                <a:srcRect/>
                <a:stretch>
                  <a:fillRect/>
                </a:stretch>
              </a:blip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3465A4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rgio.vasquezf94@gmail.com" TargetMode="External"/><Relationship Id="rId13" Type="http://schemas.openxmlformats.org/officeDocument/2006/relationships/hyperlink" Target="mailto:gabisultani@gmail.com" TargetMode="External"/><Relationship Id="rId18" Type="http://schemas.openxmlformats.org/officeDocument/2006/relationships/hyperlink" Target="mailto:vmajia@ups.edu.ec" TargetMode="External"/><Relationship Id="rId3" Type="http://schemas.openxmlformats.org/officeDocument/2006/relationships/hyperlink" Target="mailto:majo.urriola@gmail.com" TargetMode="External"/><Relationship Id="rId21" Type="http://schemas.openxmlformats.org/officeDocument/2006/relationships/hyperlink" Target="mailto:silviaauquilla42@gmail.com" TargetMode="External"/><Relationship Id="rId7" Type="http://schemas.openxmlformats.org/officeDocument/2006/relationships/hyperlink" Target="mailto:ecardenas15sep@gmail.com" TargetMode="External"/><Relationship Id="rId12" Type="http://schemas.openxmlformats.org/officeDocument/2006/relationships/hyperlink" Target="mailto:car_lo_ly@hotmail.com" TargetMode="External"/><Relationship Id="rId17" Type="http://schemas.openxmlformats.org/officeDocument/2006/relationships/hyperlink" Target="mailto:jklcarrion@gmail.com" TargetMode="External"/><Relationship Id="rId25" Type="http://schemas.openxmlformats.org/officeDocument/2006/relationships/drawing" Target="../drawings/drawing1.xml"/><Relationship Id="rId2" Type="http://schemas.openxmlformats.org/officeDocument/2006/relationships/hyperlink" Target="mailto:majo.urriola@gmail.com" TargetMode="External"/><Relationship Id="rId16" Type="http://schemas.openxmlformats.org/officeDocument/2006/relationships/hyperlink" Target="mailto:vmajia@ups.edu.ec" TargetMode="External"/><Relationship Id="rId20" Type="http://schemas.openxmlformats.org/officeDocument/2006/relationships/hyperlink" Target="mailto:silviaauquilla42@gmail.com" TargetMode="External"/><Relationship Id="rId1" Type="http://schemas.openxmlformats.org/officeDocument/2006/relationships/hyperlink" Target="mailto:majo.urriola@gmail.com" TargetMode="External"/><Relationship Id="rId6" Type="http://schemas.openxmlformats.org/officeDocument/2006/relationships/hyperlink" Target="mailto:ecardenas15sep@gmail.com" TargetMode="External"/><Relationship Id="rId11" Type="http://schemas.openxmlformats.org/officeDocument/2006/relationships/hyperlink" Target="mailto:car_lo_ly@hotmail.com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mailto:juanacarrasco86@hotmail.com" TargetMode="External"/><Relationship Id="rId15" Type="http://schemas.openxmlformats.org/officeDocument/2006/relationships/hyperlink" Target="mailto:jklcarrion@gmail.com" TargetMode="External"/><Relationship Id="rId23" Type="http://schemas.openxmlformats.org/officeDocument/2006/relationships/hyperlink" Target="mailto:wvintimilla@jep.coop" TargetMode="External"/><Relationship Id="rId10" Type="http://schemas.openxmlformats.org/officeDocument/2006/relationships/hyperlink" Target="mailto:car_lo_ly@hotmail.com" TargetMode="External"/><Relationship Id="rId19" Type="http://schemas.openxmlformats.org/officeDocument/2006/relationships/hyperlink" Target="mailto:silviaauquilla42@gmail.com" TargetMode="External"/><Relationship Id="rId4" Type="http://schemas.openxmlformats.org/officeDocument/2006/relationships/hyperlink" Target="mailto:juanacarrasco86@hotmail.com" TargetMode="External"/><Relationship Id="rId9" Type="http://schemas.openxmlformats.org/officeDocument/2006/relationships/hyperlink" Target="mailto:sergio.vasquezf94@gmail.com" TargetMode="External"/><Relationship Id="rId14" Type="http://schemas.openxmlformats.org/officeDocument/2006/relationships/hyperlink" Target="mailto:gabisultani@gmail.com" TargetMode="External"/><Relationship Id="rId22" Type="http://schemas.openxmlformats.org/officeDocument/2006/relationships/hyperlink" Target="mailto:wvintimilla@jep.coop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repcar_repuestos@hotmail.com" TargetMode="External"/><Relationship Id="rId7" Type="http://schemas.openxmlformats.org/officeDocument/2006/relationships/hyperlink" Target="mailto:chmontero@hotmail.com" TargetMode="External"/><Relationship Id="rId2" Type="http://schemas.openxmlformats.org/officeDocument/2006/relationships/hyperlink" Target="mailto:rosyguzmanj@gmail.com" TargetMode="External"/><Relationship Id="rId1" Type="http://schemas.openxmlformats.org/officeDocument/2006/relationships/hyperlink" Target="mailto:c_ami_vasquez@hotmail.com" TargetMode="External"/><Relationship Id="rId6" Type="http://schemas.openxmlformats.org/officeDocument/2006/relationships/hyperlink" Target="mailto:lorena@sensorvital.com" TargetMode="External"/><Relationship Id="rId5" Type="http://schemas.openxmlformats.org/officeDocument/2006/relationships/hyperlink" Target="mailto:jsfcordova@gmail.com" TargetMode="External"/><Relationship Id="rId4" Type="http://schemas.openxmlformats.org/officeDocument/2006/relationships/hyperlink" Target="mailto:nenacarrascot@hotmail.com" TargetMode="External"/><Relationship Id="rId9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ulacordero15@hotmail.com" TargetMode="External"/><Relationship Id="rId3" Type="http://schemas.openxmlformats.org/officeDocument/2006/relationships/hyperlink" Target="mailto:adrian9mcd@gmail.com" TargetMode="External"/><Relationship Id="rId7" Type="http://schemas.openxmlformats.org/officeDocument/2006/relationships/hyperlink" Target="mailto:machadonando93@gmail.com" TargetMode="External"/><Relationship Id="rId2" Type="http://schemas.openxmlformats.org/officeDocument/2006/relationships/hyperlink" Target="mailto:asesoria.legal.xv@gmail.com" TargetMode="External"/><Relationship Id="rId1" Type="http://schemas.openxmlformats.org/officeDocument/2006/relationships/hyperlink" Target="mailto:bettyamoroso10@hotmail.com" TargetMode="External"/><Relationship Id="rId6" Type="http://schemas.openxmlformats.org/officeDocument/2006/relationships/hyperlink" Target="mailto:meza101048@gmail.com" TargetMode="External"/><Relationship Id="rId5" Type="http://schemas.openxmlformats.org/officeDocument/2006/relationships/hyperlink" Target="mailto:meza101048@gmail.com" TargetMode="External"/><Relationship Id="rId10" Type="http://schemas.openxmlformats.org/officeDocument/2006/relationships/drawing" Target="../drawings/drawing3.xml"/><Relationship Id="rId4" Type="http://schemas.openxmlformats.org/officeDocument/2006/relationships/hyperlink" Target="mailto:adrian9mcd@gmail.com" TargetMode="External"/><Relationship Id="rId9" Type="http://schemas.openxmlformats.org/officeDocument/2006/relationships/hyperlink" Target="mailto:lulacordero15@hot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nreinoso@ecuaquimica.com.ec" TargetMode="External"/><Relationship Id="rId13" Type="http://schemas.openxmlformats.org/officeDocument/2006/relationships/hyperlink" Target="mailto:irinaeguiguren@hotmail.com" TargetMode="External"/><Relationship Id="rId3" Type="http://schemas.openxmlformats.org/officeDocument/2006/relationships/hyperlink" Target="mailto:mmmmechita@yahoo.com" TargetMode="External"/><Relationship Id="rId7" Type="http://schemas.openxmlformats.org/officeDocument/2006/relationships/hyperlink" Target="mailto:luciadel34@hotmail.com" TargetMode="External"/><Relationship Id="rId12" Type="http://schemas.openxmlformats.org/officeDocument/2006/relationships/hyperlink" Target="mailto:pesantez63@gmail.com" TargetMode="External"/><Relationship Id="rId2" Type="http://schemas.openxmlformats.org/officeDocument/2006/relationships/hyperlink" Target="mailto:annacorral48@gmail.com" TargetMode="External"/><Relationship Id="rId16" Type="http://schemas.openxmlformats.org/officeDocument/2006/relationships/printerSettings" Target="../printerSettings/printerSettings3.bin"/><Relationship Id="rId1" Type="http://schemas.openxmlformats.org/officeDocument/2006/relationships/hyperlink" Target="mailto:magalycochay@gmail.com" TargetMode="External"/><Relationship Id="rId6" Type="http://schemas.openxmlformats.org/officeDocument/2006/relationships/hyperlink" Target="mailto:ivintimi@pichincha.com" TargetMode="External"/><Relationship Id="rId11" Type="http://schemas.openxmlformats.org/officeDocument/2006/relationships/hyperlink" Target="mailto:mirela.gn@hotmail.com" TargetMode="External"/><Relationship Id="rId5" Type="http://schemas.openxmlformats.org/officeDocument/2006/relationships/hyperlink" Target="mailto:feralvaradop@hotmail.com" TargetMode="External"/><Relationship Id="rId15" Type="http://schemas.openxmlformats.org/officeDocument/2006/relationships/hyperlink" Target="mailto:carlos_8048@hotmail.com" TargetMode="External"/><Relationship Id="rId10" Type="http://schemas.openxmlformats.org/officeDocument/2006/relationships/hyperlink" Target="mailto:juanpablolandym@gmail.com" TargetMode="External"/><Relationship Id="rId4" Type="http://schemas.openxmlformats.org/officeDocument/2006/relationships/hyperlink" Target="mailto:gonzaloalvaradoarquitecto@hotmail.com" TargetMode="External"/><Relationship Id="rId9" Type="http://schemas.openxmlformats.org/officeDocument/2006/relationships/hyperlink" Target="mailto:enaltos@gmail.com" TargetMode="External"/><Relationship Id="rId14" Type="http://schemas.openxmlformats.org/officeDocument/2006/relationships/hyperlink" Target="mailto:karlosmenchado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U42"/>
  <sheetViews>
    <sheetView zoomScale="87" zoomScaleNormal="87" workbookViewId="0">
      <selection activeCell="O6" sqref="O6:O30"/>
    </sheetView>
  </sheetViews>
  <sheetFormatPr baseColWidth="10" defaultRowHeight="15"/>
  <cols>
    <col min="1" max="1" width="3.33203125" customWidth="1"/>
    <col min="2" max="2" width="12.5" bestFit="1" customWidth="1"/>
    <col min="3" max="3" width="19.6640625" customWidth="1"/>
    <col min="4" max="4" width="21.33203125" customWidth="1"/>
    <col min="5" max="5" width="18" customWidth="1"/>
    <col min="6" max="6" width="31.33203125" customWidth="1"/>
    <col min="7" max="7" width="23.33203125" bestFit="1" customWidth="1"/>
    <col min="8" max="8" width="8.5" customWidth="1"/>
    <col min="9" max="9" width="14.6640625" customWidth="1"/>
    <col min="10" max="10" width="17.33203125" customWidth="1"/>
    <col min="11" max="11" width="14.5" customWidth="1"/>
    <col min="12" max="12" width="28.5" customWidth="1"/>
    <col min="13" max="13" width="38.5" customWidth="1"/>
    <col min="14" max="14" width="26.83203125" customWidth="1"/>
    <col min="15" max="15" width="11.1640625" customWidth="1"/>
    <col min="16" max="16" width="28.83203125" customWidth="1"/>
    <col min="17" max="17" width="18.33203125" customWidth="1"/>
    <col min="18" max="18" width="7.1640625" customWidth="1"/>
    <col min="19" max="19" width="20.5" customWidth="1"/>
    <col min="20" max="20" width="16.6640625" customWidth="1"/>
    <col min="21" max="21" width="29.5" customWidth="1"/>
  </cols>
  <sheetData>
    <row r="3" spans="1:21">
      <c r="A3" s="1"/>
      <c r="C3" s="2" t="s">
        <v>0</v>
      </c>
      <c r="E3" s="3"/>
      <c r="G3" s="4"/>
      <c r="H3" s="5"/>
      <c r="I3" s="6"/>
      <c r="J3" s="7"/>
      <c r="K3" s="5"/>
      <c r="L3" s="8"/>
      <c r="M3" s="8"/>
      <c r="N3" s="5"/>
      <c r="O3" s="9"/>
    </row>
    <row r="4" spans="1:21" ht="16">
      <c r="A4" s="1"/>
      <c r="C4" s="10" t="s">
        <v>1</v>
      </c>
      <c r="E4" s="5"/>
      <c r="G4" s="11"/>
      <c r="H4" s="12"/>
      <c r="I4" s="13"/>
      <c r="J4" s="14" t="s">
        <v>23</v>
      </c>
      <c r="K4" s="12"/>
      <c r="L4" s="15"/>
      <c r="M4" s="16"/>
      <c r="N4" s="5" t="s">
        <v>90</v>
      </c>
      <c r="O4" s="9"/>
      <c r="P4" s="17"/>
    </row>
    <row r="5" spans="1:21" s="23" customFormat="1" ht="45">
      <c r="A5" s="18"/>
      <c r="B5" s="19" t="s">
        <v>2</v>
      </c>
      <c r="C5" s="19" t="s">
        <v>3</v>
      </c>
      <c r="D5" s="19" t="s">
        <v>4</v>
      </c>
      <c r="E5" s="19" t="s">
        <v>5</v>
      </c>
      <c r="F5" s="20" t="s">
        <v>6</v>
      </c>
      <c r="G5" s="19" t="s">
        <v>7</v>
      </c>
      <c r="H5" s="19" t="s">
        <v>8</v>
      </c>
      <c r="I5" s="19" t="s">
        <v>9</v>
      </c>
      <c r="J5" s="19" t="s">
        <v>10</v>
      </c>
      <c r="K5" s="19" t="s">
        <v>11</v>
      </c>
      <c r="L5" s="21" t="s">
        <v>12</v>
      </c>
      <c r="M5" s="21" t="s">
        <v>13</v>
      </c>
      <c r="N5" s="19" t="s">
        <v>14</v>
      </c>
      <c r="O5" s="22" t="s">
        <v>15</v>
      </c>
      <c r="P5" s="19" t="s">
        <v>16</v>
      </c>
      <c r="Q5" s="19" t="s">
        <v>17</v>
      </c>
      <c r="R5" s="19" t="s">
        <v>18</v>
      </c>
      <c r="S5" s="19" t="s">
        <v>19</v>
      </c>
      <c r="T5" s="19" t="s">
        <v>20</v>
      </c>
      <c r="U5" s="19" t="s">
        <v>21</v>
      </c>
    </row>
    <row r="6" spans="1:21" ht="31" customHeight="1">
      <c r="A6">
        <v>1</v>
      </c>
      <c r="B6" s="154">
        <v>45506</v>
      </c>
      <c r="C6" s="153" t="s">
        <v>96</v>
      </c>
      <c r="D6" s="153" t="s">
        <v>446</v>
      </c>
      <c r="E6" s="150">
        <v>111010040</v>
      </c>
      <c r="F6" s="153" t="s">
        <v>103</v>
      </c>
      <c r="G6" s="153" t="s">
        <v>113</v>
      </c>
      <c r="H6" s="150" t="s">
        <v>42</v>
      </c>
      <c r="I6" s="150" t="s">
        <v>74</v>
      </c>
      <c r="J6" s="150" t="s">
        <v>75</v>
      </c>
      <c r="K6" s="155">
        <v>45643</v>
      </c>
      <c r="L6" s="156" t="s">
        <v>104</v>
      </c>
      <c r="M6" s="156" t="s">
        <v>105</v>
      </c>
      <c r="N6" s="160" t="s">
        <v>106</v>
      </c>
      <c r="O6" s="157">
        <v>15</v>
      </c>
      <c r="P6" s="150" t="s">
        <v>22</v>
      </c>
      <c r="Q6" s="150" t="s">
        <v>74</v>
      </c>
      <c r="R6" s="158"/>
      <c r="S6" s="153" t="s">
        <v>446</v>
      </c>
      <c r="T6" s="161" t="s">
        <v>107</v>
      </c>
      <c r="U6" s="159" t="s">
        <v>108</v>
      </c>
    </row>
    <row r="7" spans="1:21" ht="31" customHeight="1">
      <c r="A7">
        <v>2</v>
      </c>
      <c r="B7" s="154">
        <v>45433</v>
      </c>
      <c r="C7" s="153" t="s">
        <v>96</v>
      </c>
      <c r="D7" s="153" t="s">
        <v>447</v>
      </c>
      <c r="E7" s="150">
        <v>112520065</v>
      </c>
      <c r="F7" s="153" t="s">
        <v>109</v>
      </c>
      <c r="G7" s="153" t="s">
        <v>111</v>
      </c>
      <c r="H7" s="150" t="s">
        <v>42</v>
      </c>
      <c r="I7" s="150" t="s">
        <v>74</v>
      </c>
      <c r="J7" s="150" t="s">
        <v>75</v>
      </c>
      <c r="K7" s="155">
        <v>45643</v>
      </c>
      <c r="L7" s="156" t="s">
        <v>104</v>
      </c>
      <c r="M7" s="156" t="s">
        <v>105</v>
      </c>
      <c r="N7" s="160" t="s">
        <v>106</v>
      </c>
      <c r="O7" s="157">
        <v>15</v>
      </c>
      <c r="P7" s="150" t="s">
        <v>22</v>
      </c>
      <c r="Q7" s="150" t="s">
        <v>74</v>
      </c>
      <c r="R7" s="158"/>
      <c r="S7" s="153" t="s">
        <v>447</v>
      </c>
      <c r="T7" s="161" t="s">
        <v>107</v>
      </c>
      <c r="U7" s="159" t="s">
        <v>108</v>
      </c>
    </row>
    <row r="8" spans="1:21" ht="31" customHeight="1">
      <c r="A8">
        <v>3</v>
      </c>
      <c r="B8" s="154">
        <v>45433</v>
      </c>
      <c r="C8" s="153" t="s">
        <v>96</v>
      </c>
      <c r="D8" s="153" t="s">
        <v>447</v>
      </c>
      <c r="E8" s="150">
        <v>40461507</v>
      </c>
      <c r="F8" s="153" t="s">
        <v>110</v>
      </c>
      <c r="G8" s="153" t="s">
        <v>112</v>
      </c>
      <c r="H8" s="150" t="s">
        <v>42</v>
      </c>
      <c r="I8" s="150" t="s">
        <v>74</v>
      </c>
      <c r="J8" s="150" t="s">
        <v>75</v>
      </c>
      <c r="K8" s="155">
        <v>45643</v>
      </c>
      <c r="L8" s="156" t="s">
        <v>104</v>
      </c>
      <c r="M8" s="156" t="s">
        <v>105</v>
      </c>
      <c r="N8" s="160" t="s">
        <v>106</v>
      </c>
      <c r="O8" s="157">
        <v>15</v>
      </c>
      <c r="P8" s="150" t="s">
        <v>22</v>
      </c>
      <c r="Q8" s="150" t="s">
        <v>74</v>
      </c>
      <c r="R8" s="158"/>
      <c r="S8" s="153" t="s">
        <v>447</v>
      </c>
      <c r="T8" s="161" t="s">
        <v>107</v>
      </c>
      <c r="U8" s="159" t="s">
        <v>108</v>
      </c>
    </row>
    <row r="9" spans="1:21" ht="31" customHeight="1">
      <c r="A9">
        <v>4</v>
      </c>
      <c r="B9" s="154">
        <v>45621</v>
      </c>
      <c r="C9" s="153" t="s">
        <v>181</v>
      </c>
      <c r="D9" s="153" t="s">
        <v>182</v>
      </c>
      <c r="E9" s="150">
        <v>112500049</v>
      </c>
      <c r="F9" s="153" t="s">
        <v>183</v>
      </c>
      <c r="G9" s="153" t="s">
        <v>184</v>
      </c>
      <c r="H9" s="150" t="s">
        <v>42</v>
      </c>
      <c r="I9" s="150" t="s">
        <v>74</v>
      </c>
      <c r="J9" s="150" t="s">
        <v>75</v>
      </c>
      <c r="K9" s="155">
        <v>45644</v>
      </c>
      <c r="L9" s="156" t="s">
        <v>320</v>
      </c>
      <c r="M9" s="156" t="s">
        <v>185</v>
      </c>
      <c r="N9" s="160" t="s">
        <v>186</v>
      </c>
      <c r="O9" s="157">
        <v>20</v>
      </c>
      <c r="P9" s="150" t="s">
        <v>22</v>
      </c>
      <c r="Q9" s="150" t="s">
        <v>74</v>
      </c>
      <c r="R9" s="158"/>
      <c r="S9" s="153" t="s">
        <v>182</v>
      </c>
      <c r="T9" s="161" t="s">
        <v>187</v>
      </c>
      <c r="U9" s="159" t="s">
        <v>188</v>
      </c>
    </row>
    <row r="10" spans="1:21" ht="31" customHeight="1">
      <c r="A10">
        <v>5</v>
      </c>
      <c r="B10" s="154">
        <v>45621</v>
      </c>
      <c r="C10" s="153" t="s">
        <v>181</v>
      </c>
      <c r="D10" s="153" t="s">
        <v>182</v>
      </c>
      <c r="E10" s="150">
        <v>111020071</v>
      </c>
      <c r="F10" s="153" t="s">
        <v>189</v>
      </c>
      <c r="G10" s="153" t="s">
        <v>190</v>
      </c>
      <c r="H10" s="150" t="s">
        <v>42</v>
      </c>
      <c r="I10" s="150" t="s">
        <v>74</v>
      </c>
      <c r="J10" s="150" t="s">
        <v>75</v>
      </c>
      <c r="K10" s="155">
        <v>45644</v>
      </c>
      <c r="L10" s="156" t="s">
        <v>320</v>
      </c>
      <c r="M10" s="156" t="s">
        <v>185</v>
      </c>
      <c r="N10" s="160" t="s">
        <v>186</v>
      </c>
      <c r="O10" s="157">
        <v>20</v>
      </c>
      <c r="P10" s="150" t="s">
        <v>22</v>
      </c>
      <c r="Q10" s="150" t="s">
        <v>74</v>
      </c>
      <c r="R10" s="158"/>
      <c r="S10" s="153" t="s">
        <v>182</v>
      </c>
      <c r="T10" s="161" t="s">
        <v>187</v>
      </c>
      <c r="U10" s="159" t="s">
        <v>188</v>
      </c>
    </row>
    <row r="11" spans="1:21" ht="31" customHeight="1">
      <c r="A11">
        <v>6</v>
      </c>
      <c r="B11" s="154">
        <v>45617</v>
      </c>
      <c r="C11" s="153" t="s">
        <v>98</v>
      </c>
      <c r="D11" s="153" t="s">
        <v>191</v>
      </c>
      <c r="E11" s="150">
        <v>112610067</v>
      </c>
      <c r="F11" s="153" t="s">
        <v>192</v>
      </c>
      <c r="G11" s="153" t="s">
        <v>194</v>
      </c>
      <c r="H11" s="150" t="s">
        <v>42</v>
      </c>
      <c r="I11" s="150" t="s">
        <v>74</v>
      </c>
      <c r="J11" s="150" t="s">
        <v>75</v>
      </c>
      <c r="K11" s="155">
        <v>45644</v>
      </c>
      <c r="L11" s="156" t="s">
        <v>196</v>
      </c>
      <c r="M11" s="156" t="s">
        <v>197</v>
      </c>
      <c r="N11" s="160" t="s">
        <v>198</v>
      </c>
      <c r="O11" s="157">
        <v>20</v>
      </c>
      <c r="P11" s="150" t="s">
        <v>22</v>
      </c>
      <c r="Q11" s="150" t="s">
        <v>74</v>
      </c>
      <c r="R11" s="158"/>
      <c r="S11" s="153" t="s">
        <v>191</v>
      </c>
      <c r="T11" s="161" t="s">
        <v>199</v>
      </c>
      <c r="U11" s="159" t="s">
        <v>200</v>
      </c>
    </row>
    <row r="12" spans="1:21" ht="31" customHeight="1">
      <c r="A12">
        <v>7</v>
      </c>
      <c r="B12" s="154">
        <v>45617</v>
      </c>
      <c r="C12" s="153" t="s">
        <v>98</v>
      </c>
      <c r="D12" s="153" t="s">
        <v>191</v>
      </c>
      <c r="E12" s="150">
        <v>111040006</v>
      </c>
      <c r="F12" s="153" t="s">
        <v>193</v>
      </c>
      <c r="G12" s="153" t="s">
        <v>195</v>
      </c>
      <c r="H12" s="150" t="s">
        <v>42</v>
      </c>
      <c r="I12" s="150" t="s">
        <v>74</v>
      </c>
      <c r="J12" s="150" t="s">
        <v>75</v>
      </c>
      <c r="K12" s="155">
        <v>45644</v>
      </c>
      <c r="L12" s="156" t="s">
        <v>196</v>
      </c>
      <c r="M12" s="156" t="s">
        <v>197</v>
      </c>
      <c r="N12" s="160" t="s">
        <v>198</v>
      </c>
      <c r="O12" s="157">
        <v>20</v>
      </c>
      <c r="P12" s="150" t="s">
        <v>22</v>
      </c>
      <c r="Q12" s="150" t="s">
        <v>74</v>
      </c>
      <c r="R12" s="158"/>
      <c r="S12" s="153" t="s">
        <v>191</v>
      </c>
      <c r="T12" s="161" t="s">
        <v>199</v>
      </c>
      <c r="U12" s="159" t="s">
        <v>200</v>
      </c>
    </row>
    <row r="13" spans="1:21" ht="31" customHeight="1">
      <c r="A13">
        <v>8</v>
      </c>
      <c r="B13" s="154">
        <v>45633</v>
      </c>
      <c r="C13" s="153" t="s">
        <v>96</v>
      </c>
      <c r="D13" s="153" t="s">
        <v>321</v>
      </c>
      <c r="E13" s="150">
        <v>112520025</v>
      </c>
      <c r="F13" s="153" t="s">
        <v>260</v>
      </c>
      <c r="G13" s="153" t="s">
        <v>261</v>
      </c>
      <c r="H13" s="150" t="s">
        <v>42</v>
      </c>
      <c r="I13" s="150" t="s">
        <v>74</v>
      </c>
      <c r="J13" s="150" t="s">
        <v>75</v>
      </c>
      <c r="K13" s="155">
        <v>45647</v>
      </c>
      <c r="L13" s="156" t="s">
        <v>263</v>
      </c>
      <c r="M13" s="156" t="s">
        <v>264</v>
      </c>
      <c r="N13" s="160" t="s">
        <v>265</v>
      </c>
      <c r="O13" s="157">
        <v>20</v>
      </c>
      <c r="P13" s="150" t="s">
        <v>22</v>
      </c>
      <c r="Q13" s="150" t="s">
        <v>74</v>
      </c>
      <c r="R13" s="158"/>
      <c r="S13" s="153" t="s">
        <v>321</v>
      </c>
      <c r="T13" s="161" t="s">
        <v>266</v>
      </c>
      <c r="U13" s="159" t="s">
        <v>267</v>
      </c>
    </row>
    <row r="14" spans="1:21" ht="31" customHeight="1">
      <c r="A14">
        <v>9</v>
      </c>
      <c r="B14" s="154">
        <v>45644</v>
      </c>
      <c r="C14" s="153" t="s">
        <v>96</v>
      </c>
      <c r="D14" s="153" t="s">
        <v>322</v>
      </c>
      <c r="E14" s="150">
        <v>40464111</v>
      </c>
      <c r="F14" s="153" t="s">
        <v>221</v>
      </c>
      <c r="G14" s="153" t="s">
        <v>262</v>
      </c>
      <c r="H14" s="150" t="s">
        <v>42</v>
      </c>
      <c r="I14" s="150" t="s">
        <v>74</v>
      </c>
      <c r="J14" s="150" t="s">
        <v>75</v>
      </c>
      <c r="K14" s="155">
        <v>45647</v>
      </c>
      <c r="L14" s="156" t="s">
        <v>263</v>
      </c>
      <c r="M14" s="156" t="s">
        <v>264</v>
      </c>
      <c r="N14" s="160" t="s">
        <v>265</v>
      </c>
      <c r="O14" s="157">
        <v>20</v>
      </c>
      <c r="P14" s="150" t="s">
        <v>22</v>
      </c>
      <c r="Q14" s="150" t="s">
        <v>74</v>
      </c>
      <c r="R14" s="158"/>
      <c r="S14" s="153" t="s">
        <v>322</v>
      </c>
      <c r="T14" s="161" t="s">
        <v>266</v>
      </c>
      <c r="U14" s="159" t="s">
        <v>267</v>
      </c>
    </row>
    <row r="15" spans="1:21" ht="31" customHeight="1">
      <c r="A15">
        <v>10</v>
      </c>
      <c r="B15" s="154">
        <v>45611</v>
      </c>
      <c r="C15" s="153" t="s">
        <v>96</v>
      </c>
      <c r="D15" s="153" t="s">
        <v>323</v>
      </c>
      <c r="E15" s="150">
        <v>112570073</v>
      </c>
      <c r="F15" s="153" t="s">
        <v>268</v>
      </c>
      <c r="G15" s="153" t="s">
        <v>271</v>
      </c>
      <c r="H15" s="150" t="s">
        <v>42</v>
      </c>
      <c r="I15" s="150" t="s">
        <v>74</v>
      </c>
      <c r="J15" s="150" t="s">
        <v>75</v>
      </c>
      <c r="K15" s="155">
        <v>45647</v>
      </c>
      <c r="L15" s="156" t="s">
        <v>274</v>
      </c>
      <c r="M15" s="156" t="s">
        <v>275</v>
      </c>
      <c r="N15" s="160" t="s">
        <v>276</v>
      </c>
      <c r="O15" s="157">
        <v>20</v>
      </c>
      <c r="P15" s="150" t="s">
        <v>22</v>
      </c>
      <c r="Q15" s="150" t="s">
        <v>74</v>
      </c>
      <c r="R15" s="158"/>
      <c r="S15" s="153" t="s">
        <v>323</v>
      </c>
      <c r="T15" s="161" t="s">
        <v>277</v>
      </c>
      <c r="U15" s="159" t="s">
        <v>278</v>
      </c>
    </row>
    <row r="16" spans="1:21" ht="31" customHeight="1">
      <c r="A16">
        <v>11</v>
      </c>
      <c r="B16" s="154">
        <v>45611</v>
      </c>
      <c r="C16" s="153" t="s">
        <v>96</v>
      </c>
      <c r="D16" s="153" t="s">
        <v>323</v>
      </c>
      <c r="E16" s="150">
        <v>111000059</v>
      </c>
      <c r="F16" s="153" t="s">
        <v>269</v>
      </c>
      <c r="G16" s="153" t="s">
        <v>272</v>
      </c>
      <c r="H16" s="150" t="s">
        <v>42</v>
      </c>
      <c r="I16" s="150" t="s">
        <v>74</v>
      </c>
      <c r="J16" s="150" t="s">
        <v>75</v>
      </c>
      <c r="K16" s="155">
        <v>45647</v>
      </c>
      <c r="L16" s="156" t="s">
        <v>274</v>
      </c>
      <c r="M16" s="156" t="s">
        <v>275</v>
      </c>
      <c r="N16" s="160" t="s">
        <v>276</v>
      </c>
      <c r="O16" s="157">
        <v>20</v>
      </c>
      <c r="P16" s="150" t="s">
        <v>22</v>
      </c>
      <c r="Q16" s="150" t="s">
        <v>74</v>
      </c>
      <c r="R16" s="158"/>
      <c r="S16" s="153" t="s">
        <v>323</v>
      </c>
      <c r="T16" s="161" t="s">
        <v>277</v>
      </c>
      <c r="U16" s="159" t="s">
        <v>278</v>
      </c>
    </row>
    <row r="17" spans="1:21" ht="31" customHeight="1">
      <c r="A17">
        <v>12</v>
      </c>
      <c r="B17" s="154">
        <v>45611</v>
      </c>
      <c r="C17" s="153" t="s">
        <v>96</v>
      </c>
      <c r="D17" s="153" t="s">
        <v>323</v>
      </c>
      <c r="E17" s="150">
        <v>112030010</v>
      </c>
      <c r="F17" s="153" t="s">
        <v>270</v>
      </c>
      <c r="G17" s="153" t="s">
        <v>273</v>
      </c>
      <c r="H17" s="150" t="s">
        <v>42</v>
      </c>
      <c r="I17" s="150" t="s">
        <v>74</v>
      </c>
      <c r="J17" s="150" t="s">
        <v>75</v>
      </c>
      <c r="K17" s="155">
        <v>45647</v>
      </c>
      <c r="L17" s="156" t="s">
        <v>274</v>
      </c>
      <c r="M17" s="156" t="s">
        <v>275</v>
      </c>
      <c r="N17" s="160" t="s">
        <v>276</v>
      </c>
      <c r="O17" s="157">
        <v>20</v>
      </c>
      <c r="P17" s="150" t="s">
        <v>22</v>
      </c>
      <c r="Q17" s="150" t="s">
        <v>74</v>
      </c>
      <c r="R17" s="158"/>
      <c r="S17" s="153" t="s">
        <v>323</v>
      </c>
      <c r="T17" s="161" t="s">
        <v>277</v>
      </c>
      <c r="U17" s="159" t="s">
        <v>278</v>
      </c>
    </row>
    <row r="18" spans="1:21" ht="31" customHeight="1">
      <c r="A18">
        <v>12</v>
      </c>
      <c r="B18" s="154">
        <v>45636</v>
      </c>
      <c r="C18" s="153" t="s">
        <v>96</v>
      </c>
      <c r="D18" s="153" t="s">
        <v>344</v>
      </c>
      <c r="E18" s="150">
        <v>112580017</v>
      </c>
      <c r="F18" s="153" t="s">
        <v>305</v>
      </c>
      <c r="G18" s="153" t="s">
        <v>306</v>
      </c>
      <c r="H18" s="150" t="s">
        <v>42</v>
      </c>
      <c r="I18" s="150" t="s">
        <v>74</v>
      </c>
      <c r="J18" s="150" t="s">
        <v>75</v>
      </c>
      <c r="K18" s="155">
        <v>45652</v>
      </c>
      <c r="L18" s="156" t="s">
        <v>307</v>
      </c>
      <c r="M18" s="156" t="s">
        <v>308</v>
      </c>
      <c r="N18" s="160" t="s">
        <v>309</v>
      </c>
      <c r="O18" s="169">
        <v>20</v>
      </c>
      <c r="P18" s="150" t="s">
        <v>22</v>
      </c>
      <c r="Q18" s="150" t="s">
        <v>74</v>
      </c>
      <c r="R18" s="158"/>
      <c r="S18" s="153" t="s">
        <v>344</v>
      </c>
      <c r="T18" s="161" t="s">
        <v>310</v>
      </c>
      <c r="U18" s="159" t="s">
        <v>311</v>
      </c>
    </row>
    <row r="19" spans="1:21" ht="31" customHeight="1">
      <c r="A19">
        <v>13</v>
      </c>
      <c r="B19" s="154">
        <v>45636</v>
      </c>
      <c r="C19" s="153" t="s">
        <v>96</v>
      </c>
      <c r="D19" s="153" t="s">
        <v>344</v>
      </c>
      <c r="E19" s="150">
        <v>40466111</v>
      </c>
      <c r="F19" s="153" t="s">
        <v>221</v>
      </c>
      <c r="G19" s="153" t="s">
        <v>312</v>
      </c>
      <c r="H19" s="150" t="s">
        <v>42</v>
      </c>
      <c r="I19" s="150" t="s">
        <v>74</v>
      </c>
      <c r="J19" s="150" t="s">
        <v>75</v>
      </c>
      <c r="K19" s="155">
        <v>45652</v>
      </c>
      <c r="L19" s="156" t="s">
        <v>307</v>
      </c>
      <c r="M19" s="156" t="s">
        <v>308</v>
      </c>
      <c r="N19" s="160" t="s">
        <v>309</v>
      </c>
      <c r="O19" s="169">
        <v>20</v>
      </c>
      <c r="P19" s="150" t="s">
        <v>22</v>
      </c>
      <c r="Q19" s="150" t="s">
        <v>74</v>
      </c>
      <c r="R19" s="158"/>
      <c r="S19" s="153" t="s">
        <v>344</v>
      </c>
      <c r="T19" s="161" t="s">
        <v>310</v>
      </c>
      <c r="U19" s="159" t="s">
        <v>311</v>
      </c>
    </row>
    <row r="20" spans="1:21" ht="31" customHeight="1">
      <c r="A20">
        <v>14</v>
      </c>
      <c r="B20" s="154">
        <v>45628</v>
      </c>
      <c r="C20" s="153" t="s">
        <v>98</v>
      </c>
      <c r="D20" s="153" t="s">
        <v>345</v>
      </c>
      <c r="E20" s="150">
        <v>112930045</v>
      </c>
      <c r="F20" s="153" t="s">
        <v>346</v>
      </c>
      <c r="G20" s="153" t="s">
        <v>347</v>
      </c>
      <c r="H20" s="150" t="s">
        <v>42</v>
      </c>
      <c r="I20" s="150" t="s">
        <v>74</v>
      </c>
      <c r="J20" s="150" t="s">
        <v>75</v>
      </c>
      <c r="K20" s="155">
        <v>45653</v>
      </c>
      <c r="L20" s="156" t="s">
        <v>348</v>
      </c>
      <c r="M20" s="156" t="s">
        <v>349</v>
      </c>
      <c r="N20" s="160" t="s">
        <v>350</v>
      </c>
      <c r="O20" s="157">
        <v>20</v>
      </c>
      <c r="P20" s="150" t="s">
        <v>22</v>
      </c>
      <c r="Q20" s="150" t="s">
        <v>74</v>
      </c>
      <c r="R20" s="158"/>
      <c r="S20" s="153" t="s">
        <v>351</v>
      </c>
      <c r="T20" s="161" t="s">
        <v>352</v>
      </c>
      <c r="U20" s="159"/>
    </row>
    <row r="21" spans="1:21" ht="31" customHeight="1">
      <c r="A21" s="150" t="s">
        <v>370</v>
      </c>
      <c r="B21" s="154">
        <v>45628</v>
      </c>
      <c r="C21" s="153" t="s">
        <v>98</v>
      </c>
      <c r="D21" s="153" t="s">
        <v>345</v>
      </c>
      <c r="E21" s="150">
        <v>112570128</v>
      </c>
      <c r="F21" s="153" t="s">
        <v>371</v>
      </c>
      <c r="G21" s="153" t="s">
        <v>372</v>
      </c>
      <c r="H21" s="150" t="s">
        <v>42</v>
      </c>
      <c r="I21" s="150" t="s">
        <v>74</v>
      </c>
      <c r="J21" s="150" t="s">
        <v>75</v>
      </c>
      <c r="K21" s="155">
        <v>45653</v>
      </c>
      <c r="L21" s="156" t="s">
        <v>348</v>
      </c>
      <c r="M21" s="156" t="s">
        <v>349</v>
      </c>
      <c r="N21" s="160" t="s">
        <v>350</v>
      </c>
      <c r="O21" s="157">
        <v>20</v>
      </c>
      <c r="P21" s="150" t="s">
        <v>22</v>
      </c>
      <c r="Q21" s="150" t="s">
        <v>74</v>
      </c>
      <c r="R21" s="158"/>
      <c r="S21" s="153" t="s">
        <v>351</v>
      </c>
      <c r="T21" s="161" t="s">
        <v>352</v>
      </c>
      <c r="U21" s="159"/>
    </row>
    <row r="22" spans="1:21" ht="31" customHeight="1">
      <c r="A22">
        <v>15</v>
      </c>
      <c r="B22" s="154">
        <v>45652</v>
      </c>
      <c r="C22" s="153" t="s">
        <v>96</v>
      </c>
      <c r="D22" s="153" t="s">
        <v>354</v>
      </c>
      <c r="E22" s="150">
        <v>40590835</v>
      </c>
      <c r="F22" s="153" t="s">
        <v>355</v>
      </c>
      <c r="G22" s="153" t="s">
        <v>356</v>
      </c>
      <c r="H22" s="150" t="s">
        <v>42</v>
      </c>
      <c r="I22" s="150" t="s">
        <v>74</v>
      </c>
      <c r="J22" s="150" t="s">
        <v>75</v>
      </c>
      <c r="K22" s="155">
        <v>45653</v>
      </c>
      <c r="L22" s="156" t="s">
        <v>357</v>
      </c>
      <c r="M22" s="156" t="s">
        <v>358</v>
      </c>
      <c r="N22" s="160" t="s">
        <v>359</v>
      </c>
      <c r="O22" s="157">
        <v>20</v>
      </c>
      <c r="P22" s="150" t="s">
        <v>22</v>
      </c>
      <c r="Q22" s="150" t="s">
        <v>74</v>
      </c>
      <c r="R22" s="158"/>
      <c r="S22" s="153" t="s">
        <v>354</v>
      </c>
      <c r="T22" s="161" t="s">
        <v>360</v>
      </c>
      <c r="U22" s="159" t="s">
        <v>361</v>
      </c>
    </row>
    <row r="23" spans="1:21" ht="31" customHeight="1">
      <c r="B23" s="154">
        <v>45652</v>
      </c>
      <c r="C23" s="153" t="s">
        <v>96</v>
      </c>
      <c r="D23" s="153" t="s">
        <v>354</v>
      </c>
      <c r="E23" s="150">
        <v>40466111</v>
      </c>
      <c r="F23" s="153" t="s">
        <v>221</v>
      </c>
      <c r="G23" s="153" t="s">
        <v>373</v>
      </c>
      <c r="H23" s="150" t="s">
        <v>42</v>
      </c>
      <c r="I23" s="150" t="s">
        <v>74</v>
      </c>
      <c r="J23" s="150" t="s">
        <v>75</v>
      </c>
      <c r="K23" s="155">
        <v>45653</v>
      </c>
      <c r="L23" s="156" t="s">
        <v>357</v>
      </c>
      <c r="M23" s="156" t="s">
        <v>358</v>
      </c>
      <c r="N23" s="160" t="s">
        <v>359</v>
      </c>
      <c r="O23" s="157">
        <v>20</v>
      </c>
      <c r="P23" s="150" t="s">
        <v>22</v>
      </c>
      <c r="Q23" s="150" t="s">
        <v>74</v>
      </c>
      <c r="R23" s="158"/>
      <c r="S23" s="153" t="s">
        <v>354</v>
      </c>
      <c r="T23" s="161" t="s">
        <v>360</v>
      </c>
      <c r="U23" s="159" t="s">
        <v>361</v>
      </c>
    </row>
    <row r="24" spans="1:21" ht="31" customHeight="1">
      <c r="A24">
        <v>16</v>
      </c>
      <c r="B24" s="154">
        <v>45647</v>
      </c>
      <c r="C24" s="153" t="s">
        <v>96</v>
      </c>
      <c r="D24" s="153" t="s">
        <v>362</v>
      </c>
      <c r="E24" s="150">
        <v>41560061</v>
      </c>
      <c r="F24" s="153" t="s">
        <v>363</v>
      </c>
      <c r="G24" s="153" t="s">
        <v>364</v>
      </c>
      <c r="H24" s="150" t="s">
        <v>42</v>
      </c>
      <c r="I24" s="150" t="s">
        <v>74</v>
      </c>
      <c r="J24" s="150" t="s">
        <v>75</v>
      </c>
      <c r="K24" s="155">
        <v>45654</v>
      </c>
      <c r="L24" s="156" t="s">
        <v>365</v>
      </c>
      <c r="M24" s="156" t="s">
        <v>366</v>
      </c>
      <c r="N24" s="160" t="s">
        <v>367</v>
      </c>
      <c r="O24" s="157">
        <v>20</v>
      </c>
      <c r="P24" s="150" t="s">
        <v>22</v>
      </c>
      <c r="Q24" s="150" t="s">
        <v>74</v>
      </c>
      <c r="R24" s="158"/>
      <c r="S24" s="153" t="s">
        <v>362</v>
      </c>
      <c r="T24" s="161" t="s">
        <v>368</v>
      </c>
      <c r="U24" s="159" t="s">
        <v>369</v>
      </c>
    </row>
    <row r="25" spans="1:21" ht="31" customHeight="1">
      <c r="B25" s="154">
        <v>45647</v>
      </c>
      <c r="C25" s="153" t="s">
        <v>96</v>
      </c>
      <c r="D25" s="153" t="s">
        <v>362</v>
      </c>
      <c r="E25" s="150">
        <v>40584202</v>
      </c>
      <c r="F25" s="153" t="s">
        <v>374</v>
      </c>
      <c r="G25" s="153" t="s">
        <v>375</v>
      </c>
      <c r="H25" s="150" t="s">
        <v>42</v>
      </c>
      <c r="I25" s="150" t="s">
        <v>74</v>
      </c>
      <c r="J25" s="150" t="s">
        <v>75</v>
      </c>
      <c r="K25" s="155">
        <v>45654</v>
      </c>
      <c r="L25" s="156" t="s">
        <v>365</v>
      </c>
      <c r="M25" s="156" t="s">
        <v>366</v>
      </c>
      <c r="N25" s="160" t="s">
        <v>367</v>
      </c>
      <c r="O25" s="157">
        <v>20</v>
      </c>
      <c r="P25" s="150" t="s">
        <v>22</v>
      </c>
      <c r="Q25" s="150" t="s">
        <v>74</v>
      </c>
      <c r="R25" s="158"/>
      <c r="S25" s="153" t="s">
        <v>362</v>
      </c>
      <c r="T25" s="161" t="s">
        <v>368</v>
      </c>
      <c r="U25" s="159" t="s">
        <v>369</v>
      </c>
    </row>
    <row r="26" spans="1:21" ht="31" customHeight="1">
      <c r="A26">
        <v>17</v>
      </c>
      <c r="B26" s="154">
        <v>45527</v>
      </c>
      <c r="C26" s="153" t="s">
        <v>96</v>
      </c>
      <c r="D26" s="153" t="s">
        <v>376</v>
      </c>
      <c r="E26" s="150">
        <v>112960004</v>
      </c>
      <c r="F26" s="153" t="s">
        <v>377</v>
      </c>
      <c r="G26" s="153" t="s">
        <v>380</v>
      </c>
      <c r="H26" s="150" t="s">
        <v>42</v>
      </c>
      <c r="I26" s="150" t="s">
        <v>74</v>
      </c>
      <c r="J26" s="150" t="s">
        <v>75</v>
      </c>
      <c r="K26" s="155">
        <v>45654</v>
      </c>
      <c r="L26" s="156" t="s">
        <v>383</v>
      </c>
      <c r="M26" s="156" t="s">
        <v>384</v>
      </c>
      <c r="N26" s="160" t="s">
        <v>385</v>
      </c>
      <c r="O26" s="157">
        <v>15</v>
      </c>
      <c r="P26" s="150" t="s">
        <v>22</v>
      </c>
      <c r="Q26" s="150" t="s">
        <v>74</v>
      </c>
      <c r="R26" s="158"/>
      <c r="S26" s="153" t="s">
        <v>376</v>
      </c>
      <c r="T26" s="161" t="s">
        <v>386</v>
      </c>
      <c r="U26" s="159" t="s">
        <v>387</v>
      </c>
    </row>
    <row r="27" spans="1:21" ht="31" customHeight="1">
      <c r="A27">
        <v>18</v>
      </c>
      <c r="B27" s="154">
        <v>45527</v>
      </c>
      <c r="C27" s="153" t="s">
        <v>96</v>
      </c>
      <c r="D27" s="153" t="s">
        <v>376</v>
      </c>
      <c r="E27" s="150">
        <v>111000050</v>
      </c>
      <c r="F27" s="153" t="s">
        <v>378</v>
      </c>
      <c r="G27" s="153" t="s">
        <v>381</v>
      </c>
      <c r="H27" s="150" t="s">
        <v>42</v>
      </c>
      <c r="I27" s="150" t="s">
        <v>74</v>
      </c>
      <c r="J27" s="150" t="s">
        <v>75</v>
      </c>
      <c r="K27" s="155">
        <v>45654</v>
      </c>
      <c r="L27" s="156" t="s">
        <v>383</v>
      </c>
      <c r="M27" s="156" t="s">
        <v>384</v>
      </c>
      <c r="N27" s="160" t="s">
        <v>385</v>
      </c>
      <c r="O27" s="157">
        <v>15</v>
      </c>
      <c r="P27" s="150" t="s">
        <v>22</v>
      </c>
      <c r="Q27" s="150" t="s">
        <v>74</v>
      </c>
      <c r="R27" s="158"/>
      <c r="S27" s="153" t="s">
        <v>376</v>
      </c>
      <c r="T27" s="161" t="s">
        <v>386</v>
      </c>
      <c r="U27" s="159" t="s">
        <v>387</v>
      </c>
    </row>
    <row r="28" spans="1:21" ht="31" customHeight="1">
      <c r="A28">
        <v>19</v>
      </c>
      <c r="B28" s="154">
        <v>45527</v>
      </c>
      <c r="C28" s="153" t="s">
        <v>96</v>
      </c>
      <c r="D28" s="153" t="s">
        <v>376</v>
      </c>
      <c r="E28" s="150">
        <v>112570043</v>
      </c>
      <c r="F28" s="153" t="s">
        <v>379</v>
      </c>
      <c r="G28" s="153" t="s">
        <v>382</v>
      </c>
      <c r="H28" s="150" t="s">
        <v>42</v>
      </c>
      <c r="I28" s="150" t="s">
        <v>74</v>
      </c>
      <c r="J28" s="150" t="s">
        <v>75</v>
      </c>
      <c r="K28" s="155">
        <v>45654</v>
      </c>
      <c r="L28" s="156" t="s">
        <v>383</v>
      </c>
      <c r="M28" s="156" t="s">
        <v>384</v>
      </c>
      <c r="N28" s="160" t="s">
        <v>385</v>
      </c>
      <c r="O28" s="157">
        <v>15</v>
      </c>
      <c r="P28" s="150" t="s">
        <v>22</v>
      </c>
      <c r="Q28" s="150" t="s">
        <v>74</v>
      </c>
      <c r="R28" s="158"/>
      <c r="S28" s="153" t="s">
        <v>376</v>
      </c>
      <c r="T28" s="161" t="s">
        <v>386</v>
      </c>
      <c r="U28" s="159" t="s">
        <v>387</v>
      </c>
    </row>
    <row r="29" spans="1:21" ht="31" customHeight="1">
      <c r="A29">
        <v>20</v>
      </c>
      <c r="B29" s="154">
        <v>45593</v>
      </c>
      <c r="C29" s="153" t="s">
        <v>96</v>
      </c>
      <c r="D29" s="153" t="s">
        <v>396</v>
      </c>
      <c r="E29" s="150">
        <v>112580058</v>
      </c>
      <c r="F29" s="153" t="s">
        <v>397</v>
      </c>
      <c r="G29" s="153" t="s">
        <v>398</v>
      </c>
      <c r="H29" s="150" t="s">
        <v>42</v>
      </c>
      <c r="I29" s="150" t="s">
        <v>74</v>
      </c>
      <c r="J29" s="150" t="s">
        <v>75</v>
      </c>
      <c r="K29" s="155">
        <v>45657</v>
      </c>
      <c r="L29" s="156" t="s">
        <v>399</v>
      </c>
      <c r="M29" s="156" t="s">
        <v>197</v>
      </c>
      <c r="N29" s="160" t="s">
        <v>401</v>
      </c>
      <c r="O29" s="157">
        <v>20</v>
      </c>
      <c r="P29" s="150" t="s">
        <v>22</v>
      </c>
      <c r="Q29" s="150" t="s">
        <v>74</v>
      </c>
      <c r="R29" s="158"/>
      <c r="S29" s="162" t="s">
        <v>396</v>
      </c>
      <c r="T29" s="161" t="s">
        <v>402</v>
      </c>
      <c r="U29" s="159" t="s">
        <v>403</v>
      </c>
    </row>
    <row r="30" spans="1:21" ht="31" customHeight="1">
      <c r="A30">
        <v>21</v>
      </c>
      <c r="B30" s="154">
        <v>45593</v>
      </c>
      <c r="C30" s="153" t="s">
        <v>96</v>
      </c>
      <c r="D30" s="153" t="s">
        <v>396</v>
      </c>
      <c r="E30" s="150">
        <v>40466111</v>
      </c>
      <c r="F30" s="153" t="s">
        <v>221</v>
      </c>
      <c r="G30" s="153" t="s">
        <v>400</v>
      </c>
      <c r="H30" s="150" t="s">
        <v>42</v>
      </c>
      <c r="I30" s="150" t="s">
        <v>74</v>
      </c>
      <c r="J30" s="150" t="s">
        <v>75</v>
      </c>
      <c r="K30" s="155">
        <v>45657</v>
      </c>
      <c r="L30" s="156" t="s">
        <v>399</v>
      </c>
      <c r="M30" s="156" t="s">
        <v>197</v>
      </c>
      <c r="N30" s="160" t="s">
        <v>401</v>
      </c>
      <c r="O30" s="157">
        <v>20</v>
      </c>
      <c r="P30" s="150" t="s">
        <v>22</v>
      </c>
      <c r="Q30" s="150" t="s">
        <v>74</v>
      </c>
      <c r="R30" s="158"/>
      <c r="S30" s="162" t="s">
        <v>396</v>
      </c>
      <c r="T30" s="161" t="s">
        <v>402</v>
      </c>
      <c r="U30" s="159" t="s">
        <v>403</v>
      </c>
    </row>
    <row r="31" spans="1:21">
      <c r="O31" s="191">
        <f>SUM(O6:O30)</f>
        <v>470</v>
      </c>
    </row>
    <row r="39" spans="11:13" ht="29">
      <c r="K39" s="170"/>
      <c r="L39" s="170"/>
      <c r="M39" s="170"/>
    </row>
    <row r="40" spans="11:13" ht="29">
      <c r="K40" s="170">
        <v>6</v>
      </c>
      <c r="L40" s="170">
        <v>15</v>
      </c>
      <c r="M40" s="170">
        <f>K40*L40</f>
        <v>90</v>
      </c>
    </row>
    <row r="41" spans="11:13" ht="29">
      <c r="K41" s="170">
        <v>19</v>
      </c>
      <c r="L41" s="170">
        <v>20</v>
      </c>
      <c r="M41" s="170">
        <f>K41*L41</f>
        <v>380</v>
      </c>
    </row>
    <row r="42" spans="11:13" ht="29">
      <c r="K42" s="170"/>
      <c r="L42" s="170"/>
      <c r="M42" s="170">
        <f>SUM(M39:M41)</f>
        <v>470</v>
      </c>
    </row>
  </sheetData>
  <phoneticPr fontId="40" type="noConversion"/>
  <hyperlinks>
    <hyperlink ref="U6" r:id="rId1" xr:uid="{BEC1E047-0121-2546-8F7E-32A3DD08B625}"/>
    <hyperlink ref="U7" r:id="rId2" xr:uid="{6754D7A1-1E44-0845-A7F2-D5034A4BFA1A}"/>
    <hyperlink ref="U8" r:id="rId3" xr:uid="{B06E7C11-F808-5447-A6AB-56D3B1F31BCE}"/>
    <hyperlink ref="U9" r:id="rId4" xr:uid="{F585335E-0A3C-C04A-B776-AA95FD772CE1}"/>
    <hyperlink ref="U10" r:id="rId5" xr:uid="{335CB800-2466-FD44-8415-C04472C82DAD}"/>
    <hyperlink ref="U11" r:id="rId6" xr:uid="{7C6CFBB2-E137-FC47-9012-009D890D0297}"/>
    <hyperlink ref="U12" r:id="rId7" xr:uid="{72398B4C-8A8A-234F-A112-012514DD9A55}"/>
    <hyperlink ref="U13" r:id="rId8" xr:uid="{83E31823-75D4-E94F-A279-4DAAAA241F3F}"/>
    <hyperlink ref="U14" r:id="rId9" xr:uid="{50EEDAB6-373E-3D40-9411-CFE3A610C7B3}"/>
    <hyperlink ref="U15" r:id="rId10" xr:uid="{E99C39F5-422B-4E4C-826D-5DD91B5F3D8D}"/>
    <hyperlink ref="U16" r:id="rId11" xr:uid="{D7D9EDF9-79C1-CE47-980F-28D623C78A69}"/>
    <hyperlink ref="U17" r:id="rId12" xr:uid="{36F54DF2-7E0D-3746-8EDD-69968DBD3B65}"/>
    <hyperlink ref="U18" r:id="rId13" xr:uid="{AF5BAB9B-C744-004A-B4FB-041F7A5BDF8E}"/>
    <hyperlink ref="U19" r:id="rId14" xr:uid="{4E447C6C-A3E5-3D44-9474-7620785417D8}"/>
    <hyperlink ref="U22" r:id="rId15" xr:uid="{0A28AA12-5ECB-7941-942A-E0774AC0F5A2}"/>
    <hyperlink ref="U24" r:id="rId16" xr:uid="{3A595750-9E39-894A-A1C1-C5345130026B}"/>
    <hyperlink ref="U23" r:id="rId17" xr:uid="{A51EAB7A-F134-494B-9C20-055E0F081764}"/>
    <hyperlink ref="U25" r:id="rId18" xr:uid="{C990172F-0380-8945-8C48-E7856F29DA38}"/>
    <hyperlink ref="U26" r:id="rId19" xr:uid="{4523D7C7-33B3-AC4C-B055-1461B4E93122}"/>
    <hyperlink ref="U27" r:id="rId20" xr:uid="{FAB9AFDC-05B1-0D4B-A5C9-9A233662315F}"/>
    <hyperlink ref="U28" r:id="rId21" xr:uid="{1A5AC14B-8529-D542-9BB6-2DE85523255E}"/>
    <hyperlink ref="U29" r:id="rId22" xr:uid="{6ADC41B6-900C-A046-B2D4-564AD9C15254}"/>
    <hyperlink ref="U30" r:id="rId23" xr:uid="{7FB58DE5-23E8-9040-944E-048A4261E6C0}"/>
  </hyperlinks>
  <pageMargins left="0.7" right="0.7" top="0.75" bottom="0.75" header="0.3" footer="0.3"/>
  <pageSetup paperSize="9" orientation="portrait" horizontalDpi="0" verticalDpi="0" r:id="rId24"/>
  <drawing r:id="rId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24"/>
  <sheetViews>
    <sheetView zoomScaleNormal="100" workbookViewId="0">
      <selection activeCell="O20" sqref="O20"/>
    </sheetView>
  </sheetViews>
  <sheetFormatPr baseColWidth="10" defaultRowHeight="15"/>
  <cols>
    <col min="1" max="1" width="3.83203125" customWidth="1"/>
    <col min="2" max="3" width="13.6640625" bestFit="1" customWidth="1"/>
    <col min="4" max="4" width="11.6640625" bestFit="1" customWidth="1"/>
    <col min="5" max="5" width="17.1640625" customWidth="1"/>
    <col min="6" max="6" width="21" customWidth="1"/>
    <col min="7" max="7" width="12.83203125" bestFit="1" customWidth="1"/>
    <col min="8" max="8" width="28.1640625" customWidth="1"/>
    <col min="9" max="9" width="18.6640625" customWidth="1"/>
    <col min="10" max="10" width="11.6640625" bestFit="1" customWidth="1"/>
    <col min="11" max="11" width="19.6640625" customWidth="1"/>
    <col min="12" max="12" width="21" customWidth="1"/>
    <col min="13" max="13" width="34.1640625" bestFit="1" customWidth="1"/>
    <col min="14" max="14" width="11.6640625" bestFit="1" customWidth="1"/>
    <col min="15" max="15" width="21.6640625" bestFit="1" customWidth="1"/>
    <col min="16" max="16" width="30.5" customWidth="1"/>
    <col min="17" max="17" width="12.83203125" bestFit="1" customWidth="1"/>
    <col min="18" max="18" width="11.6640625" bestFit="1" customWidth="1"/>
    <col min="19" max="19" width="24" customWidth="1"/>
  </cols>
  <sheetData>
    <row r="2" spans="1:20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20">
      <c r="A3" s="33"/>
      <c r="B3" s="34"/>
      <c r="C3" s="35" t="s">
        <v>0</v>
      </c>
      <c r="D3" s="36"/>
      <c r="E3" s="37"/>
      <c r="F3" s="38"/>
      <c r="G3" s="39"/>
      <c r="H3" s="40"/>
      <c r="I3" s="40"/>
      <c r="J3" s="40"/>
      <c r="K3" s="40"/>
      <c r="L3" s="40"/>
      <c r="M3" s="41"/>
      <c r="N3" s="40"/>
      <c r="O3" s="33"/>
      <c r="P3" s="40"/>
      <c r="Q3" s="40"/>
      <c r="R3" s="40"/>
      <c r="S3" s="40"/>
    </row>
    <row r="4" spans="1:20">
      <c r="A4" s="33"/>
      <c r="B4" s="34"/>
      <c r="C4" s="42" t="s">
        <v>1</v>
      </c>
      <c r="D4" s="43"/>
      <c r="E4" s="44"/>
      <c r="F4" s="44"/>
      <c r="G4" s="39"/>
      <c r="H4" s="40"/>
      <c r="I4" s="40"/>
      <c r="J4" s="40"/>
      <c r="K4" s="40"/>
      <c r="L4" s="40"/>
      <c r="M4" s="41"/>
      <c r="N4" s="40"/>
      <c r="O4" s="33"/>
      <c r="P4" s="40"/>
      <c r="Q4" s="40"/>
      <c r="R4" s="40"/>
      <c r="S4" s="40"/>
    </row>
    <row r="5" spans="1:20" ht="28.5" customHeight="1">
      <c r="B5" s="45" t="s">
        <v>79</v>
      </c>
      <c r="C5" s="46"/>
      <c r="D5" s="47"/>
      <c r="E5" s="48" t="s">
        <v>24</v>
      </c>
      <c r="F5" s="49"/>
      <c r="G5" s="50"/>
      <c r="H5" s="51"/>
      <c r="I5" s="47"/>
      <c r="J5" s="52"/>
      <c r="K5" s="52"/>
      <c r="L5" s="53"/>
      <c r="M5" s="54" t="s">
        <v>92</v>
      </c>
      <c r="O5" s="55"/>
    </row>
    <row r="6" spans="1:20">
      <c r="B6" s="56" t="s">
        <v>25</v>
      </c>
      <c r="C6" s="57"/>
      <c r="D6" s="58"/>
      <c r="E6" s="58"/>
      <c r="F6" s="58"/>
      <c r="G6" s="58"/>
      <c r="H6" s="58"/>
      <c r="I6" s="58"/>
      <c r="J6" s="58"/>
      <c r="K6" s="58"/>
      <c r="L6" s="58"/>
      <c r="M6" s="59"/>
      <c r="O6" s="55"/>
    </row>
    <row r="7" spans="1:20">
      <c r="B7" s="60" t="s">
        <v>91</v>
      </c>
      <c r="C7" s="61"/>
      <c r="D7" s="61"/>
      <c r="E7" s="61"/>
      <c r="F7" s="61"/>
      <c r="G7" s="61"/>
      <c r="H7" s="61"/>
      <c r="I7" s="61"/>
      <c r="J7" s="61"/>
      <c r="K7" s="61"/>
      <c r="L7" s="61"/>
      <c r="M7" s="62"/>
      <c r="O7" s="55"/>
    </row>
    <row r="8" spans="1:20" s="30" customFormat="1" ht="34">
      <c r="A8"/>
      <c r="B8" s="111" t="s">
        <v>26</v>
      </c>
      <c r="C8" s="111" t="s">
        <v>27</v>
      </c>
      <c r="D8" s="111" t="s">
        <v>28</v>
      </c>
      <c r="E8" s="111" t="s">
        <v>29</v>
      </c>
      <c r="F8" s="111" t="s">
        <v>30</v>
      </c>
      <c r="G8" s="111" t="s">
        <v>31</v>
      </c>
      <c r="H8" s="111" t="s">
        <v>32</v>
      </c>
      <c r="I8" s="111" t="s">
        <v>33</v>
      </c>
      <c r="J8" s="111" t="s">
        <v>34</v>
      </c>
      <c r="K8" s="111" t="s">
        <v>35</v>
      </c>
      <c r="L8" s="111" t="s">
        <v>36</v>
      </c>
      <c r="M8" s="111" t="s">
        <v>37</v>
      </c>
      <c r="N8" s="111" t="s">
        <v>38</v>
      </c>
      <c r="O8" s="111" t="s">
        <v>39</v>
      </c>
      <c r="P8" s="111" t="s">
        <v>40</v>
      </c>
      <c r="Q8" s="111" t="s">
        <v>41</v>
      </c>
      <c r="R8" s="112" t="s">
        <v>18</v>
      </c>
      <c r="S8" s="113" t="s">
        <v>19</v>
      </c>
    </row>
    <row r="9" spans="1:20" s="149" customFormat="1" ht="56.25" customHeight="1">
      <c r="A9" s="190">
        <v>1</v>
      </c>
      <c r="B9" s="138">
        <v>44744</v>
      </c>
      <c r="C9" s="139"/>
      <c r="D9" s="140">
        <v>1</v>
      </c>
      <c r="E9" s="140"/>
      <c r="F9" s="141" t="s">
        <v>201</v>
      </c>
      <c r="G9" s="142">
        <v>11340016</v>
      </c>
      <c r="H9" s="143" t="s">
        <v>114</v>
      </c>
      <c r="I9" s="144" t="s">
        <v>115</v>
      </c>
      <c r="J9" s="145" t="s">
        <v>42</v>
      </c>
      <c r="K9" s="142" t="s">
        <v>84</v>
      </c>
      <c r="L9" s="142" t="s">
        <v>116</v>
      </c>
      <c r="M9" s="141" t="s">
        <v>117</v>
      </c>
      <c r="N9" s="167">
        <v>18.75</v>
      </c>
      <c r="O9" s="163" t="s">
        <v>151</v>
      </c>
      <c r="P9" s="147" t="s">
        <v>150</v>
      </c>
      <c r="Q9" s="189" t="s">
        <v>149</v>
      </c>
      <c r="R9" s="137"/>
      <c r="S9" s="137" t="s">
        <v>148</v>
      </c>
      <c r="T9" s="148"/>
    </row>
    <row r="10" spans="1:20" s="149" customFormat="1" ht="93" customHeight="1">
      <c r="A10" s="190">
        <v>2</v>
      </c>
      <c r="B10" s="138">
        <v>44679</v>
      </c>
      <c r="C10" s="139"/>
      <c r="D10" s="140">
        <v>2</v>
      </c>
      <c r="E10" s="140">
        <v>60803128</v>
      </c>
      <c r="F10" s="141" t="s">
        <v>353</v>
      </c>
      <c r="G10" s="142">
        <v>112500011</v>
      </c>
      <c r="H10" s="143" t="s">
        <v>118</v>
      </c>
      <c r="I10" s="144" t="s">
        <v>119</v>
      </c>
      <c r="J10" s="145" t="s">
        <v>42</v>
      </c>
      <c r="K10" s="142" t="s">
        <v>84</v>
      </c>
      <c r="L10" s="142" t="s">
        <v>120</v>
      </c>
      <c r="M10" s="141" t="s">
        <v>121</v>
      </c>
      <c r="N10" s="146">
        <v>12.5</v>
      </c>
      <c r="O10" s="188" t="s">
        <v>122</v>
      </c>
      <c r="P10" s="147" t="s">
        <v>123</v>
      </c>
      <c r="Q10" s="189" t="s">
        <v>124</v>
      </c>
      <c r="R10" s="137"/>
      <c r="S10" s="137" t="s">
        <v>125</v>
      </c>
      <c r="T10" s="148"/>
    </row>
    <row r="11" spans="1:20" s="149" customFormat="1" ht="56.25" customHeight="1">
      <c r="A11" s="190">
        <v>3</v>
      </c>
      <c r="B11" s="138">
        <v>45475</v>
      </c>
      <c r="C11" s="139">
        <v>45643</v>
      </c>
      <c r="D11" s="140">
        <v>1</v>
      </c>
      <c r="E11" s="140"/>
      <c r="F11" s="141"/>
      <c r="G11" s="142">
        <v>112570123</v>
      </c>
      <c r="H11" s="143" t="s">
        <v>126</v>
      </c>
      <c r="I11" s="144" t="s">
        <v>127</v>
      </c>
      <c r="J11" s="145" t="s">
        <v>42</v>
      </c>
      <c r="K11" s="142" t="s">
        <v>84</v>
      </c>
      <c r="L11" s="142" t="s">
        <v>128</v>
      </c>
      <c r="M11" s="141" t="s">
        <v>282</v>
      </c>
      <c r="N11" s="146">
        <v>12.5</v>
      </c>
      <c r="O11" s="163" t="s">
        <v>129</v>
      </c>
      <c r="P11" s="147" t="s">
        <v>130</v>
      </c>
      <c r="Q11" s="189" t="s">
        <v>131</v>
      </c>
      <c r="R11" s="137"/>
      <c r="S11" s="137" t="s">
        <v>132</v>
      </c>
      <c r="T11" s="148"/>
    </row>
    <row r="12" spans="1:20" s="149" customFormat="1" ht="56.25" customHeight="1">
      <c r="A12" s="190">
        <v>4</v>
      </c>
      <c r="B12" s="138">
        <v>45597</v>
      </c>
      <c r="C12" s="139">
        <v>45643</v>
      </c>
      <c r="D12" s="140">
        <v>1</v>
      </c>
      <c r="E12" s="140"/>
      <c r="F12" s="141"/>
      <c r="G12" s="142">
        <v>40197155</v>
      </c>
      <c r="H12" s="143" t="s">
        <v>202</v>
      </c>
      <c r="I12" s="144" t="s">
        <v>203</v>
      </c>
      <c r="J12" s="145" t="s">
        <v>42</v>
      </c>
      <c r="K12" s="142" t="s">
        <v>84</v>
      </c>
      <c r="L12" s="142" t="s">
        <v>204</v>
      </c>
      <c r="M12" s="141" t="s">
        <v>281</v>
      </c>
      <c r="N12" s="146">
        <v>12.5</v>
      </c>
      <c r="O12" s="163" t="s">
        <v>205</v>
      </c>
      <c r="P12" s="147" t="s">
        <v>206</v>
      </c>
      <c r="Q12" s="189" t="s">
        <v>207</v>
      </c>
      <c r="R12" s="137"/>
      <c r="S12" s="137" t="s">
        <v>208</v>
      </c>
      <c r="T12" s="148"/>
    </row>
    <row r="13" spans="1:20" s="149" customFormat="1" ht="56.25" customHeight="1">
      <c r="A13" s="190">
        <v>5</v>
      </c>
      <c r="B13" s="138">
        <v>44921</v>
      </c>
      <c r="C13" s="139">
        <v>45649</v>
      </c>
      <c r="D13" s="140">
        <v>1</v>
      </c>
      <c r="E13" s="140"/>
      <c r="F13" s="141"/>
      <c r="G13" s="142">
        <v>40782128</v>
      </c>
      <c r="H13" s="143" t="s">
        <v>283</v>
      </c>
      <c r="I13" s="144" t="s">
        <v>284</v>
      </c>
      <c r="J13" s="145" t="s">
        <v>42</v>
      </c>
      <c r="K13" s="142" t="s">
        <v>84</v>
      </c>
      <c r="L13" s="142" t="s">
        <v>285</v>
      </c>
      <c r="M13" s="141" t="s">
        <v>286</v>
      </c>
      <c r="N13" s="146">
        <v>18.75</v>
      </c>
      <c r="O13" s="163" t="s">
        <v>287</v>
      </c>
      <c r="P13" s="147" t="s">
        <v>288</v>
      </c>
      <c r="Q13" s="189" t="s">
        <v>289</v>
      </c>
      <c r="R13" s="137"/>
      <c r="S13" s="137" t="s">
        <v>290</v>
      </c>
      <c r="T13" s="148"/>
    </row>
    <row r="14" spans="1:20" s="149" customFormat="1" ht="56.25" customHeight="1">
      <c r="A14" s="190">
        <v>6</v>
      </c>
      <c r="B14" s="138">
        <v>45346</v>
      </c>
      <c r="C14" s="168">
        <v>45650</v>
      </c>
      <c r="D14" s="140">
        <v>1</v>
      </c>
      <c r="E14" s="140"/>
      <c r="F14" s="141"/>
      <c r="G14" s="142">
        <v>114270008</v>
      </c>
      <c r="H14" s="143" t="s">
        <v>407</v>
      </c>
      <c r="I14" s="144" t="s">
        <v>291</v>
      </c>
      <c r="J14" s="145" t="s">
        <v>42</v>
      </c>
      <c r="K14" s="142" t="s">
        <v>84</v>
      </c>
      <c r="L14" s="142" t="s">
        <v>292</v>
      </c>
      <c r="M14" s="141" t="s">
        <v>293</v>
      </c>
      <c r="N14" s="146">
        <v>18.75</v>
      </c>
      <c r="O14" s="163" t="s">
        <v>294</v>
      </c>
      <c r="P14" s="147" t="s">
        <v>325</v>
      </c>
      <c r="Q14" s="189" t="s">
        <v>295</v>
      </c>
      <c r="R14" s="137"/>
      <c r="S14" s="137" t="s">
        <v>326</v>
      </c>
      <c r="T14" s="148"/>
    </row>
    <row r="15" spans="1:20" ht="36" customHeight="1">
      <c r="A15" s="151">
        <v>7</v>
      </c>
      <c r="B15" s="138">
        <v>45532</v>
      </c>
      <c r="C15" s="139">
        <v>45657</v>
      </c>
      <c r="D15" s="140">
        <v>1</v>
      </c>
      <c r="E15" s="140"/>
      <c r="F15" s="141"/>
      <c r="G15" s="142">
        <v>40197155</v>
      </c>
      <c r="H15" s="143" t="s">
        <v>202</v>
      </c>
      <c r="I15" s="144" t="s">
        <v>404</v>
      </c>
      <c r="J15" s="145" t="s">
        <v>42</v>
      </c>
      <c r="K15" s="142" t="s">
        <v>84</v>
      </c>
      <c r="L15" s="142" t="s">
        <v>405</v>
      </c>
      <c r="M15" s="141" t="s">
        <v>406</v>
      </c>
      <c r="N15" s="167">
        <v>12.5</v>
      </c>
      <c r="O15" s="163" t="s">
        <v>408</v>
      </c>
      <c r="P15" s="147" t="s">
        <v>409</v>
      </c>
      <c r="Q15" s="189" t="s">
        <v>410</v>
      </c>
      <c r="R15" s="137"/>
      <c r="S15" s="137" t="s">
        <v>411</v>
      </c>
    </row>
    <row r="16" spans="1:20" s="63" customFormat="1" ht="17">
      <c r="A16" s="64"/>
      <c r="B16"/>
      <c r="C16"/>
      <c r="D16"/>
      <c r="E16"/>
      <c r="F16"/>
      <c r="G16"/>
      <c r="H16"/>
      <c r="I16"/>
      <c r="N16" s="166">
        <f>SUM(N9:N15)</f>
        <v>106.25</v>
      </c>
      <c r="O16"/>
      <c r="P16"/>
      <c r="Q16"/>
      <c r="R16"/>
      <c r="S16"/>
    </row>
    <row r="17" spans="1:19" s="63" customFormat="1" ht="17">
      <c r="A17" s="64"/>
      <c r="B17"/>
      <c r="C17"/>
      <c r="D17"/>
      <c r="E17"/>
      <c r="F17"/>
      <c r="G17"/>
      <c r="H17"/>
      <c r="I17"/>
      <c r="J17" s="171">
        <v>1</v>
      </c>
      <c r="K17" s="172" t="s">
        <v>85</v>
      </c>
      <c r="L17" s="172">
        <v>12.5</v>
      </c>
      <c r="M17" s="151">
        <v>25</v>
      </c>
      <c r="N17"/>
      <c r="O17"/>
      <c r="P17"/>
      <c r="Q17"/>
      <c r="R17"/>
      <c r="S17"/>
    </row>
    <row r="18" spans="1:19" ht="17">
      <c r="J18" s="171">
        <v>1</v>
      </c>
      <c r="K18" s="172" t="s">
        <v>86</v>
      </c>
      <c r="L18" s="172">
        <v>12.5</v>
      </c>
      <c r="M18" s="151">
        <v>25</v>
      </c>
    </row>
    <row r="19" spans="1:19" ht="17">
      <c r="J19" s="171">
        <v>1</v>
      </c>
      <c r="K19" s="172" t="s">
        <v>87</v>
      </c>
      <c r="L19" s="173">
        <v>18.75</v>
      </c>
      <c r="M19" s="151"/>
    </row>
    <row r="20" spans="1:19" ht="17">
      <c r="J20" s="171">
        <v>2</v>
      </c>
      <c r="K20" s="172" t="s">
        <v>99</v>
      </c>
      <c r="L20" s="172">
        <v>12.5</v>
      </c>
      <c r="M20" s="151"/>
    </row>
    <row r="21" spans="1:19" ht="16">
      <c r="J21" s="171">
        <v>4</v>
      </c>
      <c r="K21" s="195" t="s">
        <v>444</v>
      </c>
      <c r="L21" s="173">
        <v>15</v>
      </c>
      <c r="M21" s="196">
        <v>37.5</v>
      </c>
    </row>
    <row r="22" spans="1:19" ht="17">
      <c r="J22" s="174">
        <v>1</v>
      </c>
      <c r="K22" s="172" t="s">
        <v>100</v>
      </c>
      <c r="L22" s="172">
        <v>12.5</v>
      </c>
      <c r="M22" s="196"/>
    </row>
    <row r="23" spans="1:19" ht="17">
      <c r="J23" s="174">
        <v>1</v>
      </c>
      <c r="K23" s="172" t="s">
        <v>101</v>
      </c>
      <c r="L23" s="175">
        <v>18.75</v>
      </c>
      <c r="M23" s="196">
        <v>18.75</v>
      </c>
    </row>
    <row r="24" spans="1:19">
      <c r="M24" s="151">
        <f>SUM(M17:M23)</f>
        <v>106.25</v>
      </c>
    </row>
  </sheetData>
  <phoneticPr fontId="40" type="noConversion"/>
  <hyperlinks>
    <hyperlink ref="P10" r:id="rId1" xr:uid="{50481F64-9475-784A-9A80-827383CC9CFD}"/>
    <hyperlink ref="P11" r:id="rId2" xr:uid="{1E19F415-5068-AF49-899F-A2F804E57ABE}"/>
    <hyperlink ref="P9" r:id="rId3" xr:uid="{08565994-CA70-8647-B159-EB8961F95760}"/>
    <hyperlink ref="P12" r:id="rId4" xr:uid="{416FE910-7545-324E-ABDA-BE9AD2144D37}"/>
    <hyperlink ref="P13" r:id="rId5" xr:uid="{E4B6C27B-9E3D-0642-97F2-A895BAF84D73}"/>
    <hyperlink ref="P14" r:id="rId6" xr:uid="{414D5EE7-EFFA-0D4A-A4FA-AEC9B0ED200A}"/>
    <hyperlink ref="P15" r:id="rId7" xr:uid="{7F804A4B-E9D1-1647-A063-EF6F24369BA9}"/>
  </hyperlinks>
  <pageMargins left="0.7" right="0.7" top="0.75" bottom="0.75" header="0.3" footer="0.3"/>
  <pageSetup paperSize="9" orientation="portrait" horizontalDpi="0" verticalDpi="0" r:id="rId8"/>
  <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U19"/>
  <sheetViews>
    <sheetView zoomScale="117" zoomScaleNormal="117" workbookViewId="0">
      <selection activeCell="M28" sqref="M28"/>
    </sheetView>
  </sheetViews>
  <sheetFormatPr baseColWidth="10" defaultRowHeight="15"/>
  <cols>
    <col min="1" max="1" width="3.6640625" customWidth="1"/>
    <col min="2" max="2" width="11.33203125" bestFit="1" customWidth="1"/>
    <col min="3" max="3" width="20.1640625" customWidth="1"/>
    <col min="4" max="4" width="20.5" customWidth="1"/>
    <col min="5" max="5" width="12.6640625" customWidth="1"/>
    <col min="6" max="6" width="28.1640625" customWidth="1"/>
    <col min="7" max="7" width="14.6640625" customWidth="1"/>
    <col min="8" max="8" width="8.1640625" customWidth="1"/>
    <col min="9" max="9" width="8.5" customWidth="1"/>
    <col min="10" max="10" width="9" customWidth="1"/>
    <col min="11" max="11" width="10.33203125" customWidth="1"/>
    <col min="12" max="12" width="21.5" customWidth="1"/>
    <col min="13" max="13" width="38.83203125" customWidth="1"/>
    <col min="14" max="14" width="11.1640625" bestFit="1" customWidth="1"/>
    <col min="15" max="15" width="7.83203125" customWidth="1"/>
    <col min="16" max="16" width="22.1640625" customWidth="1"/>
    <col min="17" max="17" width="8.1640625" customWidth="1"/>
    <col min="18" max="18" width="6.83203125" customWidth="1"/>
    <col min="19" max="19" width="20.1640625" customWidth="1"/>
    <col min="20" max="20" width="16.1640625" customWidth="1"/>
    <col min="21" max="21" width="32.33203125" customWidth="1"/>
  </cols>
  <sheetData>
    <row r="3" spans="1:21">
      <c r="A3" s="65"/>
      <c r="B3" s="66"/>
      <c r="C3" s="67" t="s">
        <v>43</v>
      </c>
      <c r="D3" s="66"/>
      <c r="E3" s="68"/>
      <c r="F3" s="66"/>
      <c r="G3" s="69"/>
      <c r="H3" s="66"/>
      <c r="I3" s="66"/>
      <c r="J3" s="66"/>
      <c r="K3" s="70"/>
      <c r="L3" s="70"/>
      <c r="M3" s="66"/>
      <c r="N3" s="66"/>
      <c r="O3" s="71"/>
      <c r="P3" s="66"/>
      <c r="Q3" s="66"/>
      <c r="R3" s="66"/>
      <c r="S3" s="66"/>
      <c r="T3" s="66"/>
      <c r="U3" s="72"/>
    </row>
    <row r="4" spans="1:21">
      <c r="A4" s="65"/>
      <c r="B4" s="66"/>
      <c r="C4" s="73" t="s">
        <v>44</v>
      </c>
      <c r="D4" s="66"/>
      <c r="E4" s="66"/>
      <c r="F4" s="66"/>
      <c r="G4" s="69"/>
      <c r="H4" s="66"/>
      <c r="I4" s="66" t="s">
        <v>45</v>
      </c>
      <c r="J4" s="66"/>
      <c r="K4" s="70"/>
      <c r="L4" s="70"/>
      <c r="M4" s="114" t="s">
        <v>93</v>
      </c>
      <c r="N4" s="66"/>
      <c r="O4" s="71"/>
      <c r="P4" s="66"/>
      <c r="Q4" s="74"/>
      <c r="R4" s="66"/>
      <c r="S4" s="66"/>
      <c r="T4" s="75"/>
      <c r="U4" s="76">
        <v>45536</v>
      </c>
    </row>
    <row r="5" spans="1:21" ht="25">
      <c r="A5" s="72"/>
      <c r="B5" s="77" t="s">
        <v>2</v>
      </c>
      <c r="C5" s="77" t="s">
        <v>3</v>
      </c>
      <c r="D5" s="77" t="s">
        <v>4</v>
      </c>
      <c r="E5" s="77" t="s">
        <v>5</v>
      </c>
      <c r="F5" s="77" t="s">
        <v>6</v>
      </c>
      <c r="G5" s="77" t="s">
        <v>7</v>
      </c>
      <c r="H5" s="77" t="s">
        <v>8</v>
      </c>
      <c r="I5" s="77" t="s">
        <v>9</v>
      </c>
      <c r="J5" s="77" t="s">
        <v>10</v>
      </c>
      <c r="K5" s="78" t="s">
        <v>46</v>
      </c>
      <c r="L5" s="78" t="s">
        <v>12</v>
      </c>
      <c r="M5" s="78" t="s">
        <v>13</v>
      </c>
      <c r="N5" s="78" t="s">
        <v>14</v>
      </c>
      <c r="O5" s="79" t="s">
        <v>15</v>
      </c>
      <c r="P5" s="78" t="s">
        <v>47</v>
      </c>
      <c r="Q5" s="78" t="s">
        <v>48</v>
      </c>
      <c r="R5" s="80" t="s">
        <v>49</v>
      </c>
      <c r="S5" s="80" t="s">
        <v>19</v>
      </c>
      <c r="T5" s="81" t="s">
        <v>20</v>
      </c>
      <c r="U5" s="82" t="s">
        <v>50</v>
      </c>
    </row>
    <row r="6" spans="1:21" s="29" customFormat="1" ht="23.25" customHeight="1">
      <c r="A6" s="201">
        <v>1</v>
      </c>
      <c r="B6" s="202">
        <v>45640</v>
      </c>
      <c r="C6" s="203" t="s">
        <v>102</v>
      </c>
      <c r="D6" s="204" t="s">
        <v>152</v>
      </c>
      <c r="E6" s="204">
        <v>117570003</v>
      </c>
      <c r="F6" s="205" t="s">
        <v>78</v>
      </c>
      <c r="G6" s="204" t="s">
        <v>153</v>
      </c>
      <c r="H6" s="206" t="s">
        <v>42</v>
      </c>
      <c r="I6" s="207" t="s">
        <v>74</v>
      </c>
      <c r="J6" s="207" t="s">
        <v>75</v>
      </c>
      <c r="K6" s="202">
        <v>45644</v>
      </c>
      <c r="L6" s="203" t="s">
        <v>154</v>
      </c>
      <c r="M6" s="203" t="s">
        <v>155</v>
      </c>
      <c r="N6" s="208" t="s">
        <v>156</v>
      </c>
      <c r="O6" s="209">
        <v>29</v>
      </c>
      <c r="P6" s="203"/>
      <c r="Q6" s="203" t="s">
        <v>74</v>
      </c>
      <c r="R6" s="210"/>
      <c r="S6" s="203" t="s">
        <v>152</v>
      </c>
      <c r="T6" s="211" t="s">
        <v>157</v>
      </c>
      <c r="U6" s="212" t="s">
        <v>158</v>
      </c>
    </row>
    <row r="7" spans="1:21" s="29" customFormat="1" ht="23.25" customHeight="1">
      <c r="A7" s="201">
        <v>2</v>
      </c>
      <c r="B7" s="202">
        <v>45646</v>
      </c>
      <c r="C7" s="203" t="s">
        <v>102</v>
      </c>
      <c r="D7" s="204" t="s">
        <v>159</v>
      </c>
      <c r="E7" s="204">
        <v>111570003</v>
      </c>
      <c r="F7" s="205" t="s">
        <v>78</v>
      </c>
      <c r="G7" s="204" t="s">
        <v>160</v>
      </c>
      <c r="H7" s="206" t="s">
        <v>42</v>
      </c>
      <c r="I7" s="207" t="s">
        <v>74</v>
      </c>
      <c r="J7" s="207" t="s">
        <v>75</v>
      </c>
      <c r="K7" s="202">
        <v>45646</v>
      </c>
      <c r="L7" s="203" t="s">
        <v>161</v>
      </c>
      <c r="M7" s="203" t="s">
        <v>162</v>
      </c>
      <c r="N7" s="208" t="s">
        <v>163</v>
      </c>
      <c r="O7" s="209">
        <v>29</v>
      </c>
      <c r="P7" s="203"/>
      <c r="Q7" s="203" t="s">
        <v>74</v>
      </c>
      <c r="R7" s="210"/>
      <c r="S7" s="204" t="s">
        <v>159</v>
      </c>
      <c r="T7" s="211" t="s">
        <v>164</v>
      </c>
      <c r="U7" s="212" t="s">
        <v>165</v>
      </c>
    </row>
    <row r="8" spans="1:21" s="29" customFormat="1" ht="23.25" customHeight="1">
      <c r="A8" s="201">
        <v>3</v>
      </c>
      <c r="B8" s="202">
        <v>45646</v>
      </c>
      <c r="C8" s="203" t="s">
        <v>102</v>
      </c>
      <c r="D8" s="204"/>
      <c r="E8" s="204">
        <v>111570002</v>
      </c>
      <c r="F8" s="205" t="s">
        <v>95</v>
      </c>
      <c r="G8" s="204" t="s">
        <v>166</v>
      </c>
      <c r="H8" s="206" t="s">
        <v>42</v>
      </c>
      <c r="I8" s="207" t="s">
        <v>74</v>
      </c>
      <c r="J8" s="207" t="s">
        <v>75</v>
      </c>
      <c r="K8" s="202">
        <v>45646</v>
      </c>
      <c r="L8" s="203" t="s">
        <v>96</v>
      </c>
      <c r="M8" s="203" t="s">
        <v>168</v>
      </c>
      <c r="N8" s="208" t="s">
        <v>169</v>
      </c>
      <c r="O8" s="209">
        <v>29</v>
      </c>
      <c r="P8" s="203" t="s">
        <v>82</v>
      </c>
      <c r="Q8" s="203" t="s">
        <v>74</v>
      </c>
      <c r="R8" s="210"/>
      <c r="S8" s="204"/>
      <c r="T8" s="211" t="s">
        <v>170</v>
      </c>
      <c r="U8" s="212" t="s">
        <v>171</v>
      </c>
    </row>
    <row r="9" spans="1:21" s="29" customFormat="1" ht="23.25" customHeight="1">
      <c r="A9" s="201">
        <v>4</v>
      </c>
      <c r="B9" s="202"/>
      <c r="C9" s="203" t="s">
        <v>102</v>
      </c>
      <c r="D9" s="204"/>
      <c r="E9" s="204">
        <v>111570002</v>
      </c>
      <c r="F9" s="205" t="s">
        <v>95</v>
      </c>
      <c r="G9" s="204" t="s">
        <v>167</v>
      </c>
      <c r="H9" s="206" t="s">
        <v>42</v>
      </c>
      <c r="I9" s="207" t="s">
        <v>74</v>
      </c>
      <c r="J9" s="207" t="s">
        <v>75</v>
      </c>
      <c r="K9" s="202">
        <v>45646</v>
      </c>
      <c r="L9" s="203" t="s">
        <v>96</v>
      </c>
      <c r="M9" s="203" t="s">
        <v>168</v>
      </c>
      <c r="N9" s="208" t="s">
        <v>169</v>
      </c>
      <c r="O9" s="209">
        <v>29</v>
      </c>
      <c r="P9" s="203" t="s">
        <v>82</v>
      </c>
      <c r="Q9" s="203" t="s">
        <v>74</v>
      </c>
      <c r="R9" s="210"/>
      <c r="S9" s="204"/>
      <c r="T9" s="211" t="s">
        <v>170</v>
      </c>
      <c r="U9" s="212" t="s">
        <v>171</v>
      </c>
    </row>
    <row r="10" spans="1:21" s="29" customFormat="1" ht="23.25" customHeight="1">
      <c r="A10" s="201">
        <v>5</v>
      </c>
      <c r="B10" s="202"/>
      <c r="C10" s="203" t="s">
        <v>102</v>
      </c>
      <c r="D10" s="204"/>
      <c r="E10" s="204">
        <v>111570002</v>
      </c>
      <c r="F10" s="205" t="s">
        <v>95</v>
      </c>
      <c r="G10" s="204" t="s">
        <v>253</v>
      </c>
      <c r="H10" s="206" t="s">
        <v>42</v>
      </c>
      <c r="I10" s="207" t="s">
        <v>74</v>
      </c>
      <c r="J10" s="207" t="s">
        <v>75</v>
      </c>
      <c r="K10" s="202">
        <v>45647</v>
      </c>
      <c r="L10" s="203" t="s">
        <v>255</v>
      </c>
      <c r="M10" s="203" t="s">
        <v>256</v>
      </c>
      <c r="N10" s="208" t="s">
        <v>257</v>
      </c>
      <c r="O10" s="209">
        <v>29</v>
      </c>
      <c r="P10" s="203" t="s">
        <v>82</v>
      </c>
      <c r="Q10" s="203" t="s">
        <v>74</v>
      </c>
      <c r="R10" s="210"/>
      <c r="S10" s="210"/>
      <c r="T10" s="211" t="s">
        <v>258</v>
      </c>
      <c r="U10" s="212" t="s">
        <v>259</v>
      </c>
    </row>
    <row r="11" spans="1:21" s="29" customFormat="1" ht="23.25" customHeight="1">
      <c r="A11" s="201">
        <v>6</v>
      </c>
      <c r="B11" s="202"/>
      <c r="C11" s="203" t="s">
        <v>102</v>
      </c>
      <c r="D11" s="204"/>
      <c r="E11" s="204">
        <v>111570003</v>
      </c>
      <c r="F11" s="205" t="s">
        <v>78</v>
      </c>
      <c r="G11" s="204" t="s">
        <v>254</v>
      </c>
      <c r="H11" s="206" t="s">
        <v>42</v>
      </c>
      <c r="I11" s="207" t="s">
        <v>74</v>
      </c>
      <c r="J11" s="207" t="s">
        <v>75</v>
      </c>
      <c r="K11" s="202">
        <v>45647</v>
      </c>
      <c r="L11" s="203" t="s">
        <v>255</v>
      </c>
      <c r="M11" s="203" t="s">
        <v>256</v>
      </c>
      <c r="N11" s="208" t="s">
        <v>257</v>
      </c>
      <c r="O11" s="209">
        <v>29</v>
      </c>
      <c r="P11" s="203" t="s">
        <v>82</v>
      </c>
      <c r="Q11" s="203" t="s">
        <v>74</v>
      </c>
      <c r="R11" s="210"/>
      <c r="S11" s="210"/>
      <c r="T11" s="211" t="s">
        <v>258</v>
      </c>
      <c r="U11" s="212" t="s">
        <v>259</v>
      </c>
    </row>
    <row r="12" spans="1:21" s="29" customFormat="1" ht="23.25" customHeight="1">
      <c r="A12" s="201">
        <v>7</v>
      </c>
      <c r="B12" s="202">
        <v>45648</v>
      </c>
      <c r="C12" s="203" t="s">
        <v>102</v>
      </c>
      <c r="D12" s="204" t="s">
        <v>313</v>
      </c>
      <c r="E12" s="204">
        <v>111570002</v>
      </c>
      <c r="F12" s="205" t="s">
        <v>95</v>
      </c>
      <c r="G12" s="204" t="s">
        <v>314</v>
      </c>
      <c r="H12" s="206" t="s">
        <v>42</v>
      </c>
      <c r="I12" s="207" t="s">
        <v>74</v>
      </c>
      <c r="J12" s="207" t="s">
        <v>75</v>
      </c>
      <c r="K12" s="202">
        <v>45650</v>
      </c>
      <c r="L12" s="203" t="s">
        <v>315</v>
      </c>
      <c r="M12" s="203" t="s">
        <v>316</v>
      </c>
      <c r="N12" s="208" t="s">
        <v>317</v>
      </c>
      <c r="O12" s="209">
        <v>29</v>
      </c>
      <c r="P12" s="203"/>
      <c r="Q12" s="203" t="s">
        <v>74</v>
      </c>
      <c r="R12" s="210"/>
      <c r="S12" s="204" t="s">
        <v>313</v>
      </c>
      <c r="T12" s="211" t="s">
        <v>318</v>
      </c>
      <c r="U12" s="212" t="s">
        <v>319</v>
      </c>
    </row>
    <row r="13" spans="1:21" s="29" customFormat="1" ht="23.25" customHeight="1">
      <c r="A13" s="201">
        <v>8</v>
      </c>
      <c r="B13" s="202">
        <v>45653</v>
      </c>
      <c r="C13" s="203" t="s">
        <v>102</v>
      </c>
      <c r="D13" s="204" t="s">
        <v>388</v>
      </c>
      <c r="E13" s="204">
        <v>111570003</v>
      </c>
      <c r="F13" s="205" t="s">
        <v>78</v>
      </c>
      <c r="G13" s="204" t="s">
        <v>389</v>
      </c>
      <c r="H13" s="206" t="s">
        <v>42</v>
      </c>
      <c r="I13" s="207" t="s">
        <v>74</v>
      </c>
      <c r="J13" s="207" t="s">
        <v>75</v>
      </c>
      <c r="K13" s="202">
        <v>45656</v>
      </c>
      <c r="L13" s="203" t="s">
        <v>391</v>
      </c>
      <c r="M13" s="203" t="s">
        <v>392</v>
      </c>
      <c r="N13" s="208" t="s">
        <v>393</v>
      </c>
      <c r="O13" s="209">
        <v>29</v>
      </c>
      <c r="P13" s="203"/>
      <c r="Q13" s="203" t="s">
        <v>74</v>
      </c>
      <c r="R13" s="210"/>
      <c r="S13" s="204" t="s">
        <v>388</v>
      </c>
      <c r="T13" s="211" t="s">
        <v>394</v>
      </c>
      <c r="U13" s="212" t="s">
        <v>395</v>
      </c>
    </row>
    <row r="14" spans="1:21" s="29" customFormat="1" ht="23.25" customHeight="1">
      <c r="A14" s="201">
        <v>9</v>
      </c>
      <c r="B14" s="202">
        <v>45653</v>
      </c>
      <c r="C14" s="203" t="s">
        <v>102</v>
      </c>
      <c r="D14" s="204" t="s">
        <v>388</v>
      </c>
      <c r="E14" s="204">
        <v>111570003</v>
      </c>
      <c r="F14" s="205" t="s">
        <v>78</v>
      </c>
      <c r="G14" s="204" t="s">
        <v>390</v>
      </c>
      <c r="H14" s="206" t="s">
        <v>42</v>
      </c>
      <c r="I14" s="207" t="s">
        <v>74</v>
      </c>
      <c r="J14" s="207" t="s">
        <v>75</v>
      </c>
      <c r="K14" s="202">
        <v>45656</v>
      </c>
      <c r="L14" s="203" t="s">
        <v>391</v>
      </c>
      <c r="M14" s="203" t="s">
        <v>392</v>
      </c>
      <c r="N14" s="208" t="s">
        <v>393</v>
      </c>
      <c r="O14" s="209">
        <v>29</v>
      </c>
      <c r="P14" s="203"/>
      <c r="Q14" s="203" t="s">
        <v>74</v>
      </c>
      <c r="R14" s="210"/>
      <c r="S14" s="204" t="s">
        <v>388</v>
      </c>
      <c r="T14" s="211" t="s">
        <v>394</v>
      </c>
      <c r="U14" s="212" t="s">
        <v>395</v>
      </c>
    </row>
    <row r="15" spans="1:21" ht="16" thickBot="1">
      <c r="O15" s="200">
        <f>SUM(O6:O14)</f>
        <v>261</v>
      </c>
    </row>
    <row r="18" spans="14:15" ht="16" thickBot="1"/>
    <row r="19" spans="14:15" ht="28" thickBot="1">
      <c r="N19" s="198" t="s">
        <v>445</v>
      </c>
      <c r="O19" s="199">
        <v>261</v>
      </c>
    </row>
  </sheetData>
  <phoneticPr fontId="40" type="noConversion"/>
  <hyperlinks>
    <hyperlink ref="U6" r:id="rId1" xr:uid="{A487BB53-DC3A-8647-AD81-4F9412A08633}"/>
    <hyperlink ref="U7" r:id="rId2" xr:uid="{753BAE1D-BC3F-9740-BDF8-841B3A90FE3B}"/>
    <hyperlink ref="U8" r:id="rId3" xr:uid="{5A76CB74-E929-1547-A7A0-5E8F4C350264}"/>
    <hyperlink ref="U9" r:id="rId4" xr:uid="{C2218592-17B3-6841-B77F-65B0ECEFD37B}"/>
    <hyperlink ref="U10" r:id="rId5" xr:uid="{0DDBD991-F182-B348-9631-90A0D797102F}"/>
    <hyperlink ref="U11" r:id="rId6" xr:uid="{54C10437-00DE-AA42-B5B3-927463EFB223}"/>
    <hyperlink ref="U12" r:id="rId7" xr:uid="{2313DAAD-3A8C-A543-BB51-31109D7173A0}"/>
    <hyperlink ref="U13" r:id="rId8" xr:uid="{93A40B0A-F403-484E-9963-07A3F2710453}"/>
    <hyperlink ref="U14" r:id="rId9" xr:uid="{E4AAFCE2-EE67-FC4E-A1D6-7D0CFC2F64F3}"/>
  </hyperlinks>
  <pageMargins left="0.7" right="0.7" top="0.75" bottom="0.75" header="0.3" footer="0.3"/>
  <drawing r:id="rId1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V7"/>
  <sheetViews>
    <sheetView workbookViewId="0">
      <selection activeCell="L22" sqref="L22"/>
    </sheetView>
  </sheetViews>
  <sheetFormatPr baseColWidth="10" defaultRowHeight="15"/>
  <cols>
    <col min="3" max="3" width="19.5" customWidth="1"/>
    <col min="5" max="5" width="15.33203125" customWidth="1"/>
    <col min="6" max="6" width="39.33203125" bestFit="1" customWidth="1"/>
    <col min="7" max="7" width="16.83203125" customWidth="1"/>
    <col min="10" max="10" width="15.6640625" customWidth="1"/>
    <col min="11" max="11" width="18.6640625" customWidth="1"/>
    <col min="12" max="12" width="27.6640625" customWidth="1"/>
    <col min="13" max="13" width="20.5" customWidth="1"/>
    <col min="14" max="14" width="16" customWidth="1"/>
  </cols>
  <sheetData>
    <row r="3" spans="1:2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22">
      <c r="A4" s="5"/>
      <c r="B4" s="5"/>
      <c r="C4" s="83" t="s">
        <v>51</v>
      </c>
      <c r="D4" s="84"/>
      <c r="E4" s="84"/>
      <c r="F4" s="5"/>
      <c r="G4" s="84"/>
      <c r="H4" s="84"/>
      <c r="I4" s="84"/>
      <c r="J4" s="84"/>
      <c r="K4" s="84"/>
      <c r="L4" s="84"/>
      <c r="M4" s="84"/>
      <c r="N4" s="84"/>
      <c r="O4" s="84"/>
      <c r="P4" s="5"/>
    </row>
    <row r="5" spans="1:22" ht="16" thickBot="1">
      <c r="A5" s="5"/>
      <c r="B5" s="84"/>
      <c r="C5" s="85" t="s">
        <v>1</v>
      </c>
      <c r="D5" s="85"/>
      <c r="E5" s="85"/>
      <c r="F5" s="5"/>
      <c r="J5" t="s">
        <v>62</v>
      </c>
      <c r="K5" s="5"/>
      <c r="L5" s="92" t="s">
        <v>88</v>
      </c>
      <c r="P5" s="5"/>
    </row>
    <row r="6" spans="1:22" s="23" customFormat="1" ht="58.5" customHeight="1">
      <c r="A6" s="86"/>
      <c r="B6" s="87" t="s">
        <v>52</v>
      </c>
      <c r="C6" s="88" t="s">
        <v>53</v>
      </c>
      <c r="D6" s="88" t="s">
        <v>4</v>
      </c>
      <c r="E6" s="89" t="s">
        <v>54</v>
      </c>
      <c r="F6" s="88" t="s">
        <v>55</v>
      </c>
      <c r="G6" s="88" t="s">
        <v>56</v>
      </c>
      <c r="H6" s="87" t="s">
        <v>8</v>
      </c>
      <c r="I6" s="88" t="s">
        <v>57</v>
      </c>
      <c r="J6" s="88" t="s">
        <v>58</v>
      </c>
      <c r="K6" s="88" t="s">
        <v>59</v>
      </c>
      <c r="L6" s="88" t="s">
        <v>12</v>
      </c>
      <c r="M6" s="90" t="s">
        <v>60</v>
      </c>
      <c r="N6" s="88" t="s">
        <v>14</v>
      </c>
      <c r="O6" s="91" t="s">
        <v>15</v>
      </c>
      <c r="P6" s="88" t="s">
        <v>61</v>
      </c>
      <c r="Q6" s="90"/>
      <c r="R6" s="90"/>
    </row>
    <row r="7" spans="1:22" s="29" customFormat="1" ht="24" customHeight="1">
      <c r="A7" s="24">
        <v>1</v>
      </c>
      <c r="B7" s="176"/>
      <c r="C7" s="177"/>
      <c r="D7" s="177"/>
      <c r="E7" s="178"/>
      <c r="F7" s="179"/>
      <c r="G7" s="179"/>
      <c r="H7" s="180" t="s">
        <v>42</v>
      </c>
      <c r="I7" s="177" t="s">
        <v>76</v>
      </c>
      <c r="J7" s="181" t="s">
        <v>77</v>
      </c>
      <c r="K7" s="179"/>
      <c r="L7" s="179"/>
      <c r="M7" s="182"/>
      <c r="N7" s="178"/>
      <c r="O7" s="183"/>
      <c r="P7" s="177" t="s">
        <v>82</v>
      </c>
      <c r="Q7" s="177"/>
      <c r="R7" s="184"/>
      <c r="S7" s="25"/>
      <c r="T7" s="26"/>
      <c r="U7" s="27"/>
      <c r="V7" s="28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42"/>
  <sheetViews>
    <sheetView workbookViewId="0">
      <selection activeCell="J11" sqref="J11"/>
    </sheetView>
  </sheetViews>
  <sheetFormatPr baseColWidth="10" defaultRowHeight="15"/>
  <cols>
    <col min="3" max="3" width="11.33203125" customWidth="1"/>
    <col min="6" max="6" width="13.33203125" customWidth="1"/>
    <col min="11" max="11" width="20" customWidth="1"/>
  </cols>
  <sheetData>
    <row r="1" spans="1:21">
      <c r="A1" s="93"/>
      <c r="B1" s="94" t="s">
        <v>63</v>
      </c>
      <c r="C1" s="95"/>
      <c r="D1" s="94"/>
      <c r="E1" s="96"/>
      <c r="F1" s="96"/>
      <c r="G1" s="97"/>
      <c r="H1" s="97"/>
      <c r="I1" s="97"/>
      <c r="J1" s="97"/>
      <c r="K1" s="97"/>
      <c r="L1" s="97"/>
      <c r="M1" s="98"/>
      <c r="N1" s="97"/>
      <c r="O1" s="97"/>
      <c r="P1" s="97"/>
    </row>
    <row r="2" spans="1:21">
      <c r="A2" s="93"/>
      <c r="B2" s="99" t="s">
        <v>83</v>
      </c>
      <c r="C2" s="100"/>
      <c r="D2" s="96"/>
      <c r="E2" s="96"/>
      <c r="F2" s="96"/>
      <c r="G2" s="97"/>
      <c r="H2" s="97"/>
      <c r="I2" s="97"/>
      <c r="J2" s="97"/>
      <c r="K2" s="97"/>
      <c r="L2" s="97"/>
      <c r="M2" s="98"/>
      <c r="N2" s="97"/>
      <c r="O2" s="97"/>
      <c r="P2" s="97"/>
    </row>
    <row r="3" spans="1:21">
      <c r="A3" s="93"/>
      <c r="B3" s="101"/>
      <c r="C3" s="102"/>
      <c r="D3" s="101"/>
      <c r="E3" s="101"/>
      <c r="F3" s="101"/>
      <c r="G3" s="101"/>
      <c r="H3" s="101"/>
      <c r="I3" s="103"/>
      <c r="J3" s="101"/>
      <c r="K3" s="96"/>
      <c r="L3" s="96"/>
      <c r="M3" s="104"/>
      <c r="N3" s="97"/>
      <c r="O3" s="97"/>
      <c r="P3" s="101"/>
    </row>
    <row r="4" spans="1:21">
      <c r="A4" s="93"/>
      <c r="B4" s="97"/>
      <c r="C4" s="102" t="s">
        <v>0</v>
      </c>
      <c r="D4" s="97"/>
      <c r="E4" s="105"/>
      <c r="F4" s="97"/>
      <c r="G4" s="106"/>
      <c r="H4" s="97"/>
      <c r="I4" s="97"/>
      <c r="J4" s="97"/>
      <c r="K4" s="96"/>
      <c r="L4" s="100"/>
      <c r="M4" s="98"/>
      <c r="N4" s="97"/>
      <c r="O4" s="97"/>
      <c r="P4" s="97"/>
    </row>
    <row r="5" spans="1:21">
      <c r="A5" s="93"/>
      <c r="B5" s="97"/>
      <c r="C5" s="107" t="s">
        <v>1</v>
      </c>
      <c r="D5" s="107" t="s">
        <v>1</v>
      </c>
      <c r="E5" s="97"/>
      <c r="G5" s="97"/>
      <c r="H5" s="97"/>
      <c r="I5" s="97"/>
      <c r="J5" s="97" t="s">
        <v>73</v>
      </c>
      <c r="K5" s="97"/>
      <c r="L5" s="97"/>
      <c r="M5" s="97" t="s">
        <v>89</v>
      </c>
    </row>
    <row r="6" spans="1:21" ht="37">
      <c r="A6" s="93"/>
      <c r="B6" s="108" t="s">
        <v>2</v>
      </c>
      <c r="C6" s="108" t="s">
        <v>3</v>
      </c>
      <c r="D6" s="108" t="s">
        <v>4</v>
      </c>
      <c r="E6" s="108" t="s">
        <v>5</v>
      </c>
      <c r="F6" s="109" t="s">
        <v>6</v>
      </c>
      <c r="G6" s="108" t="s">
        <v>7</v>
      </c>
      <c r="H6" s="108" t="s">
        <v>8</v>
      </c>
      <c r="I6" s="108" t="s">
        <v>9</v>
      </c>
      <c r="J6" s="108" t="s">
        <v>10</v>
      </c>
      <c r="K6" s="108" t="s">
        <v>11</v>
      </c>
      <c r="L6" s="108" t="s">
        <v>65</v>
      </c>
      <c r="M6" s="110" t="s">
        <v>66</v>
      </c>
      <c r="N6" s="108" t="s">
        <v>67</v>
      </c>
      <c r="O6" s="108" t="s">
        <v>64</v>
      </c>
      <c r="P6" s="108" t="s">
        <v>68</v>
      </c>
      <c r="Q6" s="108" t="s">
        <v>69</v>
      </c>
      <c r="R6" s="108" t="s">
        <v>70</v>
      </c>
      <c r="S6" s="108" t="s">
        <v>71</v>
      </c>
      <c r="T6" s="110" t="s">
        <v>72</v>
      </c>
      <c r="U6" s="108" t="s">
        <v>13</v>
      </c>
    </row>
    <row r="7" spans="1:21" s="30" customFormat="1" ht="24" customHeight="1">
      <c r="A7"/>
      <c r="B7" s="151"/>
      <c r="C7" s="151"/>
      <c r="D7" s="151"/>
      <c r="E7" s="151"/>
      <c r="F7" s="151"/>
      <c r="G7" s="151"/>
      <c r="H7" s="151"/>
      <c r="I7" s="151"/>
      <c r="J7" s="151"/>
      <c r="K7" s="151"/>
      <c r="L7" s="151"/>
      <c r="M7" s="151"/>
      <c r="N7" s="152"/>
      <c r="O7" s="151"/>
      <c r="P7" s="151"/>
      <c r="Q7" s="151"/>
      <c r="R7" s="151"/>
      <c r="S7" s="151"/>
      <c r="T7" s="151"/>
      <c r="U7" s="151"/>
    </row>
    <row r="8" spans="1:21" s="30" customFormat="1" ht="24" customHeight="1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  <row r="9" spans="1:21" s="30" customFormat="1" ht="24" customHeight="1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</row>
    <row r="10" spans="1:21" s="30" customFormat="1" ht="24" customHeight="1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</row>
    <row r="11" spans="1:21" s="30" customFormat="1" ht="24" customHeight="1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</row>
    <row r="12" spans="1:21" s="30" customFormat="1" ht="24" customHeight="1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</row>
    <row r="13" spans="1:21" s="30" customFormat="1" ht="24" customHeight="1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</row>
    <row r="14" spans="1:21" s="30" customFormat="1" ht="24" customHeight="1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</row>
    <row r="15" spans="1:21" s="30" customFormat="1" ht="24" customHeight="1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</row>
    <row r="16" spans="1:21" s="30" customFormat="1" ht="24" customHeight="1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</row>
    <row r="17" spans="1:21" s="30" customFormat="1" ht="24" customHeight="1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</row>
    <row r="18" spans="1:21" s="30" customFormat="1" ht="24" customHeight="1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</row>
    <row r="19" spans="1:21" s="30" customFormat="1" ht="24" customHeight="1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</row>
    <row r="20" spans="1:21" s="30" customFormat="1" ht="24" customHeight="1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</row>
    <row r="21" spans="1:21" s="30" customFormat="1" ht="24" customHeight="1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</row>
    <row r="22" spans="1:21" s="30" customFormat="1" ht="24" customHeight="1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</row>
    <row r="23" spans="1:21" s="30" customFormat="1" ht="24" customHeight="1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</row>
    <row r="24" spans="1:21" s="30" customFormat="1" ht="24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</row>
    <row r="25" spans="1:21" s="30" customFormat="1" ht="24" customHeight="1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</row>
    <row r="26" spans="1:21" s="30" customFormat="1" ht="24" customHeight="1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</row>
    <row r="27" spans="1:21" s="30" customFormat="1" ht="24" customHeight="1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</row>
    <row r="28" spans="1:21" s="30" customFormat="1" ht="24" customHeight="1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</row>
    <row r="29" spans="1:21" s="30" customFormat="1" ht="24" customHeight="1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</row>
    <row r="30" spans="1:21" s="30" customFormat="1" ht="24" customHeight="1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</row>
    <row r="31" spans="1:21" s="30" customFormat="1" ht="24" customHeight="1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</row>
    <row r="32" spans="1:21" s="30" customFormat="1" ht="24" customHeight="1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</row>
    <row r="33" spans="1:21" s="30" customFormat="1" ht="24" customHeight="1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</row>
    <row r="34" spans="1:21" s="30" customFormat="1" ht="24" customHeight="1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</row>
    <row r="35" spans="1:21" s="30" customFormat="1" ht="24" customHeight="1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</row>
    <row r="36" spans="1:21" s="30" customFormat="1" ht="24" customHeight="1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</row>
    <row r="37" spans="1:21" s="30" customFormat="1" ht="24" customHeight="1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</row>
    <row r="38" spans="1:21" s="30" customFormat="1" ht="24" customHeight="1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1" s="30" customFormat="1" ht="24" customHeight="1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1" s="30" customFormat="1" ht="24" customHeight="1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1" s="30" customFormat="1" ht="24" customHeight="1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1" s="30" customFormat="1" ht="24" customHeight="1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23"/>
  <sheetViews>
    <sheetView tabSelected="1" topLeftCell="A3" zoomScale="179" zoomScaleNormal="179" workbookViewId="0">
      <pane ySplit="2" topLeftCell="A5" activePane="bottomLeft" state="frozen"/>
      <selection activeCell="A3" sqref="A3"/>
      <selection pane="bottomLeft" activeCell="U17" sqref="U17"/>
    </sheetView>
  </sheetViews>
  <sheetFormatPr baseColWidth="10" defaultRowHeight="15"/>
  <cols>
    <col min="1" max="1" width="3.1640625" customWidth="1"/>
    <col min="2" max="2" width="7.33203125" customWidth="1"/>
    <col min="3" max="3" width="10.33203125" customWidth="1"/>
    <col min="4" max="4" width="14" customWidth="1"/>
    <col min="5" max="5" width="1.6640625" customWidth="1"/>
    <col min="6" max="6" width="15" customWidth="1"/>
    <col min="7" max="7" width="9" customWidth="1"/>
    <col min="8" max="8" width="20.33203125" customWidth="1"/>
    <col min="9" max="9" width="10.33203125" customWidth="1"/>
    <col min="10" max="10" width="5" customWidth="1"/>
    <col min="11" max="11" width="6.6640625" customWidth="1"/>
    <col min="12" max="12" width="7.33203125" customWidth="1"/>
    <col min="13" max="13" width="28.1640625" customWidth="1"/>
    <col min="14" max="14" width="27.83203125" customWidth="1"/>
    <col min="15" max="15" width="9.6640625" customWidth="1"/>
    <col min="16" max="16" width="5.33203125" customWidth="1"/>
    <col min="18" max="18" width="8" customWidth="1"/>
    <col min="19" max="19" width="5.83203125" customWidth="1"/>
    <col min="20" max="20" width="14" customWidth="1"/>
    <col min="21" max="21" width="11.1640625" bestFit="1" customWidth="1"/>
    <col min="22" max="22" width="33" customWidth="1"/>
  </cols>
  <sheetData>
    <row r="1" spans="1:22" ht="16">
      <c r="E1" t="s">
        <v>97</v>
      </c>
      <c r="H1" s="136"/>
    </row>
    <row r="2" spans="1:22">
      <c r="B2" s="115"/>
      <c r="C2" s="116" t="s">
        <v>0</v>
      </c>
      <c r="G2" s="117"/>
      <c r="H2" s="118"/>
      <c r="I2" s="119"/>
      <c r="J2" s="120"/>
      <c r="K2" s="121"/>
      <c r="L2" s="122"/>
      <c r="M2" s="123"/>
      <c r="N2" s="123"/>
      <c r="O2" s="115"/>
      <c r="P2" s="124"/>
      <c r="U2" s="125"/>
    </row>
    <row r="3" spans="1:22">
      <c r="B3" s="115"/>
      <c r="C3" s="126" t="s">
        <v>1</v>
      </c>
      <c r="G3" s="127"/>
      <c r="H3" s="118"/>
      <c r="I3" s="119"/>
      <c r="J3" s="120"/>
      <c r="K3" s="121" t="s">
        <v>80</v>
      </c>
      <c r="L3" s="122"/>
      <c r="M3" s="123"/>
      <c r="N3" s="128"/>
      <c r="O3" s="129" t="s">
        <v>94</v>
      </c>
      <c r="P3" s="124"/>
      <c r="Q3" s="130"/>
      <c r="U3" s="125"/>
    </row>
    <row r="4" spans="1:22" ht="24" customHeight="1">
      <c r="B4" s="131" t="s">
        <v>11</v>
      </c>
      <c r="C4" s="131" t="s">
        <v>2</v>
      </c>
      <c r="D4" s="131" t="s">
        <v>3</v>
      </c>
      <c r="E4" s="131"/>
      <c r="F4" s="131" t="s">
        <v>4</v>
      </c>
      <c r="G4" s="131" t="s">
        <v>5</v>
      </c>
      <c r="H4" s="131" t="s">
        <v>6</v>
      </c>
      <c r="I4" s="131" t="s">
        <v>7</v>
      </c>
      <c r="J4" s="131" t="s">
        <v>8</v>
      </c>
      <c r="K4" s="131" t="s">
        <v>9</v>
      </c>
      <c r="L4" s="131" t="s">
        <v>10</v>
      </c>
      <c r="M4" s="132" t="s">
        <v>12</v>
      </c>
      <c r="N4" s="132" t="s">
        <v>13</v>
      </c>
      <c r="O4" s="131" t="s">
        <v>14</v>
      </c>
      <c r="P4" s="133" t="s">
        <v>15</v>
      </c>
      <c r="Q4" s="131" t="s">
        <v>16</v>
      </c>
      <c r="R4" s="131" t="s">
        <v>17</v>
      </c>
      <c r="S4" s="134" t="s">
        <v>18</v>
      </c>
      <c r="T4" s="131" t="s">
        <v>19</v>
      </c>
      <c r="U4" s="131" t="s">
        <v>20</v>
      </c>
      <c r="V4" s="135" t="s">
        <v>21</v>
      </c>
    </row>
    <row r="5" spans="1:22">
      <c r="A5">
        <v>1</v>
      </c>
      <c r="B5" s="164">
        <v>45642</v>
      </c>
      <c r="C5" s="164">
        <v>45626</v>
      </c>
      <c r="D5" s="164" t="s">
        <v>96</v>
      </c>
      <c r="E5" s="164"/>
      <c r="F5" s="164" t="s">
        <v>133</v>
      </c>
      <c r="G5" s="165" t="s">
        <v>134</v>
      </c>
      <c r="H5" s="164" t="s">
        <v>135</v>
      </c>
      <c r="I5" s="164" t="s">
        <v>136</v>
      </c>
      <c r="J5" s="165" t="s">
        <v>42</v>
      </c>
      <c r="K5" s="164" t="s">
        <v>76</v>
      </c>
      <c r="L5" s="164" t="s">
        <v>77</v>
      </c>
      <c r="M5" s="164" t="s">
        <v>137</v>
      </c>
      <c r="N5" s="164" t="s">
        <v>138</v>
      </c>
      <c r="O5" s="165" t="s">
        <v>139</v>
      </c>
      <c r="P5" s="185">
        <v>36</v>
      </c>
      <c r="Q5" s="164" t="s">
        <v>81</v>
      </c>
      <c r="R5" s="164" t="s">
        <v>76</v>
      </c>
      <c r="S5" s="164"/>
      <c r="T5" s="164" t="s">
        <v>133</v>
      </c>
      <c r="U5" s="186" t="s">
        <v>140</v>
      </c>
      <c r="V5" s="187" t="s">
        <v>141</v>
      </c>
    </row>
    <row r="6" spans="1:22">
      <c r="A6">
        <v>2</v>
      </c>
      <c r="B6" s="164">
        <v>45643</v>
      </c>
      <c r="C6" s="164">
        <v>45435</v>
      </c>
      <c r="D6" s="164" t="s">
        <v>96</v>
      </c>
      <c r="E6" s="164"/>
      <c r="F6" s="164" t="s">
        <v>324</v>
      </c>
      <c r="G6" s="165" t="s">
        <v>142</v>
      </c>
      <c r="H6" s="164" t="s">
        <v>143</v>
      </c>
      <c r="I6" s="164" t="s">
        <v>144</v>
      </c>
      <c r="J6" s="165" t="s">
        <v>42</v>
      </c>
      <c r="K6" s="164" t="s">
        <v>76</v>
      </c>
      <c r="L6" s="164" t="s">
        <v>77</v>
      </c>
      <c r="M6" s="164" t="s">
        <v>279</v>
      </c>
      <c r="N6" s="164" t="s">
        <v>280</v>
      </c>
      <c r="O6" s="165" t="s">
        <v>145</v>
      </c>
      <c r="P6" s="185">
        <v>25</v>
      </c>
      <c r="Q6" s="164" t="s">
        <v>81</v>
      </c>
      <c r="R6" s="164" t="s">
        <v>76</v>
      </c>
      <c r="S6" s="164"/>
      <c r="T6" s="164" t="s">
        <v>324</v>
      </c>
      <c r="U6" s="186" t="s">
        <v>146</v>
      </c>
      <c r="V6" s="187" t="s">
        <v>147</v>
      </c>
    </row>
    <row r="7" spans="1:22">
      <c r="A7">
        <v>3</v>
      </c>
      <c r="B7" s="164">
        <v>45645</v>
      </c>
      <c r="C7" s="164">
        <v>45644</v>
      </c>
      <c r="D7" s="164" t="s">
        <v>96</v>
      </c>
      <c r="E7" s="164"/>
      <c r="F7" s="164" t="s">
        <v>172</v>
      </c>
      <c r="G7" s="165" t="s">
        <v>173</v>
      </c>
      <c r="H7" s="164" t="s">
        <v>174</v>
      </c>
      <c r="I7" s="164" t="s">
        <v>175</v>
      </c>
      <c r="J7" s="165" t="s">
        <v>42</v>
      </c>
      <c r="K7" s="164" t="s">
        <v>76</v>
      </c>
      <c r="L7" s="164" t="s">
        <v>77</v>
      </c>
      <c r="M7" s="164" t="s">
        <v>176</v>
      </c>
      <c r="N7" s="164" t="s">
        <v>177</v>
      </c>
      <c r="O7" s="165" t="s">
        <v>178</v>
      </c>
      <c r="P7" s="185">
        <v>25</v>
      </c>
      <c r="Q7" s="164" t="s">
        <v>81</v>
      </c>
      <c r="R7" s="164" t="s">
        <v>76</v>
      </c>
      <c r="S7" s="164"/>
      <c r="T7" s="164" t="s">
        <v>172</v>
      </c>
      <c r="U7" s="186" t="s">
        <v>179</v>
      </c>
      <c r="V7" s="187" t="s">
        <v>180</v>
      </c>
    </row>
    <row r="8" spans="1:22">
      <c r="A8">
        <v>4</v>
      </c>
      <c r="B8" s="164">
        <v>45645</v>
      </c>
      <c r="C8" s="164">
        <v>45636</v>
      </c>
      <c r="D8" s="164" t="s">
        <v>209</v>
      </c>
      <c r="E8" s="164"/>
      <c r="F8" s="164" t="s">
        <v>210</v>
      </c>
      <c r="G8" s="165" t="s">
        <v>211</v>
      </c>
      <c r="H8" s="164" t="s">
        <v>212</v>
      </c>
      <c r="I8" s="164" t="s">
        <v>213</v>
      </c>
      <c r="J8" s="165" t="s">
        <v>42</v>
      </c>
      <c r="K8" s="164" t="s">
        <v>76</v>
      </c>
      <c r="L8" s="164" t="s">
        <v>77</v>
      </c>
      <c r="M8" s="164" t="s">
        <v>214</v>
      </c>
      <c r="N8" s="164" t="s">
        <v>215</v>
      </c>
      <c r="O8" s="165" t="s">
        <v>216</v>
      </c>
      <c r="P8" s="185">
        <v>29</v>
      </c>
      <c r="Q8" s="164" t="s">
        <v>81</v>
      </c>
      <c r="R8" s="164" t="s">
        <v>76</v>
      </c>
      <c r="S8" s="164"/>
      <c r="T8" s="164" t="s">
        <v>210</v>
      </c>
      <c r="U8" s="186" t="s">
        <v>217</v>
      </c>
      <c r="V8" s="187" t="s">
        <v>218</v>
      </c>
    </row>
    <row r="9" spans="1:22">
      <c r="A9">
        <v>5</v>
      </c>
      <c r="B9" s="164">
        <v>45646</v>
      </c>
      <c r="C9" s="164">
        <v>45636</v>
      </c>
      <c r="D9" s="164" t="s">
        <v>96</v>
      </c>
      <c r="E9" s="164"/>
      <c r="F9" s="164" t="s">
        <v>219</v>
      </c>
      <c r="G9" s="165" t="s">
        <v>220</v>
      </c>
      <c r="H9" s="164" t="s">
        <v>221</v>
      </c>
      <c r="I9" s="164" t="s">
        <v>222</v>
      </c>
      <c r="J9" s="165" t="s">
        <v>42</v>
      </c>
      <c r="K9" s="164" t="s">
        <v>76</v>
      </c>
      <c r="L9" s="164" t="s">
        <v>77</v>
      </c>
      <c r="M9" s="164" t="s">
        <v>223</v>
      </c>
      <c r="N9" s="164" t="s">
        <v>224</v>
      </c>
      <c r="O9" s="165" t="s">
        <v>225</v>
      </c>
      <c r="P9" s="185">
        <v>15</v>
      </c>
      <c r="Q9" s="164" t="s">
        <v>81</v>
      </c>
      <c r="R9" s="164" t="s">
        <v>76</v>
      </c>
      <c r="S9" s="164"/>
      <c r="T9" s="164" t="s">
        <v>219</v>
      </c>
      <c r="U9" s="186" t="s">
        <v>226</v>
      </c>
      <c r="V9" s="187" t="s">
        <v>227</v>
      </c>
    </row>
    <row r="10" spans="1:22">
      <c r="A10">
        <v>6</v>
      </c>
      <c r="B10" s="164">
        <v>45647</v>
      </c>
      <c r="C10" s="164">
        <v>45644</v>
      </c>
      <c r="D10" s="164" t="s">
        <v>209</v>
      </c>
      <c r="E10" s="164"/>
      <c r="F10" s="164" t="s">
        <v>229</v>
      </c>
      <c r="G10" s="165" t="s">
        <v>230</v>
      </c>
      <c r="H10" s="164" t="s">
        <v>231</v>
      </c>
      <c r="I10" s="164" t="s">
        <v>232</v>
      </c>
      <c r="J10" s="165" t="s">
        <v>42</v>
      </c>
      <c r="K10" s="164" t="s">
        <v>76</v>
      </c>
      <c r="L10" s="164" t="s">
        <v>77</v>
      </c>
      <c r="M10" s="164" t="s">
        <v>228</v>
      </c>
      <c r="N10" s="164" t="s">
        <v>233</v>
      </c>
      <c r="O10" s="165" t="s">
        <v>234</v>
      </c>
      <c r="P10" s="185">
        <v>25</v>
      </c>
      <c r="Q10" s="164" t="s">
        <v>81</v>
      </c>
      <c r="R10" s="164" t="s">
        <v>76</v>
      </c>
      <c r="S10" s="164"/>
      <c r="T10" s="164" t="s">
        <v>229</v>
      </c>
      <c r="U10" s="186" t="s">
        <v>235</v>
      </c>
      <c r="V10" s="187" t="s">
        <v>236</v>
      </c>
    </row>
    <row r="11" spans="1:22">
      <c r="A11">
        <v>7</v>
      </c>
      <c r="B11" s="164">
        <v>45647</v>
      </c>
      <c r="C11" s="164">
        <v>45498</v>
      </c>
      <c r="D11" s="164" t="s">
        <v>209</v>
      </c>
      <c r="E11" s="164"/>
      <c r="F11" s="164" t="s">
        <v>244</v>
      </c>
      <c r="G11" s="165" t="s">
        <v>220</v>
      </c>
      <c r="H11" s="164" t="s">
        <v>221</v>
      </c>
      <c r="I11" s="164" t="s">
        <v>237</v>
      </c>
      <c r="J11" s="165" t="s">
        <v>42</v>
      </c>
      <c r="K11" s="164" t="s">
        <v>76</v>
      </c>
      <c r="L11" s="164" t="s">
        <v>77</v>
      </c>
      <c r="M11" s="164" t="s">
        <v>238</v>
      </c>
      <c r="N11" s="164" t="s">
        <v>239</v>
      </c>
      <c r="O11" s="165" t="s">
        <v>240</v>
      </c>
      <c r="P11" s="185">
        <v>15</v>
      </c>
      <c r="Q11" s="164" t="s">
        <v>81</v>
      </c>
      <c r="R11" s="164" t="s">
        <v>76</v>
      </c>
      <c r="S11" s="164"/>
      <c r="T11" s="164" t="s">
        <v>244</v>
      </c>
      <c r="U11" s="186" t="s">
        <v>241</v>
      </c>
      <c r="V11" s="187" t="s">
        <v>242</v>
      </c>
    </row>
    <row r="12" spans="1:22">
      <c r="A12">
        <v>8</v>
      </c>
      <c r="B12" s="164">
        <v>45647</v>
      </c>
      <c r="C12" s="164">
        <v>45645</v>
      </c>
      <c r="D12" s="164" t="s">
        <v>98</v>
      </c>
      <c r="E12" s="164"/>
      <c r="F12" s="164" t="s">
        <v>243</v>
      </c>
      <c r="G12" s="165" t="s">
        <v>245</v>
      </c>
      <c r="H12" s="164" t="s">
        <v>246</v>
      </c>
      <c r="I12" s="164" t="s">
        <v>247</v>
      </c>
      <c r="J12" s="165" t="s">
        <v>42</v>
      </c>
      <c r="K12" s="164" t="s">
        <v>76</v>
      </c>
      <c r="L12" s="164" t="s">
        <v>77</v>
      </c>
      <c r="M12" s="164" t="s">
        <v>248</v>
      </c>
      <c r="N12" s="164" t="s">
        <v>249</v>
      </c>
      <c r="O12" s="165" t="s">
        <v>250</v>
      </c>
      <c r="P12" s="185">
        <v>15</v>
      </c>
      <c r="Q12" s="164" t="s">
        <v>81</v>
      </c>
      <c r="R12" s="164" t="s">
        <v>76</v>
      </c>
      <c r="S12" s="164"/>
      <c r="T12" s="164" t="s">
        <v>243</v>
      </c>
      <c r="U12" s="186" t="s">
        <v>251</v>
      </c>
      <c r="V12" s="187" t="s">
        <v>252</v>
      </c>
    </row>
    <row r="13" spans="1:22">
      <c r="A13">
        <v>9</v>
      </c>
      <c r="B13" s="164">
        <v>45649</v>
      </c>
      <c r="C13" s="164">
        <v>45622</v>
      </c>
      <c r="D13" s="164" t="s">
        <v>209</v>
      </c>
      <c r="E13" s="164"/>
      <c r="F13" s="164" t="s">
        <v>418</v>
      </c>
      <c r="G13" s="165" t="s">
        <v>412</v>
      </c>
      <c r="H13" s="164" t="s">
        <v>413</v>
      </c>
      <c r="I13" s="164" t="s">
        <v>414</v>
      </c>
      <c r="J13" s="165" t="s">
        <v>42</v>
      </c>
      <c r="K13" s="164" t="s">
        <v>76</v>
      </c>
      <c r="L13" s="164" t="s">
        <v>77</v>
      </c>
      <c r="M13" s="164" t="s">
        <v>415</v>
      </c>
      <c r="N13" s="164" t="s">
        <v>416</v>
      </c>
      <c r="O13" s="165" t="s">
        <v>417</v>
      </c>
      <c r="P13" s="185">
        <v>29</v>
      </c>
      <c r="Q13" s="192" t="s">
        <v>81</v>
      </c>
      <c r="R13" s="192" t="s">
        <v>76</v>
      </c>
      <c r="T13" s="164" t="s">
        <v>418</v>
      </c>
      <c r="U13" s="193" t="s">
        <v>419</v>
      </c>
      <c r="V13" s="213" t="s">
        <v>420</v>
      </c>
    </row>
    <row r="14" spans="1:22">
      <c r="A14">
        <v>10</v>
      </c>
      <c r="B14" s="164">
        <v>45649</v>
      </c>
      <c r="C14" s="164">
        <v>45643</v>
      </c>
      <c r="D14" s="164" t="s">
        <v>421</v>
      </c>
      <c r="E14" s="164"/>
      <c r="F14" s="164" t="s">
        <v>422</v>
      </c>
      <c r="G14" s="165" t="s">
        <v>423</v>
      </c>
      <c r="H14" s="164" t="s">
        <v>424</v>
      </c>
      <c r="I14" s="164" t="s">
        <v>425</v>
      </c>
      <c r="J14" s="165" t="s">
        <v>42</v>
      </c>
      <c r="K14" s="164" t="s">
        <v>76</v>
      </c>
      <c r="L14" s="164" t="s">
        <v>77</v>
      </c>
      <c r="M14" s="164" t="s">
        <v>429</v>
      </c>
      <c r="N14" s="164" t="s">
        <v>366</v>
      </c>
      <c r="O14" s="165" t="s">
        <v>426</v>
      </c>
      <c r="P14" s="185">
        <v>15</v>
      </c>
      <c r="Q14" s="192" t="s">
        <v>81</v>
      </c>
      <c r="R14" s="192" t="s">
        <v>76</v>
      </c>
      <c r="T14" s="164" t="s">
        <v>422</v>
      </c>
      <c r="U14" s="193" t="s">
        <v>427</v>
      </c>
      <c r="V14" s="214" t="s">
        <v>428</v>
      </c>
    </row>
    <row r="15" spans="1:22">
      <c r="A15">
        <v>11</v>
      </c>
      <c r="B15" s="164">
        <v>45649</v>
      </c>
      <c r="C15" s="164">
        <v>45649</v>
      </c>
      <c r="D15" s="164" t="s">
        <v>98</v>
      </c>
      <c r="E15" s="164"/>
      <c r="F15" s="164" t="s">
        <v>430</v>
      </c>
      <c r="G15" s="165" t="s">
        <v>173</v>
      </c>
      <c r="H15" s="164" t="s">
        <v>431</v>
      </c>
      <c r="I15" s="164" t="s">
        <v>432</v>
      </c>
      <c r="J15" s="165" t="s">
        <v>42</v>
      </c>
      <c r="K15" s="164" t="s">
        <v>76</v>
      </c>
      <c r="L15" s="164" t="s">
        <v>77</v>
      </c>
      <c r="M15" s="164" t="s">
        <v>433</v>
      </c>
      <c r="N15" s="164" t="s">
        <v>434</v>
      </c>
      <c r="O15" s="165" t="s">
        <v>435</v>
      </c>
      <c r="P15" s="185">
        <v>25</v>
      </c>
      <c r="Q15" s="192" t="s">
        <v>81</v>
      </c>
      <c r="R15" s="192" t="s">
        <v>76</v>
      </c>
      <c r="T15" s="164" t="s">
        <v>430</v>
      </c>
      <c r="U15" s="194">
        <v>2400074049</v>
      </c>
      <c r="V15" s="214" t="s">
        <v>436</v>
      </c>
    </row>
    <row r="16" spans="1:22">
      <c r="A16">
        <v>12</v>
      </c>
      <c r="B16" s="164">
        <v>45649</v>
      </c>
      <c r="C16" s="164">
        <v>45563</v>
      </c>
      <c r="D16" s="164" t="s">
        <v>98</v>
      </c>
      <c r="E16" s="164"/>
      <c r="F16" s="164" t="s">
        <v>437</v>
      </c>
      <c r="G16" s="165" t="s">
        <v>211</v>
      </c>
      <c r="H16" s="164" t="s">
        <v>212</v>
      </c>
      <c r="I16" s="164" t="s">
        <v>438</v>
      </c>
      <c r="J16" s="165" t="s">
        <v>42</v>
      </c>
      <c r="K16" s="164" t="s">
        <v>76</v>
      </c>
      <c r="L16" s="164" t="s">
        <v>77</v>
      </c>
      <c r="M16" s="164" t="s">
        <v>439</v>
      </c>
      <c r="N16" s="164" t="s">
        <v>440</v>
      </c>
      <c r="O16" s="165" t="s">
        <v>441</v>
      </c>
      <c r="P16" s="185">
        <v>29</v>
      </c>
      <c r="Q16" s="164" t="s">
        <v>81</v>
      </c>
      <c r="R16" s="164" t="s">
        <v>76</v>
      </c>
      <c r="S16" s="164"/>
      <c r="T16" s="164" t="s">
        <v>437</v>
      </c>
      <c r="U16" s="186" t="s">
        <v>442</v>
      </c>
      <c r="V16" s="187" t="s">
        <v>443</v>
      </c>
    </row>
    <row r="17" spans="1:22">
      <c r="A17">
        <v>13</v>
      </c>
      <c r="B17" s="215">
        <v>45652</v>
      </c>
      <c r="C17" s="215">
        <v>45565</v>
      </c>
      <c r="D17" s="215" t="s">
        <v>181</v>
      </c>
      <c r="E17" s="215"/>
      <c r="F17" s="215" t="s">
        <v>296</v>
      </c>
      <c r="G17" s="216" t="s">
        <v>297</v>
      </c>
      <c r="H17" s="215" t="s">
        <v>298</v>
      </c>
      <c r="I17" s="215" t="s">
        <v>299</v>
      </c>
      <c r="J17" s="216" t="s">
        <v>42</v>
      </c>
      <c r="K17" s="215" t="s">
        <v>76</v>
      </c>
      <c r="L17" s="215" t="s">
        <v>77</v>
      </c>
      <c r="M17" s="215" t="s">
        <v>300</v>
      </c>
      <c r="N17" s="215" t="s">
        <v>301</v>
      </c>
      <c r="O17" s="165" t="s">
        <v>303</v>
      </c>
      <c r="P17" s="185">
        <v>30</v>
      </c>
      <c r="Q17" s="164" t="s">
        <v>81</v>
      </c>
      <c r="R17" s="164" t="s">
        <v>76</v>
      </c>
      <c r="S17" s="164"/>
      <c r="T17" s="164" t="s">
        <v>296</v>
      </c>
      <c r="U17" s="217" t="s">
        <v>302</v>
      </c>
      <c r="V17" s="187" t="s">
        <v>304</v>
      </c>
    </row>
    <row r="18" spans="1:22">
      <c r="A18">
        <v>14</v>
      </c>
      <c r="B18" s="164">
        <v>45653</v>
      </c>
      <c r="C18" s="164">
        <v>45645</v>
      </c>
      <c r="D18" s="164" t="s">
        <v>209</v>
      </c>
      <c r="E18" s="164"/>
      <c r="F18" s="164" t="s">
        <v>327</v>
      </c>
      <c r="G18" s="165" t="s">
        <v>328</v>
      </c>
      <c r="H18" s="164" t="s">
        <v>329</v>
      </c>
      <c r="I18" s="164" t="s">
        <v>330</v>
      </c>
      <c r="J18" s="165" t="s">
        <v>42</v>
      </c>
      <c r="K18" s="164" t="s">
        <v>76</v>
      </c>
      <c r="L18" s="164" t="s">
        <v>77</v>
      </c>
      <c r="M18" s="164" t="s">
        <v>331</v>
      </c>
      <c r="N18" s="164" t="s">
        <v>332</v>
      </c>
      <c r="O18" s="165" t="s">
        <v>333</v>
      </c>
      <c r="P18" s="185">
        <v>15</v>
      </c>
      <c r="Q18" s="164" t="s">
        <v>81</v>
      </c>
      <c r="R18" s="164" t="s">
        <v>76</v>
      </c>
      <c r="S18" s="164"/>
      <c r="T18" s="164" t="s">
        <v>327</v>
      </c>
      <c r="U18" s="186" t="s">
        <v>334</v>
      </c>
      <c r="V18" s="187" t="s">
        <v>335</v>
      </c>
    </row>
    <row r="19" spans="1:22">
      <c r="A19">
        <v>15</v>
      </c>
      <c r="B19" s="164">
        <v>45653</v>
      </c>
      <c r="C19" s="164">
        <v>45345</v>
      </c>
      <c r="D19" s="164" t="s">
        <v>336</v>
      </c>
      <c r="E19" s="164"/>
      <c r="F19" s="164" t="s">
        <v>337</v>
      </c>
      <c r="G19" s="165" t="s">
        <v>338</v>
      </c>
      <c r="H19" s="164" t="s">
        <v>221</v>
      </c>
      <c r="I19" s="164" t="s">
        <v>339</v>
      </c>
      <c r="J19" s="165" t="s">
        <v>42</v>
      </c>
      <c r="K19" s="164" t="s">
        <v>76</v>
      </c>
      <c r="L19" s="164" t="s">
        <v>77</v>
      </c>
      <c r="M19" s="164" t="s">
        <v>341</v>
      </c>
      <c r="N19" s="164" t="s">
        <v>340</v>
      </c>
      <c r="O19" s="165" t="s">
        <v>333</v>
      </c>
      <c r="P19" s="185">
        <v>15</v>
      </c>
      <c r="Q19" s="164" t="s">
        <v>81</v>
      </c>
      <c r="R19" s="164" t="s">
        <v>76</v>
      </c>
      <c r="S19" s="164"/>
      <c r="T19" s="164" t="s">
        <v>337</v>
      </c>
      <c r="U19" s="186" t="s">
        <v>342</v>
      </c>
      <c r="V19" s="187" t="s">
        <v>343</v>
      </c>
    </row>
    <row r="23" spans="1:22">
      <c r="P23" s="197"/>
    </row>
  </sheetData>
  <phoneticPr fontId="40" type="noConversion"/>
  <hyperlinks>
    <hyperlink ref="V5" r:id="rId1" xr:uid="{151C3DE1-A95A-2240-B169-54D7535F667A}"/>
    <hyperlink ref="V6" r:id="rId2" xr:uid="{BE1A306D-8275-FE4C-9442-2F17D2716F38}"/>
    <hyperlink ref="V7" r:id="rId3" xr:uid="{A84B2DF7-FA8D-C048-BF00-F7685D59F829}"/>
    <hyperlink ref="V8" r:id="rId4" xr:uid="{FC3D9360-0652-7848-96A8-AB40D06288BE}"/>
    <hyperlink ref="V9" r:id="rId5" xr:uid="{C2CC6E9A-24B8-2144-95E5-37998418EC78}"/>
    <hyperlink ref="V10" r:id="rId6" xr:uid="{94E2DD3C-C838-0C47-AB9F-DD05338D556D}"/>
    <hyperlink ref="V11" r:id="rId7" xr:uid="{BBB9E179-FDBB-8D46-BB57-5EEA6A674210}"/>
    <hyperlink ref="V12" r:id="rId8" xr:uid="{ED2C0F3F-226F-684B-805C-226A32A00E04}"/>
    <hyperlink ref="V17" r:id="rId9" xr:uid="{C1413182-EECD-704D-90FC-C34A5749BC61}"/>
    <hyperlink ref="V18" r:id="rId10" xr:uid="{C33E76BB-2976-D742-98CE-C60D0D803AD9}"/>
    <hyperlink ref="V19" r:id="rId11" xr:uid="{ADE41C22-4094-E947-9016-5781D9C70FB0}"/>
    <hyperlink ref="V13" r:id="rId12" xr:uid="{39C4FBD4-101B-C24B-A344-C2F9E02D49DE}"/>
    <hyperlink ref="V14" r:id="rId13" xr:uid="{ECAC8DAF-4AD8-8E43-BE61-9E94F6C54B94}"/>
    <hyperlink ref="V15" r:id="rId14" xr:uid="{459A4574-A8BE-1745-AEFE-6BAEEE241C10}"/>
    <hyperlink ref="V16" r:id="rId15" xr:uid="{D438CBBF-7A32-8C4C-8E70-D796E600452A}"/>
  </hyperlinks>
  <pageMargins left="0.7" right="0.7" top="0.75" bottom="0.75" header="0.3" footer="0.3"/>
  <pageSetup paperSize="9" orientation="portrait" horizontalDpi="0" verticalDpi="0"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PROMOCION</vt:lpstr>
      <vt:lpstr>GARANTIA</vt:lpstr>
      <vt:lpstr>BBQ</vt:lpstr>
      <vt:lpstr>ALMACENES </vt:lpstr>
      <vt:lpstr>PROYECTO </vt:lpstr>
      <vt:lpstr>1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Andres Cardenas</cp:lastModifiedBy>
  <dcterms:created xsi:type="dcterms:W3CDTF">2024-01-22T20:29:31Z</dcterms:created>
  <dcterms:modified xsi:type="dcterms:W3CDTF">2025-01-21T17:39:33Z</dcterms:modified>
</cp:coreProperties>
</file>