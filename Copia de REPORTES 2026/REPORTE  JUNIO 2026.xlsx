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olivercapelo/Desktop/"/>
    </mc:Choice>
  </mc:AlternateContent>
  <xr:revisionPtr revIDLastSave="0" documentId="13_ncr:1_{4D47412C-A876-6B41-ACB5-43B244062F0D}" xr6:coauthVersionLast="47" xr6:coauthVersionMax="47" xr10:uidLastSave="{00000000-0000-0000-0000-000000000000}"/>
  <bookViews>
    <workbookView xWindow="1620" yWindow="600" windowWidth="49580" windowHeight="25940" activeTab="5" xr2:uid="{00000000-000D-0000-FFFF-FFFF00000000}"/>
  </bookViews>
  <sheets>
    <sheet name="GARANTIAS" sheetId="1" r:id="rId1"/>
    <sheet name="PROMOCION" sheetId="3" r:id="rId2"/>
    <sheet name="BBQ" sheetId="4" r:id="rId3"/>
    <sheet name="BASE " sheetId="2" r:id="rId4"/>
    <sheet name="CONSOLIDADO" sheetId="7" r:id="rId5"/>
    <sheet name="UN PRODUCTO" sheetId="9" r:id="rId6"/>
    <sheet name="ALMACEN" sheetId="10" r:id="rId7"/>
  </sheets>
  <definedNames>
    <definedName name="_xlnm._FilterDatabase" localSheetId="3" hidden="1">'BASE '!$A$1:$B$907</definedName>
    <definedName name="_xlnm._FilterDatabase" localSheetId="4" hidden="1">CONSOLIDADO!$A$6:$T$6</definedName>
    <definedName name="PROD">'BASE '!$A$3:$B$907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9" l="1"/>
  <c r="H134" i="3"/>
  <c r="G39" i="1"/>
  <c r="J37" i="1"/>
  <c r="J36" i="1"/>
  <c r="J34" i="1"/>
  <c r="J33" i="1"/>
  <c r="J32" i="1"/>
  <c r="J31" i="1"/>
  <c r="K132" i="3" l="1"/>
  <c r="K133" i="3"/>
  <c r="K131" i="3"/>
  <c r="N30" i="1"/>
  <c r="F7" i="10"/>
  <c r="F6" i="4"/>
  <c r="F6" i="3"/>
  <c r="F6" i="9"/>
  <c r="J35" i="1"/>
  <c r="J40" i="1" s="1"/>
  <c r="K135" i="3" l="1"/>
  <c r="O12" i="4" l="1"/>
  <c r="O11" i="10"/>
</calcChain>
</file>

<file path=xl/sharedStrings.xml><?xml version="1.0" encoding="utf-8"?>
<sst xmlns="http://schemas.openxmlformats.org/spreadsheetml/2006/main" count="1156" uniqueCount="1050">
  <si>
    <t xml:space="preserve">TEKA ECUADOR S.A. </t>
  </si>
  <si>
    <t>Registro Único de Contribuyente: 1791883144001</t>
  </si>
  <si>
    <t>De Cristian Capelo</t>
  </si>
  <si>
    <t xml:space="preserve">                  TRABAJOS EN GARANTÍAS</t>
  </si>
  <si>
    <t>Para Ing. Fernández</t>
  </si>
  <si>
    <t>ESTA SE LLENA POR DEFECTO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</si>
  <si>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</si>
  <si>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</si>
  <si>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</si>
  <si>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</si>
  <si>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</si>
  <si>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</si>
  <si>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</si>
  <si>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</si>
  <si>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</si>
  <si>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</si>
  <si>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</si>
  <si>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</si>
  <si>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</si>
  <si>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</si>
  <si>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</si>
  <si>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</si>
  <si>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 xml:space="preserve">VIÁTICO </t>
  </si>
  <si>
    <t>FACTURA NUMERO</t>
  </si>
  <si>
    <t xml:space="preserve">COCINAS </t>
  </si>
  <si>
    <t xml:space="preserve">PROMOCION 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</si>
  <si>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</si>
  <si>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</si>
  <si>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</si>
  <si>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</si>
  <si>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</si>
  <si>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</si>
  <si>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</si>
  <si>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</si>
  <si>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</si>
  <si>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</si>
  <si>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</si>
  <si>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</si>
  <si>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</si>
  <si>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</si>
  <si>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</si>
  <si>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</si>
  <si>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>CEDULA O RUC</t>
  </si>
  <si>
    <t xml:space="preserve">CORREO DEL CLIENTE 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</si>
  <si>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</si>
  <si>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</si>
  <si>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</si>
  <si>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</si>
  <si>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</si>
  <si>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</si>
  <si>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</si>
  <si>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</si>
  <si>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Cód. Artículo</t>
  </si>
  <si>
    <t>Producto</t>
  </si>
  <si>
    <t>Almacén</t>
  </si>
  <si>
    <t>Alm1</t>
  </si>
  <si>
    <t>ASP.AXIAL BLIND 100 110V-60HZ</t>
  </si>
  <si>
    <t>ASP.AXIAL SLIM 100 110V-60HZ</t>
  </si>
  <si>
    <t>ASP.AXIAL SLIM 120 110V-60HZ</t>
  </si>
  <si>
    <t>ASP.AXIAL ELEGANCE 100 110V-60HZ</t>
  </si>
  <si>
    <t>ASP.AXIAL SERENITY 100 110V-60HZ</t>
  </si>
  <si>
    <t>ASP.AXIAL SERENITY 120 110V-60HZ</t>
  </si>
  <si>
    <t>FREGADERO DM (33.22) 1C</t>
  </si>
  <si>
    <t>45.50 1C FREGADERO</t>
  </si>
  <si>
    <t>100.50 1C 1E DER FREGADERO</t>
  </si>
  <si>
    <t>100.50 1C 1E IZQ FREGADERO</t>
  </si>
  <si>
    <t>465.440 1C FREGADERO</t>
  </si>
  <si>
    <t>1235.510 2C 1E REV FREGADERO</t>
  </si>
  <si>
    <t>950.510 1C 1E DER FREGADERO</t>
  </si>
  <si>
    <t>950.510 1C 1E IZQ FREGADERO</t>
  </si>
  <si>
    <t>3322 2C FREGADERO</t>
  </si>
  <si>
    <t>STYLO 1C FREGADERO</t>
  </si>
  <si>
    <t>STYLO 1C 1E REV FREGADERO</t>
  </si>
  <si>
    <t>STYLO 1C 1E REV 31/2 W/OVF</t>
  </si>
  <si>
    <t>REDONDO (ERC) FREGADERO</t>
  </si>
  <si>
    <t>FREG. REDONDO (ERC) ABIERTO REBOSADERO</t>
  </si>
  <si>
    <t>DR 80 2C FREGADERO</t>
  </si>
  <si>
    <t>CENTROVAL FREGADERO</t>
  </si>
  <si>
    <t>CLASSIC ANGULAR FREGADERO</t>
  </si>
  <si>
    <t>CLASSIC ANGULAR FREGADERO (10118002)</t>
  </si>
  <si>
    <t>FREG. CLASSIC ANGULAR ABIERTO REBOSADERO</t>
  </si>
  <si>
    <t>CLASSIC 2C 1E FREGADERO</t>
  </si>
  <si>
    <t>CLASSIC 1C 1E FREGADERO</t>
  </si>
  <si>
    <t>FREG. CLASSIC 1C 1E ABIERTO REBOSADERO</t>
  </si>
  <si>
    <t>CLASSIC 2C 86 FREGADERO (11119010)</t>
  </si>
  <si>
    <t>CLASSIC 1½C 1E FREGADERO</t>
  </si>
  <si>
    <t>SINK CLASSIC 2½B REV 3½ W/WO/OVF SPS (CON REBOSADERO) FREGADERO</t>
  </si>
  <si>
    <t>CLASSIC 2½C 1E FREGADERO</t>
  </si>
  <si>
    <t>UNIVERSO 1C 1E REV FREGADERO (10120040)</t>
  </si>
  <si>
    <t>UNIVERSO 2C 1E REV FREGADERO</t>
  </si>
  <si>
    <t>UNIVERSO 2C 1E FREGADERO</t>
  </si>
  <si>
    <t>TEKAWAY FREG. UNIVERSO 1C 1E REV + GRIFO ML913</t>
  </si>
  <si>
    <t>TEKAWAY FREG. BASICO REVERSIBLE</t>
  </si>
  <si>
    <t>BE 28.40 FREGADERO</t>
  </si>
  <si>
    <t>BE 34.37 FREGADERO</t>
  </si>
  <si>
    <t>BE REDONDO FREGADERO</t>
  </si>
  <si>
    <t>BE 40.40 FREGADERO</t>
  </si>
  <si>
    <t>TU 34.18-R FREGADERO</t>
  </si>
  <si>
    <t>TU 34.18-R FREGADERO (10125041)</t>
  </si>
  <si>
    <t>TU 33.18-R FREGADERO</t>
  </si>
  <si>
    <t>TU 33.18-R FREGADERO (10125047)</t>
  </si>
  <si>
    <t>BE 2C D 800 D FREGADERO</t>
  </si>
  <si>
    <t>BE 42.46 D FREGADERO</t>
  </si>
  <si>
    <t>TU 37.20 D CEST S/REB FREGADERO</t>
  </si>
  <si>
    <t>TU 31.19-10 CEST S/REB FREGADERO</t>
  </si>
  <si>
    <t>BE 74.43-20 1C FREGADERO</t>
  </si>
  <si>
    <t>BE 50.40.20 PLUS FREGADERO</t>
  </si>
  <si>
    <t>FREGADERO BE LINEA R15 40.40 3 1/2 C/REB</t>
  </si>
  <si>
    <t>FREGADERO BE LINEA R15 50.40 3 1/2 C/REB</t>
  </si>
  <si>
    <t>BE LINEA R15 71.40 3½ C/REB</t>
  </si>
  <si>
    <t>TU 30.18-E FREGADERO</t>
  </si>
  <si>
    <t>BE LINEA R15 2C 740 FREGADERO</t>
  </si>
  <si>
    <t>STENA 45-B 1C 1E REV FREGADERO</t>
  </si>
  <si>
    <t>STENA 60-B 1E 1½C REV FREGADERO</t>
  </si>
  <si>
    <t>STENA 2C 1E REV FREGADERO</t>
  </si>
  <si>
    <t>F. TEKAWAY DEVA 45 I-CN 1C 1E CEST S/R ML913</t>
  </si>
  <si>
    <t>DEVA 45 I-CL 1C 1E REV + VALVULAS FREGADERO</t>
  </si>
  <si>
    <t>80.50 1C 1E D CEST S/REB -  FREG</t>
  </si>
  <si>
    <t>80.50 1C 1E I CEST S/REB -  FREG</t>
  </si>
  <si>
    <t>90.50 1C 1E DER FREGADERO + VALVULA CESTILLA</t>
  </si>
  <si>
    <t>90.50 1C 1E IZQ FREGADERO + VALVULA CESTILLA</t>
  </si>
  <si>
    <t>120.50 2C 1E DER FREGADERO + VALVULA CESTILLA</t>
  </si>
  <si>
    <t>120.50 2C 1E IZQ FREGADERO + VALVULA CESTILLA</t>
  </si>
  <si>
    <t>100.50 BASICO 1½C 1E DER CEST S/REB - FREGADERO</t>
  </si>
  <si>
    <t>100.50 BASICO 1½C 1E IZQ CEST S/REB - FREGADERO</t>
  </si>
  <si>
    <t>FREG. DENA 45-CN 1C 1E REV VN C/REB (BA) PAL/CAR</t>
  </si>
  <si>
    <t>FREGADERO TOP LINEA R15 34.40 3 1/2 C/REB</t>
  </si>
  <si>
    <t>FREGADERO TOP LINEA R15 40.40 3 1/2 C/REB</t>
  </si>
  <si>
    <t>FREGADERO TOP LINEA R15 50.40 3 1/2 C/REB</t>
  </si>
  <si>
    <t>FREGADERO TOP LINEA R15 71.40 3 1/2 C/REB</t>
  </si>
  <si>
    <t>FREGADERO TOP LINEA R15 2C 740 3 1/2 C/REB</t>
  </si>
  <si>
    <t>120.50 2C 1E DER FREGADERO</t>
  </si>
  <si>
    <t>120.50 2C 1E IZQ FREGADERO</t>
  </si>
  <si>
    <t>180.50 2C 2E FREGADERO</t>
  </si>
  <si>
    <t>1235.510 2C 1E DER FREGADERO</t>
  </si>
  <si>
    <t>1235.510 2C 1E IZQ FREGADERO</t>
  </si>
  <si>
    <t>1600.510 2C 2E FREGADERO</t>
  </si>
  <si>
    <t>MC 10 PLUS DUCHA CUERPO GRIFO</t>
  </si>
  <si>
    <t>VT CM COCINA VITRO</t>
  </si>
  <si>
    <t>TT 620 VITRO TOUCH CONTROL</t>
  </si>
  <si>
    <t>COCINA TT 620 VITRO</t>
  </si>
  <si>
    <t>COCINA TT620 INOX /VITRO TOUCH CONTROL</t>
  </si>
  <si>
    <t>CG LUX 70 4G AI AL</t>
  </si>
  <si>
    <t>CG LUX 70 5G AI AL</t>
  </si>
  <si>
    <t>CG LUX 70 5G AI AL TR</t>
  </si>
  <si>
    <t>CG LUX 60 4G AI</t>
  </si>
  <si>
    <t>CG LUX 70 4G AI</t>
  </si>
  <si>
    <t>CG LUX 70 5G AI</t>
  </si>
  <si>
    <t>CG LUX 70 5G AI TR</t>
  </si>
  <si>
    <t>E/60 4P COCINA ELEC INOX</t>
  </si>
  <si>
    <t>E/60 4G AI COCINA INOX - DESCATALOGADA</t>
  </si>
  <si>
    <t>ES/60 4G AI - DESCATALOGADA</t>
  </si>
  <si>
    <t>VM/30 2P COCINA ELEC MOD</t>
  </si>
  <si>
    <t>IR 641 COCINA INDUCCION (10210072-IRS 641)</t>
  </si>
  <si>
    <t>IR 321 COCINA MOD INDUCCION</t>
  </si>
  <si>
    <t>EM/30 2G AI COCINA MOD 110 V/60</t>
  </si>
  <si>
    <t>EM/30 2P COCINA ELEC MODULAR</t>
  </si>
  <si>
    <t>EM/60 4G AI AL TR COCINA INOX</t>
  </si>
  <si>
    <t>TR 951 COCINA VITRO TOUCH CONTROL</t>
  </si>
  <si>
    <t>TR 841 COCINA VITRO TOUCH CONTROL (40206220)</t>
  </si>
  <si>
    <t>IRS 843 COCINA INDUCCION + J.9 PZ OLLAS NC:10210148</t>
  </si>
  <si>
    <t>COCINA INDUCCION IQS 633</t>
  </si>
  <si>
    <t>IQS 643 COCINA INDUCCION + J.9PZ OLLAS</t>
  </si>
  <si>
    <t>IB 64 COCINA INDUCCION</t>
  </si>
  <si>
    <t>UNIVERSO 2C 1E REV FREGADERO (10120028)</t>
  </si>
  <si>
    <t>IRS 943 COCINA INDUCCION + J.9 PZ OLLAS NC:10210149</t>
  </si>
  <si>
    <t>IRF 641 COCINA INDUCCION (NC:10210150)</t>
  </si>
  <si>
    <t>IR 6030 COCINA INDUCCION (NC:10210145)</t>
  </si>
  <si>
    <t>IB 6040 COCINA INDUCCION (NC: 10210151)</t>
  </si>
  <si>
    <t>IRS 631 COCINA INDUCCION</t>
  </si>
  <si>
    <t>IRS 641 COCINA INDUCCION (10208036) (NC: 10210147)</t>
  </si>
  <si>
    <t>IRF 631 COCINA INDUCCION</t>
  </si>
  <si>
    <t>IRF 644 COCINA INDUCCION (NC: 10210146)</t>
  </si>
  <si>
    <t>MIR 6030 COCINA INDUCCION (40205450M) NC:10210065</t>
  </si>
  <si>
    <t>IRS 953 COCINA INDUCCION + JGO. DE OLLAS (NC:10210152)</t>
  </si>
  <si>
    <t>IR 6030 COCINA INDUCCION (10210065)</t>
  </si>
  <si>
    <t>IRF 644 COCINA INDUCCION (10210085)</t>
  </si>
  <si>
    <t>IRS 641 COCINA INDUCCION (10210072)</t>
  </si>
  <si>
    <t>IRS 843 COCINA INDUCCION (10210009)</t>
  </si>
  <si>
    <t>IRS 943 COCINA INDUCCION (10210029)</t>
  </si>
  <si>
    <t>IRF 641 COCINA INDUCCION (10210042)</t>
  </si>
  <si>
    <t>IB 6040 COCINA INDUCCION (10210068)</t>
  </si>
  <si>
    <t>IRS 953 COCINA INDUCCION</t>
  </si>
  <si>
    <t>IB 6415 COCINA INDUCCION</t>
  </si>
  <si>
    <t>IR 9530 COCINA INDUCCION</t>
  </si>
  <si>
    <t>IR 3200 COCINA MOD INDUCCION</t>
  </si>
  <si>
    <t>IR 6320 COCINA INDUCCION</t>
  </si>
  <si>
    <t>IZ 6420 COCINA INDUCCION</t>
  </si>
  <si>
    <t>IZ 6420 WHITE</t>
  </si>
  <si>
    <t>COMPACT LUX 1000.520 1C 2I - CRISTAL DERECHO</t>
  </si>
  <si>
    <t>COMPACT LUX 1000.520 1C 2I - CRISTAL IZQ</t>
  </si>
  <si>
    <t>HLB 840 INOX HORNO ELEC</t>
  </si>
  <si>
    <t>STEAKMASTER - HORNO ELEC</t>
  </si>
  <si>
    <t>HLB 8510 P "MAESTRO PIZZA"</t>
  </si>
  <si>
    <t>HLB 8416 "AIR FRY" - HORNO ELEC</t>
  </si>
  <si>
    <t>HLB 85-G1 P BM Maestro Pizza</t>
  </si>
  <si>
    <t>HLB 8400 FBK HORNO ELEC</t>
  </si>
  <si>
    <t>HLB 84-VGOGH  220-240/50-60 E10 EC - HORNO ELEC</t>
  </si>
  <si>
    <t>HSB 646 "AIRFRY" - HORNO ELEC</t>
  </si>
  <si>
    <t>HSB 610 NEGRO HORNO ELEC</t>
  </si>
  <si>
    <t>HSB 630 NEGRO HORNO ELEC</t>
  </si>
  <si>
    <t>HSB 6150 SS HORNO ELEC</t>
  </si>
  <si>
    <t>HSB 6150 FBK HORNO ELEC</t>
  </si>
  <si>
    <t>HSB 6456 SS HORNO ELEC</t>
  </si>
  <si>
    <t>HBB 510 BK 220-240  50/60 HORNO ELEC</t>
  </si>
  <si>
    <t>HBB 5350 SS INOX HORNO ELEC</t>
  </si>
  <si>
    <t>HBB 5350 FBK HORNO ELEC</t>
  </si>
  <si>
    <t>HLB 760 G SS HORNO A GAS</t>
  </si>
  <si>
    <t>HSB 750 G SS HORNO A GAS</t>
  </si>
  <si>
    <t>HSB 7500 G SS HORNO A GAS</t>
  </si>
  <si>
    <t>STYLO 1C 1E DER FREGADERO</t>
  </si>
  <si>
    <t>STYLO 1C 1E IZQ FREGADERO</t>
  </si>
  <si>
    <t>STYLO 2C FREGADERO</t>
  </si>
  <si>
    <t>TEKAWAY FREG. STYLO 2C  S/REB + GRIFO IN 995</t>
  </si>
  <si>
    <t>MLC 8440 - MICROONDAS</t>
  </si>
  <si>
    <t>CLASSIC 2C 1E DERECHO FREGADERO (10119007)</t>
  </si>
  <si>
    <t>CLASSIC 2C FREGADERO</t>
  </si>
  <si>
    <t>CLASSIC 2½C  FREGADERO</t>
  </si>
  <si>
    <t>HLB 8550 SC BK HORNO A VAPOR</t>
  </si>
  <si>
    <t>UNIVERSO 2C FREGADERO</t>
  </si>
  <si>
    <t>UNIVERSO 2C 1E REV FREGADERO (PAL/CAR)</t>
  </si>
  <si>
    <t>UNIVERSO 86 1C 1E D GT C/REB FREGADERO</t>
  </si>
  <si>
    <t>UNIVERSO 2C FREGADERO (11120027)</t>
  </si>
  <si>
    <t>UNIVERSO 86 1C 1E I GT C/REB FREGADERO</t>
  </si>
  <si>
    <t>TEKAWAY FREG. UNIVERSO 1C 1E DER + GRIFO IN 995</t>
  </si>
  <si>
    <t>TEKAWAY FREG. UNIVERSO 1C 1E IZQ + GRIFO IN 995</t>
  </si>
  <si>
    <t>TEKAWAY FREG. UNIVERSO 2C 1E DER + GRIFO IN 995</t>
  </si>
  <si>
    <t>11120112S</t>
  </si>
  <si>
    <t>FREG. UNIVERSO 2C 1E DERECHO TKW</t>
  </si>
  <si>
    <t>TEKAWAY FREG. UNIVERSO 2C 1E IZQ + GRIFO IN 995</t>
  </si>
  <si>
    <t>TEKAWAY FREG. UNIVERSO 2C PERF. S/ESC. + GRIFO IN 995</t>
  </si>
  <si>
    <t>TEKAWAY FREG. UNIVERSO (600.510) 1C + GRIFO IN 995</t>
  </si>
  <si>
    <t>TEKAWAY FREG. BASICO 1C 1E DER + GRIFO ML</t>
  </si>
  <si>
    <t>11124030S</t>
  </si>
  <si>
    <t>FREG. BASICO 1C 1E DER EMPOTRAR TKW</t>
  </si>
  <si>
    <t>TEKAWAY FREG. BASICO 1C 1E IZQ + GRIFO ML</t>
  </si>
  <si>
    <t>11124031S</t>
  </si>
  <si>
    <t>FREG. BASICO 1C 1E IZQ EMPOTRAR TKW</t>
  </si>
  <si>
    <t>TEKAWAY FREG. BASICO 2C 1E DER + GRIFO ML</t>
  </si>
  <si>
    <t>TEKAWAY FREG. BASICO 2C 1E IZQ + GRIFO ML</t>
  </si>
  <si>
    <t>FREG. BASICO 79 1C 1E I 1Ø GT C/REB (BA) PAL</t>
  </si>
  <si>
    <t>FREG. BASICO 86 1C 1E D 1Ø GT C/REB (BA) PAL</t>
  </si>
  <si>
    <t>FREG. BASICO 86 1C 1E I 1Ø GT C/REB (BA) PAL</t>
  </si>
  <si>
    <t>BAHIA 1C BASIC FREGADERO</t>
  </si>
  <si>
    <t>TEKAWAY DEVA 45 I-CN 1C 1E D 1 CEST S/R ML913</t>
  </si>
  <si>
    <t>TEKAWAY DEVA 45 I-CN 1C 1E I 1 CEST S/R ML913</t>
  </si>
  <si>
    <t>FORLINEA R15 40.40 FREGADERO</t>
  </si>
  <si>
    <t>FORLINEA R15 50.40 FREGADERO</t>
  </si>
  <si>
    <t>FORLINEA R15 2C 740 FREGADERO</t>
  </si>
  <si>
    <t>KIT EMPOTRABLE PARA COMPACTOS 80CM</t>
  </si>
  <si>
    <t>COCINA GOURMET BBQ 3100 G BK-SS</t>
  </si>
  <si>
    <t>COCINA GOURMET BBQ 4100 G SS</t>
  </si>
  <si>
    <t>COCINA A GAS FSGG 8660 S RX 127V 60HZ LPG</t>
  </si>
  <si>
    <t>CAFETERA INTEGRACION CLC 85-G1 GM BM MX</t>
  </si>
  <si>
    <t>CAFETERA CLC 855 GM BK</t>
  </si>
  <si>
    <t>MLH 845 SS - MICROONDAS</t>
  </si>
  <si>
    <t>ML 8220 BIS - MICROONDAS</t>
  </si>
  <si>
    <t>ML 82-G1 BIS L BM - MICROONDAS</t>
  </si>
  <si>
    <t>ML 82-G1 BIS L BM - MICROONDAS 220V/60HZ</t>
  </si>
  <si>
    <t>ML 8220 BIS FBK- MICROONDAS</t>
  </si>
  <si>
    <t>ML 82-VGOGH  BIS L- MICROONDAS 220V/60HZ</t>
  </si>
  <si>
    <t>MS 6200 BIS SS 220/60 SA E08 MICROONDAS</t>
  </si>
  <si>
    <t>IZF 88700 MST COCINA INDUCCION</t>
  </si>
  <si>
    <t>IZF 99700 MST COCINA INDUCCION</t>
  </si>
  <si>
    <t>IZS 97630 MST COCINA INDUCCION</t>
  </si>
  <si>
    <t>IZS 86630 MST COCINA INDUCCION</t>
  </si>
  <si>
    <t>AFF 87600 MST BK COCINA INDUCCION</t>
  </si>
  <si>
    <t>AFC 87628 HOOD IN HOB COC. INDUCCION / CAMPANA</t>
  </si>
  <si>
    <t>IZC 32300 DMS COCINA MODULAR INDUCCION</t>
  </si>
  <si>
    <t>IZF 64440 MSP BK COCINA INDUCCION</t>
  </si>
  <si>
    <t>IZC 32310 MSP BK COCINA MODULAR INDUCCION</t>
  </si>
  <si>
    <t>IBC 64000 TTC COCINA INDUCCION</t>
  </si>
  <si>
    <t>IZC 64010 MSS COCINA INDUCCION</t>
  </si>
  <si>
    <t>GZC 31330 XBB COCINA MODULAR GAS</t>
  </si>
  <si>
    <t>GZC 32300 XBB CRISTAL COCINA GAS</t>
  </si>
  <si>
    <t>GZC 64320 XBB CRISTAL COCINA GAS</t>
  </si>
  <si>
    <t>GZC 95320 XBB CRISTAL COCINA GAS</t>
  </si>
  <si>
    <t>GZC 96310 XBB CRISTAL COCINA GAS</t>
  </si>
  <si>
    <t>GZC 75330 XBB CRISTAL COCINA GAS</t>
  </si>
  <si>
    <t>JZC 63312 ABB BK (LAT) COCINA MIXTA GAS - INDUCCION (40213012)</t>
  </si>
  <si>
    <t>JZC 64322 ABB BK (LAT) COCINA MIXTA GAS - INDUCCION</t>
  </si>
  <si>
    <t>JZC 95314 ABB BK (LAT) COCINA MIXTA GAS - INDUCCION (40213032)</t>
  </si>
  <si>
    <t>JZC 96324 ABB BK (LAT) COCINA MIXTA GAS - INDUCCION (40213042)</t>
  </si>
  <si>
    <t>JZC 96342 ABB BK (LAT) COCINA MIXTA GAS - INDUCCION</t>
  </si>
  <si>
    <t>JZC 96342 BBB BK (LAT) COCINA MIXTA GAS - INDUCCION</t>
  </si>
  <si>
    <t>GBC 64-G1 GBA BM COCINA GAS</t>
  </si>
  <si>
    <t>GBC 75-G1 GBA BM COCINA GAS</t>
  </si>
  <si>
    <t>GBC 95-G1 GBA BM COCINA GAS</t>
  </si>
  <si>
    <t>GBC 64 V-GOGH VA BV COCINA GAS</t>
  </si>
  <si>
    <t>GBC 75 V-GOGH VA BV COCINA GAS</t>
  </si>
  <si>
    <t>GBC 95 V-GOGH VA BV COCINA GAS</t>
  </si>
  <si>
    <t>GBC 64000 KBB CRISTAL COCINA GAS</t>
  </si>
  <si>
    <t>GBC 75030 KBB CRISTAL COCINA GAS</t>
  </si>
  <si>
    <t>GBC 95030 KBB BK COCINA GAS</t>
  </si>
  <si>
    <t>EX 90.1 5G AI DR CI COCINA INOX</t>
  </si>
  <si>
    <t>EX 60.1 4G AI CI COCINA INOX</t>
  </si>
  <si>
    <t>GSC 96320 XBA IX (LAT) COCINA INOX</t>
  </si>
  <si>
    <t>GSC 95330 XBA IX (LAT) COCINA INOX</t>
  </si>
  <si>
    <t>GSC 75330 XBA IX (LAT) COCINA INOX</t>
  </si>
  <si>
    <t>GSC 75320 XBA IX (LAT) COCINA INOX</t>
  </si>
  <si>
    <t>GSC 64320 XBA IX (LAT) COCINA INOX</t>
  </si>
  <si>
    <t>HLX 640 KIB1E IX (LAT)</t>
  </si>
  <si>
    <t>YZC 32600 XFL (TEPPAN YAKI)</t>
  </si>
  <si>
    <t>AFF 87601 HOOD IN HOB</t>
  </si>
  <si>
    <t>PLANCHA GRILL - HOT PLATE</t>
  </si>
  <si>
    <t>CC 480 BK ISLA INOX CAMPANA</t>
  </si>
  <si>
    <t>DVF 67670 TBL BK CAMPANA (110V-60HZ) C/KIT</t>
  </si>
  <si>
    <t>DVF 97670 TBL BK CAMPANA (110V-60HZ) C/KIT</t>
  </si>
  <si>
    <t>DLV 98660 TRL BK CAMPANA (110V-60HZ) C/KIT</t>
  </si>
  <si>
    <t>DVT 98660 TRL BK</t>
  </si>
  <si>
    <t>DVT 88660 TRL BK</t>
  </si>
  <si>
    <t>DVT 68660 TRL BK</t>
  </si>
  <si>
    <t>DVI 88-G1 EOS BM CAMPANA (110V-60HZ)</t>
  </si>
  <si>
    <t>DVI 98-G1 EOS BM (110-60Hz) w/kit</t>
  </si>
  <si>
    <t>DVT-VG 98660 TCS BK</t>
  </si>
  <si>
    <t>DVN 64030 TCL BK CAMPANA (110V-60HZ) C/KIT</t>
  </si>
  <si>
    <t>DVN 74030 TCL BK CAMPANA (110V-60HZ) C/KIT</t>
  </si>
  <si>
    <t>DVN 94030 TCL BK CAMPANA (110V-60HZ) C/KIT</t>
  </si>
  <si>
    <t>DPL 980 CAMPANA (110V-60HZ) C/KIT</t>
  </si>
  <si>
    <t>DSH 986 FBK CAMPANA</t>
  </si>
  <si>
    <t>CAMPANA DHT 97670 ROS WH</t>
  </si>
  <si>
    <t>GFI 67350 ECS IX 110/60 CAMPANA</t>
  </si>
  <si>
    <t>GFI 97350 ECS IX 110/60 CAMPANA</t>
  </si>
  <si>
    <t>Kit de recirculación RFC 60210 O1B</t>
  </si>
  <si>
    <t>FILTRO REGENERATIVO REGENERATIVE RECIRCULATION KIT W/O TUBECOVER RFH 12120 FOC</t>
  </si>
  <si>
    <t>RFD 77820 GBK FRENCH DOOR BK REFRIGERADORA</t>
  </si>
  <si>
    <t>RLF 74920 SS SBS REFRIGERADORA</t>
  </si>
  <si>
    <t>RMF 77960 GBK MX REFRIGERADORA</t>
  </si>
  <si>
    <t>RMF 77960 DSS MX REFRIGERADORA DARK INOX</t>
  </si>
  <si>
    <t>RVF 20110 VINERA</t>
  </si>
  <si>
    <t>RVU 20046 GBK VINERA</t>
  </si>
  <si>
    <t>RVI 10024 VINERA</t>
  </si>
  <si>
    <t>RVI 30097 GBK VINERA</t>
  </si>
  <si>
    <t>RVF 10032 VINERA</t>
  </si>
  <si>
    <t>RVC 10008 GBK VINERA</t>
  </si>
  <si>
    <t>LAVAVAJILLAS DFI 46950 120 60 WH DECO</t>
  </si>
  <si>
    <t>LAVAVAJILLAS DFI 46900 120 60 WH</t>
  </si>
  <si>
    <t>LAVAVAJILLAS DFS 74850 120 60 SS</t>
  </si>
  <si>
    <t>BE LINEA RS15 71.40 FREGADERO</t>
  </si>
  <si>
    <t>BE LINEA RS15 50.40 FREGADERO</t>
  </si>
  <si>
    <t>BE LINEA RS15 40.40 FREGADERO</t>
  </si>
  <si>
    <t>BE LINEA RS15 34.40 - FREGADERO</t>
  </si>
  <si>
    <t>FORLINEA RS15 50.40 1Ø 3½ W/OVF - FREGADERO</t>
  </si>
  <si>
    <t>FORLINEA RS15 40.40 1Ø 3½ W/OVF - FREGADERO</t>
  </si>
  <si>
    <t>ZENIT RS15 1B 3Ø AUTO WST PRO +SD+CB+CL</t>
  </si>
  <si>
    <t>FREG. FLEXLINEA RS15 50.40 COPPER</t>
  </si>
  <si>
    <t>FREG. FLEXLINEA RS15 50.40 M-XT 1C 3½ SQ C/REB SF PURE CLEAN</t>
  </si>
  <si>
    <t>FREGADERO-METALLIC EDITION FLEXLINEA RS15 50.40+ICC 915 BRASS</t>
  </si>
  <si>
    <t>FREGADERO-METALLIC EDITION FLEXLINEA RS15 50.40+ICC 915 TITANIUM</t>
  </si>
  <si>
    <t>FORLINEA RS15 71.40 2Ø 3½ AUTO WASTE W/OVF</t>
  </si>
  <si>
    <t>FLEXLINEA RS15 PURE CLEAN 71.40 M-XT 1B 3½</t>
  </si>
  <si>
    <t>AMERICAN PRO 60 M-XP 1B 3½ SQ W/OVF SP FREGADERO</t>
  </si>
  <si>
    <t>AMERICAN PRO 80 M-XP 1B 3½ SQ W/OVF SP FREGADERO</t>
  </si>
  <si>
    <t>BROOKLYN 50 1C FREGADERO</t>
  </si>
  <si>
    <t>FREGADERO DIAMOND RS15 1B BLACK</t>
  </si>
  <si>
    <t>FORLINE RS15 40.40 1Ø 3½ W/OVF SP - FREGADERO</t>
  </si>
  <si>
    <t>FORLINE RS15 50.40 1Ø 3½ W/OVF SP - FREGADERO</t>
  </si>
  <si>
    <t>FORLINE RS15 71.40 1Ø 3½ W/OVF SP +CB+CL - FREGADERO</t>
  </si>
  <si>
    <t>TOPLINE RS15 50.40 FBK 3½ W/OVF SP - FREGADERO</t>
  </si>
  <si>
    <t>BE 34.40 3½ W/OVF FREGADERO</t>
  </si>
  <si>
    <t>BE 50.40.16 MAX 3½ W/OVF FREGADERO</t>
  </si>
  <si>
    <t>TEKAWAY BET 50.40 PLUS 3½ W/OVF SP UNI-9310-XP</t>
  </si>
  <si>
    <t>FREG. STARBRIGHT 45 E-XN 1C GT C/REB</t>
  </si>
  <si>
    <t>TEKAWAY STYLO 1B 1Ø 3½ W/OVF SP UNI-9310-XP</t>
  </si>
  <si>
    <t>BE LINEA RS15 2C 740 FREGADERO</t>
  </si>
  <si>
    <t>FORLINEA RS15 2B 740 1Ø 3½ W/OVF FREGADERO</t>
  </si>
  <si>
    <t>ZENIT RS15 2B 86 3Ø AUTO WST PRO +SD+CB+CL FREGADERO</t>
  </si>
  <si>
    <t>FREGADERO DIAMOND RS15 2C 86 AUTO</t>
  </si>
  <si>
    <t>BROOKLYN 90 2C REV FREGADERO</t>
  </si>
  <si>
    <t>FREG. FLEXLINEA RS15 860 2B M-XT  PURE CLEAN</t>
  </si>
  <si>
    <t>FREG. UNIVERSE 80 T-XP 2C 1Ø 3½ C/S/REB SF INCLUYE SIFON</t>
  </si>
  <si>
    <t>TEKAWAY FREG. DR-80 2C  S/REB + GRIFO IN 915</t>
  </si>
  <si>
    <t>800.440 2B SW WO/OVF (BA) PAL/CAR FREGADERO</t>
  </si>
  <si>
    <t>TEKAWAY STARBRIGHT 80 E-XP 2B 1Ø 3½ W/OVF UNI-9310-XP</t>
  </si>
  <si>
    <t>DIAMOND RS15 1C 1E REV FREGADERO CRISTAL</t>
  </si>
  <si>
    <t>ZENIT R15 1C 1E D 86 3Ø V.AUTM.+JB+TB FREGADERO</t>
  </si>
  <si>
    <t>ZENIT R15 1C 1E I 86 3Ø V.AUTM.+JB+TB FREGADERO</t>
  </si>
  <si>
    <t>ZENIT R15 1C 1E D 78 2Ø V.AUTM. FREGADERO</t>
  </si>
  <si>
    <t>ZENIT R15 1C 1E I 78 2Ø V.AUTM. FREGADERO</t>
  </si>
  <si>
    <t>BROOKLYN 60 1C 1E PLUS REV FREGADERO</t>
  </si>
  <si>
    <t>UNIVERSE 45 1B 1D REV 3½ W/OVF SP INCLUYE SIFON FREGADERO</t>
  </si>
  <si>
    <t>UNIVERSE 50 MAX 1B 1D REV 3½ W/OVF SP INCLUYE SIFON FREGADERO</t>
  </si>
  <si>
    <t>TEKAWAY UNIVERSE 45 T-XP 1B 1D REV + IN995</t>
  </si>
  <si>
    <t>FREGADERO GALAXY 800 T-XP 1B 1D R 0Ø BW W/OVF</t>
  </si>
  <si>
    <t>FREGADERO GALAXY 800 T-XP 1B 1D L 0Ø BW W/OVF</t>
  </si>
  <si>
    <t>FREGADERO GALAXY 950 T-XP 1B 1D R 0Ø BW</t>
  </si>
  <si>
    <t>FREGADERO GALAXY 950 T-XP 1B 1D L 0Ø BW</t>
  </si>
  <si>
    <t>UNIVERSO MAX 79 1C 1E REV FREGADERO</t>
  </si>
  <si>
    <t>800.440 1C 1E SW WO/OVF REV PAL/CAR FREGADERO</t>
  </si>
  <si>
    <t>TEKAWAY STARBRIGHT 45 1B 1D REV + IN915</t>
  </si>
  <si>
    <t>800.500 C20 1B 1D R 0Ø SW W/OVF PAL</t>
  </si>
  <si>
    <t>800.500 C20 1B 1D L 0Ø SW W/OVF PAL</t>
  </si>
  <si>
    <t>1000.500 C20 1B 1D R 0Ø SW W/OVF PAL</t>
  </si>
  <si>
    <t>1000.500 C20 1B 1D L 0Ø SW W/OVF PAL</t>
  </si>
  <si>
    <t>TEKAWAY STARBRIGHT 45 E-XP 1B 1D REV 2Ø AUTO WST UNI-9310-XP</t>
  </si>
  <si>
    <t>TEKAWAY DEVA 45 I-CN 1B 1D 2Ø (BA) REV AUTO WST UNI-9310-XP</t>
  </si>
  <si>
    <t>ZENIT R15 1 1/2C 1E I 2Ø V.AUTM. FREGADERO</t>
  </si>
  <si>
    <t>ZENIT R15 1 1/2C 1E D 2Ø V.AUTM. FREGADERO</t>
  </si>
  <si>
    <t>ZENIT RS15 2B 1D R 3Ø V.AUTO+JB+TB+CL FREGADERO</t>
  </si>
  <si>
    <t>FREG ZENIT RS15 2C 1E I</t>
  </si>
  <si>
    <t>DIAMOND RS15 2C 1E REV FREGADERO CRISTAL</t>
  </si>
  <si>
    <t>BROOKLYN 80 2C 1E REV FREGADERO</t>
  </si>
  <si>
    <t>FREG. UNIVERSE 80 T-XP 2C 1E REV 3½ C/S/REB SF</t>
  </si>
  <si>
    <t>TEKAWAY UNIVERSE 80 T-XP 2B 1D REV + IN915</t>
  </si>
  <si>
    <t>TEKAWAY STARBRIGHT 80 2B 1D REV + IN915</t>
  </si>
  <si>
    <t>TEKAWAY STARBRIGHT 80 E-XP 2B 1D REV 2Ø AUTO WST UNI-9310-XP</t>
  </si>
  <si>
    <t>FREGADERO SQUARE 72.40 TG 3½ W/OVF SP BLACK</t>
  </si>
  <si>
    <t>FREGADERO SQUARE 50.40 TG 3½ W/OVF SP BLACK</t>
  </si>
  <si>
    <t>FREGADERO RADEA R10 50-40 M-TG (NEGRO)</t>
  </si>
  <si>
    <t>FREGADERO RADEA R10 70.40 M-TG</t>
  </si>
  <si>
    <t>NOVA 80 WS-TG 1B AUTO BLACK +CL+CB</t>
  </si>
  <si>
    <t>FREGADERO STONE 90 B-TG 2B 3½ W/OVF SP CARBON</t>
  </si>
  <si>
    <t>FREGADERO SQUARE 2B 760 TG 3½ W/OVF SP BLACK</t>
  </si>
  <si>
    <t>FREGADERO RADEA R10 2B 750 M-TG (NEGRO)</t>
  </si>
  <si>
    <t>FREGADERO STONE 50 B-TG 1B 1D 3½ W/OVF SP CARBON</t>
  </si>
  <si>
    <t>FREGADERO STONE 60 B-TG 1½B 1D 3½ W/OVF SP CARBON</t>
  </si>
  <si>
    <t>FREGADERO STONE 60 B-TG 1½C 1E  CARBON VÁLV. AUTOM. ACC</t>
  </si>
  <si>
    <t>FREGADERO STONE 80 B-TG 2B 1D 3½ W/OVF SP CARBON</t>
  </si>
  <si>
    <t>VALVULA CUSTOMIZATION SET PERFECTFLOW PVD BRASS</t>
  </si>
  <si>
    <t>VALVULA CUSTOMIZATION SET PERFECTFLOW PVD TITANIUM</t>
  </si>
  <si>
    <t>VALVULA CUSTOMIZATION SET PERFECTFLOW PVD COPPER</t>
  </si>
  <si>
    <t>TRITURADOR TRS 520</t>
  </si>
  <si>
    <t>OVAL 938 BLACK PULL OUT - GRIFO COCINA</t>
  </si>
  <si>
    <t>GRIFO IN 915 MN FREGADERO ECO - GRIFO COCINA</t>
  </si>
  <si>
    <t>BAHIA 1C PLUS  V. AUTO+JB+TB+CL (12127002) FREGADERO</t>
  </si>
  <si>
    <t>BAHIA 1C PLUS (jabonera+colador) FREGADERO</t>
  </si>
  <si>
    <t>PREMIUM 1C 1E REV 2O V.AUTOM+TABLA FREGADERO</t>
  </si>
  <si>
    <t>PREMIUM 1½C 1E,  V.AUTOM+TABLA FREGADERO</t>
  </si>
  <si>
    <t>PREMIUM 2C 1E REV 20 V.AUTOM+TABLA FREGADERO</t>
  </si>
  <si>
    <t>PREMIUM MAX 1C 20V FREGADERO</t>
  </si>
  <si>
    <t>LUX 1C 1E REV FREGADERO</t>
  </si>
  <si>
    <t>FREG. EXPRESSION LUX 2C 86 2Ø V.AUTO FREGADERO</t>
  </si>
  <si>
    <t>ZENIT R15 1C 1E I 78  2Ø V.AUTM. FREGADERO</t>
  </si>
  <si>
    <t>ZENIT R15 1C V.AUTM.+JB+TB+CL FREGADERO</t>
  </si>
  <si>
    <t>ZENIT R15 1C 1E D 78 3Ø V.AUTM.+JB+TB FREGADERO</t>
  </si>
  <si>
    <t>ZENIT R15 1C 1E I 78  3Ø V.AUTM.+JB+TB FREGADERO</t>
  </si>
  <si>
    <t>ZENIT R15 1C 1E DER V.AUTM.+JB+TB+CL FREGADERO</t>
  </si>
  <si>
    <t>ZENIT R15 1C 1E IZQ V.AUTM.+JB+TB+CL FREGADERO</t>
  </si>
  <si>
    <t>ZENIT R15 2C 86 V.AUTM.+JB+TB+CL FREGADERO</t>
  </si>
  <si>
    <t>ZENIT R15 1½C 1E DER V.AUTM.+JB+TB+CL FREGADERO</t>
  </si>
  <si>
    <t>ZENIT R15 1½C 1E IZQ V.AUTM.+JB+TB+CL FREGADERO</t>
  </si>
  <si>
    <t>ZENIT R15 2C 1E DER V.AUTM.+JB+TB+CL FREGADERO</t>
  </si>
  <si>
    <t>ZENIT R15 2C 1E IZQ V.AUTM.+JB+TB+CL FREGADERO</t>
  </si>
  <si>
    <t>MG CROMO GRIFO</t>
  </si>
  <si>
    <t>MG CROMO FREG TUBULAR - GRIFO</t>
  </si>
  <si>
    <t>18160TE10</t>
  </si>
  <si>
    <t>MY 1 CROMO EXTRAIBLE - GRIFO COCINA (18161002)</t>
  </si>
  <si>
    <t>18160TE10-H</t>
  </si>
  <si>
    <t>MY 1 CROMO EXTRAIBLE - GRIFO COCINA</t>
  </si>
  <si>
    <t>GRIFO MY 174 - GRIFO COCINA</t>
  </si>
  <si>
    <t>GRIFO OS 201 - GRIFO COCINA</t>
  </si>
  <si>
    <t>MY 202 EXTRAIBLE GRIFO</t>
  </si>
  <si>
    <t>MY 202 EXTRAIBLE - GRIFO COCINA</t>
  </si>
  <si>
    <t>18202TE10</t>
  </si>
  <si>
    <t>23938TE10</t>
  </si>
  <si>
    <t>ARK 938 EXTRAIBLE - GRIFO COCINA</t>
  </si>
  <si>
    <t>23938TE10-H</t>
  </si>
  <si>
    <t>23998TE10</t>
  </si>
  <si>
    <t>ARK 998 - GRIFO COCINA</t>
  </si>
  <si>
    <t>23998TE10-H</t>
  </si>
  <si>
    <t>ARK 999 EXTRAIBLE - GRIFO COCINA</t>
  </si>
  <si>
    <t>23999TE10</t>
  </si>
  <si>
    <t>23999TE10-H</t>
  </si>
  <si>
    <t>VITA GRIFO BAÑO-DUCHA MURAL</t>
  </si>
  <si>
    <t>VITA GRIFO DUCHA MURAL</t>
  </si>
  <si>
    <t>24241TE00</t>
  </si>
  <si>
    <t>VITA DUCHA MONOMANDO EMPOTRABLE</t>
  </si>
  <si>
    <t>VITA GRIFO LAVABO</t>
  </si>
  <si>
    <t>24386TE10</t>
  </si>
  <si>
    <t>VITA GRIFO CASCADA - LAVABO</t>
  </si>
  <si>
    <t>VITA GRIFO Y MANETA MURAL</t>
  </si>
  <si>
    <t>VITA GRIFO BIDÉ</t>
  </si>
  <si>
    <t>VITA - GRIFO COCINA</t>
  </si>
  <si>
    <t>24915TE10</t>
  </si>
  <si>
    <t>24915TE10-H</t>
  </si>
  <si>
    <t>WOK INDUCCION EWI 457.1 M</t>
  </si>
  <si>
    <t>WOK VITRO A GAS</t>
  </si>
  <si>
    <t>PASTILLAS FINISH POWERBALL ALL IN 1 (13 UNIDS.)</t>
  </si>
  <si>
    <t>HORNO ELECTR EB 6800</t>
  </si>
  <si>
    <t>SOPORTE</t>
  </si>
  <si>
    <t>TIRADOR 60</t>
  </si>
  <si>
    <t>TIRADOR 90 CM</t>
  </si>
  <si>
    <t>SARTEN WOK</t>
  </si>
  <si>
    <t>IC 915 - GRIFO COCINA</t>
  </si>
  <si>
    <t>33915TE10</t>
  </si>
  <si>
    <t>33915TE10-H</t>
  </si>
  <si>
    <t>33915TE1N</t>
  </si>
  <si>
    <t>IC 915 - GRIFO COCINA NEGRO</t>
  </si>
  <si>
    <t>33915TE1N-H</t>
  </si>
  <si>
    <t>33915TE1W</t>
  </si>
  <si>
    <t>IC 915 - GRIFO COCINA BLANCO</t>
  </si>
  <si>
    <t>ELAN CROMO MONOMANDO - GRIFO COCINA</t>
  </si>
  <si>
    <t>35915TE10</t>
  </si>
  <si>
    <t>35915TE10-H</t>
  </si>
  <si>
    <t>MW CROMO EXTRAIBLE - GRIFO COCINA</t>
  </si>
  <si>
    <t>35931809NS</t>
  </si>
  <si>
    <t>MW INOX EXTRAIBLE GRIFO</t>
  </si>
  <si>
    <t>35938TE10</t>
  </si>
  <si>
    <t>MW CROMO - GRIFO COCINA</t>
  </si>
  <si>
    <t>35938TE10-H</t>
  </si>
  <si>
    <t>MX CROMO EXTRAIBLE GRIFO</t>
  </si>
  <si>
    <t>35971802NS</t>
  </si>
  <si>
    <t>MX INOX EXTRAIBLE GRIFO</t>
  </si>
  <si>
    <t>37042IM</t>
  </si>
  <si>
    <t>LASER - GRIFO</t>
  </si>
  <si>
    <t>MZ CROMO MONOMANDO - GRIFO COCINA</t>
  </si>
  <si>
    <t>38911502-H</t>
  </si>
  <si>
    <t>MZ 915 CROMO MONOMANDO - GRIFO COCINA</t>
  </si>
  <si>
    <t>38911502NS</t>
  </si>
  <si>
    <t>MZ INOX MONOMANDO - GRIFO COCINA</t>
  </si>
  <si>
    <t>GRIFO MZ 914 - GRIFO COCINA</t>
  </si>
  <si>
    <t>PRO COMPACT EXTRAIBLE MONOM - GRIFO COCINA</t>
  </si>
  <si>
    <t>38934TE10</t>
  </si>
  <si>
    <t>MQ FLEXIBLE - GRIFO COCINA</t>
  </si>
  <si>
    <t>MZX EXT - GRIFO COCINA</t>
  </si>
  <si>
    <t>80.50 1C 1E DER FREGADERO (NC:40136567)</t>
  </si>
  <si>
    <t>80.50 1C 1E IZQ FREGADERO (NC:40136566)</t>
  </si>
  <si>
    <t>100.50 1C 1E DER FREGADERO (NC:40136616)</t>
  </si>
  <si>
    <t>100.50 1C 1E IZQ FREGADERO (NC:40136614)</t>
  </si>
  <si>
    <t>800.510 1C 1E DER FREGADERO</t>
  </si>
  <si>
    <t>800.510 1C 1E IZQ FREGADERO</t>
  </si>
  <si>
    <t>BE LINEA 40.40 FREGADERO (NC: 40125240)</t>
  </si>
  <si>
    <t>BE LINEA 72.40 FREGADERO</t>
  </si>
  <si>
    <t>BE LINEA 55.40 FREGADERO</t>
  </si>
  <si>
    <t>BE LINEA 40.40 FREGADERO (40125212)</t>
  </si>
  <si>
    <t>BE LINEA 34.40 FREGADERO</t>
  </si>
  <si>
    <t>BE LINEA R10 72.40 FREGADERO</t>
  </si>
  <si>
    <t>1515 1C FREGADERO</t>
  </si>
  <si>
    <t>ESQUINERO FREGADERO</t>
  </si>
  <si>
    <t>BATEA FREGADERO</t>
  </si>
  <si>
    <t>508.533 (20.21) 1C FREGADERO</t>
  </si>
  <si>
    <t>635.560 (25.22) 1C FREGADERO</t>
  </si>
  <si>
    <t>950.510 1C 1E DER. FREGADERO</t>
  </si>
  <si>
    <t>950.510 1C 1E IZQ. FREGADERO</t>
  </si>
  <si>
    <t>DM (33.22) 1C FREGADERO</t>
  </si>
  <si>
    <t>80.50 1C 1E IZQ FREGADERO (40101068)</t>
  </si>
  <si>
    <t>80.50 1C 1E DER FREGADERO (40101067)</t>
  </si>
  <si>
    <t>100.50 1C 1E IZQ FREGADERO (40101103)</t>
  </si>
  <si>
    <t>100.50 1C 1E DER FREGADERO (40101102)</t>
  </si>
  <si>
    <t>TEKAWAY FREG. 800.510 1C 1E DER + GRIFO ML</t>
  </si>
  <si>
    <t>TEKAWAY FREG. 800.510 1C 1E IZQ + GRIFO ML</t>
  </si>
  <si>
    <t>CUADRO 1 1/2C 1E FREGADERO</t>
  </si>
  <si>
    <t>FREGADERO LUGO 45 B-TG 1C 1E CARBON POP UP</t>
  </si>
  <si>
    <t>FREGADERO LUGO 45 B-TG 1C 1E BLANCO POP UP</t>
  </si>
  <si>
    <t>FREGADERO LUGO 80 B-TG 1 1/2C 1E CARBON POP UP</t>
  </si>
  <si>
    <t>FREGADERO LUGO 80 B-TG 1 1/2C 1E WHITE POP UP</t>
  </si>
  <si>
    <t>FREGADERO LUGO 90 B-TG 2C CARBON POP UP</t>
  </si>
  <si>
    <t>FREGADERO LUGO 90 B-TG 2C WHITE POP UP</t>
  </si>
  <si>
    <t>FREGADERO UNIVERSO 60 GT WHITE</t>
  </si>
  <si>
    <t>FREGADERO UNIVERSO 2C 1E GT VOLCANO BLACK METAL</t>
  </si>
  <si>
    <t>FREGADERO UNIVERSO 80 GT 2C 1E V. AUTO WHITE</t>
  </si>
  <si>
    <t>FREGADERO AURA 45 B-TG SCHWARZMETAL POP UP + GLASS CHOP</t>
  </si>
  <si>
    <t>FREGADERO RADEA 500.400 1C TG NEGRO METALIZADO</t>
  </si>
  <si>
    <t>FREGADERO RADEA 500.400 1C TG BLANCO</t>
  </si>
  <si>
    <t>FREGADERO RADEA 500.400 1C TG CARBON</t>
  </si>
  <si>
    <t>BAHIA 1C INOX FREGADERO</t>
  </si>
  <si>
    <t>FRAME 1C 1E IZQ FREGADERO</t>
  </si>
  <si>
    <t>FRAME 1C 1E DER FREGADERO</t>
  </si>
  <si>
    <t>FRAME 1½C ½E PLUS IZQ FREGADERO</t>
  </si>
  <si>
    <t>FRAME 1½C ½E PLUS DER FREGADERO</t>
  </si>
  <si>
    <t>TR 510.1 TRITURADOR</t>
  </si>
  <si>
    <t>TR 710.1 TRITURADOR</t>
  </si>
  <si>
    <t>CESTA CUADRADA</t>
  </si>
  <si>
    <t>CESTA REDONDA</t>
  </si>
  <si>
    <t>CESTA UNIVERSO</t>
  </si>
  <si>
    <t>KIT TABLA DE MADERA+COLADOR INOX CUBETA 34.4</t>
  </si>
  <si>
    <t>TABLA DE CORTE BAMBU</t>
  </si>
  <si>
    <t>SET DE COCCION FREGADEROS ZENIT R15</t>
  </si>
  <si>
    <t>DISPENSADOR DE JABON CUADRADO</t>
  </si>
  <si>
    <t>DISPENSADOR DE JABON CROMO (NC:40199310)</t>
  </si>
  <si>
    <t>VT TC 2P COCINA MOD VITRO TOUCH CONTROL</t>
  </si>
  <si>
    <t>VT TC 1G COCINA MOD VITRO TOUCH CONTROL</t>
  </si>
  <si>
    <t>KIT UNION MODULOS EM/30, VM/30, EM/60</t>
  </si>
  <si>
    <t>IR 950 COCINA INDUCCION + J.9 PZ OLLAS</t>
  </si>
  <si>
    <t>40205450M</t>
  </si>
  <si>
    <t>MIR 6030 COCINA INDUCCION</t>
  </si>
  <si>
    <t>IR 95 DX COCINA INDUCCION</t>
  </si>
  <si>
    <t>TR 940 AB COCINA VITRO</t>
  </si>
  <si>
    <t>TR 950 COCINA VITRO</t>
  </si>
  <si>
    <t>VR TC 95 COCINA VITRO TOUCH CONTROL</t>
  </si>
  <si>
    <t>TR 840 VITRO TOUCH CONTROL (10210005)</t>
  </si>
  <si>
    <t>E/60.3 4G AI COCINA INOX (10206062)</t>
  </si>
  <si>
    <t>EFX 60.1 4G AI AL DR CI COCINA INOX (40214311)</t>
  </si>
  <si>
    <t>EFX 70.1 5G AI AL DR CI COCINA INOX</t>
  </si>
  <si>
    <t>EFX 90.1 5G AI AL DR COCINA INOX (40214805)</t>
  </si>
  <si>
    <t>EFX 90.1 6G AI AL DR CI COCINA INOX</t>
  </si>
  <si>
    <t>EX 60.1 4G AI AL CI COCINA INOX</t>
  </si>
  <si>
    <t>EX 60.1 4G AI DR CI COCINA INOX</t>
  </si>
  <si>
    <t>EX 70.1 5G AI DR CI COCINA INOX</t>
  </si>
  <si>
    <t>EX 90.1 5G AI AL DR CI COCINA INOX</t>
  </si>
  <si>
    <t>EX 90.1 5G AI DR LEFT CI COCINA INOX</t>
  </si>
  <si>
    <t>EX 90.1 6G AI DR CI COCINA INOX</t>
  </si>
  <si>
    <t>IG 620 1G AI AL DR COCINA MIXTA GAS - INDUCCION (NC:112570123)</t>
  </si>
  <si>
    <t>IG 620 2G AI AL COCINA MIXTA GAS - INDUCCION (NC:112570124)</t>
  </si>
  <si>
    <t>IG 940 1G AI AL DR CI COCINA MIXTA GAS - INDUCCION (NC:112570125)</t>
  </si>
  <si>
    <t>IG 940 2G AI AL COCINA MIXTA GAS - INDUCCION (NC:112570126)</t>
  </si>
  <si>
    <t>EFX 60 4G AI AL DR CI COCINA INOX (NC: 40211352)</t>
  </si>
  <si>
    <t>EFX 70 5G AI AL DR CI COCINA INOX</t>
  </si>
  <si>
    <t>EFX 90 5G AI AL DR COCINA INOX (NC:40211632)</t>
  </si>
  <si>
    <t>EFX 90 4G 1H AI AL DR COCINA INOX</t>
  </si>
  <si>
    <t>EFX 90 6G AI AL DR CI COCINA INOX</t>
  </si>
  <si>
    <t>CGW LUX 70 4G AI AL CI</t>
  </si>
  <si>
    <t>CGW LUX 90 5G AI AL DR CI (NC:112570068)</t>
  </si>
  <si>
    <t>CGW LUX 70 5G AI AL CI - COCINA GAS</t>
  </si>
  <si>
    <t>CGW LUX 70 5G AI AL TR CI (NC: 112570093)</t>
  </si>
  <si>
    <t>CGW LUX 30.1 1G AI AL DR CI CRISTAL C</t>
  </si>
  <si>
    <t>CGW LUX 30.1 2G AI AL CI</t>
  </si>
  <si>
    <t>CGW LUX 60 4G AI AL CI (NC:112570041)</t>
  </si>
  <si>
    <t>CGW LUX 90 TC 5G AI AL DR CI</t>
  </si>
  <si>
    <t>EW 60 4G AI AL COCINA INOX</t>
  </si>
  <si>
    <t>EW60 4G AI AL CI BUT COCINA INOX</t>
  </si>
  <si>
    <t>EW 90 5G AI AL TR COCINA INOX</t>
  </si>
  <si>
    <t>E/70 5G AI TR COCINA INOX</t>
  </si>
  <si>
    <t>E/70 5G AI TR INOX COCINA</t>
  </si>
  <si>
    <t>EF/60 4G AI COCINA INOX</t>
  </si>
  <si>
    <t>EF/90 5G AI TR COCINA INOX</t>
  </si>
  <si>
    <t>EF/90 5G AI PC COCINA INOX</t>
  </si>
  <si>
    <t>EX/60 4G AI COCINA INOX</t>
  </si>
  <si>
    <t>EX/70 5G AI TR COCINA INOX</t>
  </si>
  <si>
    <t>EX/70 5G AI FUND COCINA INOX</t>
  </si>
  <si>
    <t>EX/90 5G AI TR COCINA INOX</t>
  </si>
  <si>
    <t>EX/90 5G AI PC FUND COCINA INOX</t>
  </si>
  <si>
    <t>CZ TOUCH 90 5G AI AL TR COCINA CRIS</t>
  </si>
  <si>
    <t>COCINA VT.2 2G AI AL CI BUT</t>
  </si>
  <si>
    <t>TB 6415 COCINA VITRO TOUCH CONTROL</t>
  </si>
  <si>
    <t>TEPPAN YAKI TPI 380</t>
  </si>
  <si>
    <t>EP 60 4G AI CI COCINA INOX</t>
  </si>
  <si>
    <t>COCINA A GAS FS3RS966GGX</t>
  </si>
  <si>
    <t>COCINA A GAS FS3RL966GGX</t>
  </si>
  <si>
    <t>FS29615IE COC. INDUC./H. ELCT. 90x 60</t>
  </si>
  <si>
    <t>FS6614IE COC. IND./H. ELECT. 60X60 + J.9 PZ OLLAS</t>
  </si>
  <si>
    <t>COCINA A GAS FS 2R 965G X</t>
  </si>
  <si>
    <t>TUB 60 BLANCA</t>
  </si>
  <si>
    <t>TUB 60  NEGRA</t>
  </si>
  <si>
    <t>TUB 60 INOX CAMPANA (110V-60HZ) C/KIT</t>
  </si>
  <si>
    <t>DSS 980 INOX CAMPANA (110V-60HZ) C/KIT</t>
  </si>
  <si>
    <t>DLV 980 QUADRO CAMPANA (110V-60HZ) C/KIT</t>
  </si>
  <si>
    <t>GFH 55 INOX CAMPANA (110V-60HZ) C/KIT</t>
  </si>
  <si>
    <t>GFH 73 INOX CAMPANA (110V-60HZ) C/KIT</t>
  </si>
  <si>
    <t>40446712E</t>
  </si>
  <si>
    <t>NC 90 CRISTAL AHUMADO</t>
  </si>
  <si>
    <t>NC 2 90 CRISTAL AHUMADO (NC:40455335)</t>
  </si>
  <si>
    <t>NC 980 CRISTAL CAMPANA (110V-60HZ) C/KIT</t>
  </si>
  <si>
    <t>NC 980 FUME 110V/KIT NC:40455334</t>
  </si>
  <si>
    <t>DB 70 INOX CAMPANA</t>
  </si>
  <si>
    <t>DBB 60 INOX CAMPANA (110V-60HZ) C/KIT</t>
  </si>
  <si>
    <t>DBB 70 INOX CAMPANA (110V-60HZ) C/KIT</t>
  </si>
  <si>
    <t>DBB 90 INOX CAMPANA (110V-60HZ) C/KIT</t>
  </si>
  <si>
    <t>C 610 INOXIDABLE</t>
  </si>
  <si>
    <t>C 610 BLANCA CAMPANA (110V-60HZ) C/KIT</t>
  </si>
  <si>
    <t>C 610 NEGRA CAMPANA (110V-60HZ) C/KIT</t>
  </si>
  <si>
    <t>C 6310 INOX CAMPANA (110V-60HZ) C/KIT</t>
  </si>
  <si>
    <t>C 910 INOX CAMPANA (110V-60HZ) C/KIT</t>
  </si>
  <si>
    <t>C 910 BLANCA CAMPANA (110V-60HZ) C/KIT</t>
  </si>
  <si>
    <t>C 910 NEGRA CAMPANA (110V-60HZ) C/KIT</t>
  </si>
  <si>
    <t>C 9310 INOX CAMPANA (110V-60HZ) C/KIT</t>
  </si>
  <si>
    <t>C-9613 PRO INOX CAMPANA</t>
  </si>
  <si>
    <t>C 710 INOX CAMPANA (110V-60HZ) C/KIT</t>
  </si>
  <si>
    <t>C 710 BLANCA CAMPANA (110V-60HZ) C/KIT</t>
  </si>
  <si>
    <t>C 710 NEGRA CAMPANA (110V-60HZ) C/KIT</t>
  </si>
  <si>
    <t>C 7310 INOX CAMPANA (110V-60HZ) C/KIT</t>
  </si>
  <si>
    <t>ND ALADA ISLA CUERPO - DESCONTINUADO</t>
  </si>
  <si>
    <t>CUERPO ND ALADA INOXIDABLE</t>
  </si>
  <si>
    <t>ALADA ND 90 CRISTAL AHUMADO COMPLEMENTO</t>
  </si>
  <si>
    <t>ALADA ISLA CRISTAL AHUMADO COMPLEMENTO - DESCONTINUADO</t>
  </si>
  <si>
    <t>ALADA ND 90 INOXIDABLE COMPLEMENTO</t>
  </si>
  <si>
    <t>TL1 62 INOX</t>
  </si>
  <si>
    <t>CAMPANA TL 6310 INOX 110V/60Hz</t>
  </si>
  <si>
    <t>DM 70 INOXIDABLE</t>
  </si>
  <si>
    <t>DM 90 INOXIDABLE - CAMPANA</t>
  </si>
  <si>
    <t>DX 90 INOX CUERPO</t>
  </si>
  <si>
    <t>DX 90 CRISTAL AHUMADO COMPLEMENTO</t>
  </si>
  <si>
    <t>DX ISLA - CAMPANA (CUERPO)</t>
  </si>
  <si>
    <t>COMPLEMENTO CAMPANA ALA DX ISLA (CRISTAL)</t>
  </si>
  <si>
    <t>CC 40 ISLA INOX CAMPANA NC:40480321</t>
  </si>
  <si>
    <t>CC 480 ISLA INOX CAMPANA (40480301)</t>
  </si>
  <si>
    <t>DF 90 CRISTAL - CAMPANA</t>
  </si>
  <si>
    <t>DU 90 CRISTAL CAMPANA</t>
  </si>
  <si>
    <t>DU 980 CRISTAL CAMPANA (110V-60HZ) C/KIT</t>
  </si>
  <si>
    <t>DP E 90 INOX CAMPANA</t>
  </si>
  <si>
    <t>DPL 90 CAMPANA</t>
  </si>
  <si>
    <t>DPL 980  T CAMPANA (NC:112960004)</t>
  </si>
  <si>
    <t>CUERPO DPL ISLA 1180</t>
  </si>
  <si>
    <t>ESTRUCTURA DPL ISLA 1180</t>
  </si>
  <si>
    <t>DVL 90 CRISTAL CAMPANA</t>
  </si>
  <si>
    <t>DVE 90 CRISTAL CAMPANA</t>
  </si>
  <si>
    <t>DV 80 CRISTAL AHUMADO CAMPANA</t>
  </si>
  <si>
    <t>DH2 70 INOX CAMPANA (NC:40484174)</t>
  </si>
  <si>
    <t>DH2 90 INOX CAMPANA (NC: 40484175)</t>
  </si>
  <si>
    <t>DH 780 INOX CAMPANA (40484121)</t>
  </si>
  <si>
    <t>DH 980 INOX CAMPANA (40484122)</t>
  </si>
  <si>
    <t>DSH 785 INOX CAMPANA (110V-60HZ) C/KIT</t>
  </si>
  <si>
    <t>DSH 985 INOX CAMPANA (110V-60HZ) C/KIT</t>
  </si>
  <si>
    <t>DH2 ISLA CAMPANA</t>
  </si>
  <si>
    <t>ESTRUCTURA DH 2 ISLA 1280 INOX CAMPANA</t>
  </si>
  <si>
    <t>CUERPO DH 2 ISLA 1280 INOX CAMPANA</t>
  </si>
  <si>
    <t>DH 120 ISLA INOX CAMPANA  - DESCONTINUADO</t>
  </si>
  <si>
    <t>DG2 ISLA CAMPANA - DESCONTINUADO</t>
  </si>
  <si>
    <t>DG2 ISLA ESTRUCTURA - DESCONTINUADO</t>
  </si>
  <si>
    <t>DG3 90 ISLA 110 V C/KIT CAMPANA NC:40485141</t>
  </si>
  <si>
    <t>DG3 ISLA 980 110 V/KIT CAMPANA (40485134)</t>
  </si>
  <si>
    <t>DG3 70 CRISTAL CAMPANA (NC: 40485357)</t>
  </si>
  <si>
    <t>DG3 90 CRISTAL CAMPANA (NC:40485358)</t>
  </si>
  <si>
    <t>DG 780 CRISTAL CAMPANA (110V-60HZ) C/KIT</t>
  </si>
  <si>
    <t>DG 980 CRISTAL CAMPANA (110V-60HZ) C/KIT</t>
  </si>
  <si>
    <t>DLH 982 T INOX CAMPANA (110V-60HZ) C/KIT</t>
  </si>
  <si>
    <t>FG 924 INOXIDABLE</t>
  </si>
  <si>
    <t>TMW 20.2 BIS</t>
  </si>
  <si>
    <t>MW E 22 EGL</t>
  </si>
  <si>
    <t>MWS 22 EGL - MICROONDAS (NC: 40582241)</t>
  </si>
  <si>
    <t>MWS 22 EGL - MICROONDAS (40582233)</t>
  </si>
  <si>
    <t>MWL 22 EGL - MICROONDAS (NC: 40582314)</t>
  </si>
  <si>
    <t>MWL 22 EGL - MICROONDAS (40582303)</t>
  </si>
  <si>
    <t>MWL 20 BIS - MICROONDAS</t>
  </si>
  <si>
    <t>MWS 20 BIS EBON (NC: 40583810)</t>
  </si>
  <si>
    <t>MWS 20 BIS EBON - MICROONDAS (40583809)</t>
  </si>
  <si>
    <t>MS 620 BIS - MICROONDAS</t>
  </si>
  <si>
    <t>MS 622 BIS - MICROONDAS</t>
  </si>
  <si>
    <t>ML 820 BIS - MICROONDAS</t>
  </si>
  <si>
    <t>ML 822 BIS - MICROONDAS (112030008)</t>
  </si>
  <si>
    <t>ML 822 BIS - MICROONDAS BLANCO</t>
  </si>
  <si>
    <t>MLC 844 - MICROONDAS</t>
  </si>
  <si>
    <t>COMPACTO MW 32 BIS</t>
  </si>
  <si>
    <t>COMPACTO MWL 32 BIS (NC: 40586104)</t>
  </si>
  <si>
    <t>COMPACTO MWL 32 BIS (40586101)</t>
  </si>
  <si>
    <t>COMPACTO MW 32 BIT</t>
  </si>
  <si>
    <t>HLC 844 - MICROONDAS COMBI</t>
  </si>
  <si>
    <t>HKL 970 SC VAPOR (NC: 40589005)</t>
  </si>
  <si>
    <t>HKL 970 SC HORNO VAPOR (40589001)</t>
  </si>
  <si>
    <t>HLC 847 SC HORNO VAPOR COMBI</t>
  </si>
  <si>
    <t>HORNO A VAPOR COMBI HLC 847 SC 220V/60HZ</t>
  </si>
  <si>
    <t>CAFETERA INTEGRACION CML 45 INOX</t>
  </si>
  <si>
    <t>CALIENTAPLATOS CPEL-15</t>
  </si>
  <si>
    <t>CALIENTAPLATOS CP15 GS IX</t>
  </si>
  <si>
    <t>MWG 11X - MICROONDAS</t>
  </si>
  <si>
    <t>MWG 14X - MICROONDAS</t>
  </si>
  <si>
    <t>KIT EMPOTRABLE PARA COMPACTOS</t>
  </si>
  <si>
    <t>NFL 340 REFRIGERADORA</t>
  </si>
  <si>
    <t>RV 51C VINERA</t>
  </si>
  <si>
    <t>LAVAVAJILLAS DW 80 60 S INOX</t>
  </si>
  <si>
    <t>DW8 60 S INOX LAVAVAJILLAS</t>
  </si>
  <si>
    <t>DW8 60 S LAVAVAJILLAS (PUERTA INOX)</t>
  </si>
  <si>
    <t>DW8 80 FI M INOX LAVAVAJILLAS</t>
  </si>
  <si>
    <t>DW8 57 FIM PANELABLE LAVAVAJILLAS</t>
  </si>
  <si>
    <t>DW8 57 FIM-D LAVAVAJILLAS</t>
  </si>
  <si>
    <t>LP8 850 M LAVAVAJILLAS</t>
  </si>
  <si>
    <t>EMBELLECEDOR LAVADORA-SECADORA</t>
  </si>
  <si>
    <t>GRIFO MS1 CROMO - GRIFO COCINA</t>
  </si>
  <si>
    <t>MT EXTRAIBLE - GRIFO COCINA</t>
  </si>
  <si>
    <t>MS CROMO EXTRAIBLE - GRIFO COCINA</t>
  </si>
  <si>
    <t>GRIFO AQUATA EOB CHROME - GRIFO COCINA</t>
  </si>
  <si>
    <t>MONOMANDO EXT ME CROMO</t>
  </si>
  <si>
    <t>MP CROMO MONOMANDO (96911402)</t>
  </si>
  <si>
    <t>ML CROMO MONOMANDO (MT- 81911362)</t>
  </si>
  <si>
    <t>MC 10 PLUS CAÑO LARGO (979115IK)</t>
  </si>
  <si>
    <t>MX CROMO MONOM EXTR</t>
  </si>
  <si>
    <t>MG CROMO MONOMANDO(18151202)</t>
  </si>
  <si>
    <t>MONOMANDO JOY CROMO</t>
  </si>
  <si>
    <t>HS 535 INOX HORNO ELEC (NC: 41508410)</t>
  </si>
  <si>
    <t>HS 510 BLANCO HORNO ELEC</t>
  </si>
  <si>
    <t>HS 535 INOX HORNO ELEC (41508110)</t>
  </si>
  <si>
    <t>HE-535 INOX - HORNO ELEC</t>
  </si>
  <si>
    <t>HE 510 BLANCO - HORNO ELEC</t>
  </si>
  <si>
    <t>HE 635 INOX - HORNO ELEC</t>
  </si>
  <si>
    <t>HS 635 INOX HORNO ELEC (NC: 41521810)</t>
  </si>
  <si>
    <t>HS 635 INOX HORNO ELEC (41521110)</t>
  </si>
  <si>
    <t>HS 735 INOX HORNO ELEC (NC: 41523110)</t>
  </si>
  <si>
    <t>HE 735 INOX - HORNO ELEC</t>
  </si>
  <si>
    <t>HS 735 INOX HORNO ELEC (41522410)</t>
  </si>
  <si>
    <t>HA 820 INOX - HORNO ELEC</t>
  </si>
  <si>
    <t>HA 830 INOX - HORNO ELEC</t>
  </si>
  <si>
    <t>HL 840 INOX - HORNO ELEC (NC: 41553410)</t>
  </si>
  <si>
    <t>HL 840 INOX - HORNO ELEC (41552810)</t>
  </si>
  <si>
    <t>HL 890 INOX HORNO ELEC (NC: 41588410)</t>
  </si>
  <si>
    <t>HBB 510 BLANCO HORNO ELEC</t>
  </si>
  <si>
    <t>HBB 535 INOX HORNO ELEC</t>
  </si>
  <si>
    <t>HLB 830 INOX HORNO ELEC</t>
  </si>
  <si>
    <t>HLB 840 BLANCO HORNO ELEC</t>
  </si>
  <si>
    <t>HLB 860 INOX HORNO ELEC</t>
  </si>
  <si>
    <t>HSB 615 INOX HORNO ELEC</t>
  </si>
  <si>
    <t>HSB 635 INOX HORNO ELEC (41521810)</t>
  </si>
  <si>
    <t>HSB 645 INOX HORNO ELEC (41523110)</t>
  </si>
  <si>
    <t>IOVEN HORNO ELEC.</t>
  </si>
  <si>
    <t>HLB 860 P INOX HORNO ELEC</t>
  </si>
  <si>
    <t>HL 830 INOX - HORNO ELEC (NC: 41575510)</t>
  </si>
  <si>
    <t>HL 830 INOX - HORNO ELEC (41575310)</t>
  </si>
  <si>
    <t>HL 870 INOX - HORNO ELEC NC:41580110</t>
  </si>
  <si>
    <t>HA 860 INOX - HORNO ELEC</t>
  </si>
  <si>
    <t>HL 870 INOX - HORNO ELEC (41579810)</t>
  </si>
  <si>
    <t>HL 890 INOX HORNO ELEC (41558710)</t>
  </si>
  <si>
    <t>HA 935 INOX - HORNO ELEC</t>
  </si>
  <si>
    <t>HL 940 INOX - HORNO ELEC NC:41592216</t>
  </si>
  <si>
    <t>HL 940 INOX - HORNO ELEC (41592210)</t>
  </si>
  <si>
    <t>HLF 940 INOX HORNO ELEC</t>
  </si>
  <si>
    <t>HML 840 INOX - HORNO ELEC</t>
  </si>
  <si>
    <t>HLF 840 INOX HORNO ELEC</t>
  </si>
  <si>
    <t>DHA 888 I DOBLE - HORNO ELEC</t>
  </si>
  <si>
    <t>DHA 888 - HORNO DOBLE ELEC</t>
  </si>
  <si>
    <t>HDL 888 I - HORNO ELEC (NC:41593010)</t>
  </si>
  <si>
    <t>HDL 888 I - HORNO ELEC (41593007)</t>
  </si>
  <si>
    <t>HLD 890 HORNO ELEC</t>
  </si>
  <si>
    <t>ADVAND COMBO 45.15 INOX (NC: 41595022)</t>
  </si>
  <si>
    <t>ADVAND COMBO 45.15 ELEC (41595020)</t>
  </si>
  <si>
    <t>HLD 45.15 HORNO ELEC</t>
  </si>
  <si>
    <t>HORNO HGL 824 I 127 50/60 LPG</t>
  </si>
  <si>
    <t>HLF 824 G SS HORNO A GAS</t>
  </si>
  <si>
    <t>HLF 924 G SS HORNO A GAS</t>
  </si>
  <si>
    <t>HORNO HGS 750 I 127 50/60 LPG</t>
  </si>
  <si>
    <t>HORNO HGS 750 R 127 50/60 LPG</t>
  </si>
  <si>
    <t>FGA 820 HORNO GAS</t>
  </si>
  <si>
    <t>CAFETERA CM 45 INOX</t>
  </si>
  <si>
    <t>CAFETERA INTEGRACION CLC 855 GM INOX</t>
  </si>
  <si>
    <t>PIEDRA VOLCANICA COMBO</t>
  </si>
  <si>
    <t>KIT MULTICOOK TEKA</t>
  </si>
  <si>
    <t>MT PLUS GRIFO BAÑO-DUCHA MURAL</t>
  </si>
  <si>
    <t>MT PLUS GRIFO DUCHA MURAL</t>
  </si>
  <si>
    <t>46241TE00</t>
  </si>
  <si>
    <t>MT PLUS DUCHA MONOMANDO EMPOTRABLE</t>
  </si>
  <si>
    <t>MT PLUS GRIFO LAVABO CON DESAGUE</t>
  </si>
  <si>
    <t>MT PLUS GRIFO LAVABO</t>
  </si>
  <si>
    <t>GRIFO MTP 978  - GRIFO COCINA</t>
  </si>
  <si>
    <t>SET BATERIA INDUCCION (9 P)</t>
  </si>
  <si>
    <t>49004840a</t>
  </si>
  <si>
    <t>SET BATERIA INDUCCION (9 P) kit</t>
  </si>
  <si>
    <t>49004840E</t>
  </si>
  <si>
    <t>SET BATERIA INDUCCION (9 P) Exterior</t>
  </si>
  <si>
    <t>OLLA PROFESIONAL 25.4 L GRANDHOTEL 32CM</t>
  </si>
  <si>
    <t>OLLA PRESION OPEN CONTROL 8L 24cm</t>
  </si>
  <si>
    <t>49004850a</t>
  </si>
  <si>
    <t>OLLA PRESION OPEN CONTROL 8L 24cm Kit</t>
  </si>
  <si>
    <t>OLLA PRESION OPEN CONTROL 4,5L 22cm</t>
  </si>
  <si>
    <t>OLLA PRESION OPEN CONTROL 6L 22cm</t>
  </si>
  <si>
    <t>SARTEN CONICA ANTIADHERENTE 20cm</t>
  </si>
  <si>
    <t>SARTEN CONICA ANTIADHERENTE 22cm</t>
  </si>
  <si>
    <t>SARTEN CONICA ANTIADHERENTE 24cm</t>
  </si>
  <si>
    <t>SARTEN CONICA ANTIADHERENTE 26cm</t>
  </si>
  <si>
    <t>SARTEN CONICA ANTIADHERENTE 28cm</t>
  </si>
  <si>
    <t>SARTEN CONICA 20cm</t>
  </si>
  <si>
    <t>SARTEN CONICA 22cm</t>
  </si>
  <si>
    <t>SARTEN CONICA 24cm</t>
  </si>
  <si>
    <t>SARTEN CONICA 26cm</t>
  </si>
  <si>
    <t>SARTEN CONICA 28cm</t>
  </si>
  <si>
    <t>GRILL CUADRADO ANTIADHERENTE 27x27cm</t>
  </si>
  <si>
    <t>50342020Z</t>
  </si>
  <si>
    <t>AURA MOONLITE AZUL</t>
  </si>
  <si>
    <t>AURA MOONLITE VERDE</t>
  </si>
  <si>
    <t>50342021R</t>
  </si>
  <si>
    <t>AURA MOONLITE ROJO</t>
  </si>
  <si>
    <t>50342021Z</t>
  </si>
  <si>
    <t>FRAME - GRIFO COCINA</t>
  </si>
  <si>
    <t>50915TE10</t>
  </si>
  <si>
    <t>50915TE10-H</t>
  </si>
  <si>
    <t>INCA GRIFO BAÑO-DUCHA MURAL</t>
  </si>
  <si>
    <t>INCA GRIFO BAÑO-DUCHA EMPOTRAR</t>
  </si>
  <si>
    <t>INCA GRIFO DUCHA MURAL</t>
  </si>
  <si>
    <t>INCA GRIFO DUCHA EMPOTRAR</t>
  </si>
  <si>
    <t>INCA GRIFO LAVABO</t>
  </si>
  <si>
    <t>IN 912 - GRIFO COCINA</t>
  </si>
  <si>
    <t>IN 915 - GRIFO COCINA DIY</t>
  </si>
  <si>
    <t>53915620N</t>
  </si>
  <si>
    <t>IN 915 FULL BLACK - GRIFO COCINA</t>
  </si>
  <si>
    <t>IN 939 - GRIFO COCINA DIY</t>
  </si>
  <si>
    <t>IN 995 - GRIFO COCINA</t>
  </si>
  <si>
    <t>IN 994 - GRIFO COCINA</t>
  </si>
  <si>
    <t>53995TE1FA</t>
  </si>
  <si>
    <t>INCA FASHION NARANJA - GRIFO COCINA</t>
  </si>
  <si>
    <t>53995TE1FB</t>
  </si>
  <si>
    <t>INCA FASHION AZUL - GRIFO COCINA</t>
  </si>
  <si>
    <t>53995TE1FM</t>
  </si>
  <si>
    <t>INCA FASHION GRIS - GRIFO COCINA</t>
  </si>
  <si>
    <t>53995TE1FM-H</t>
  </si>
  <si>
    <t>53995TE1FN</t>
  </si>
  <si>
    <t>INCA FASHION NEGRO - GRIFO COCINA</t>
  </si>
  <si>
    <t>53995TE1FN-H</t>
  </si>
  <si>
    <t>53995TE1FP</t>
  </si>
  <si>
    <t>INCA FASHION ROSA - GRIFO COCINA</t>
  </si>
  <si>
    <t>53995TE1FW</t>
  </si>
  <si>
    <t>INCA FASHION BLANCO - GRIFO COCINA</t>
  </si>
  <si>
    <t>53995TE1FY</t>
  </si>
  <si>
    <t>INCA FASHION AMARILLO - GRIFO COCINA</t>
  </si>
  <si>
    <t>ALAIOR GRIFO BAÑO-DUCHA MURAL</t>
  </si>
  <si>
    <t>ALAIOR GRIFO DUCHA MURAL</t>
  </si>
  <si>
    <t>55241TE00</t>
  </si>
  <si>
    <t>ALAIOR DUCHA MONOMANDO EMPOTRABLE</t>
  </si>
  <si>
    <t>ALAIOR GRIFO LAVABO</t>
  </si>
  <si>
    <t>ALAIOR GRIFO LAVABO ALTO</t>
  </si>
  <si>
    <t>SP 995 - GRIFO COCINA</t>
  </si>
  <si>
    <t>CONJ.INDUC.Ø180 OVAL TKG2LcN1/N2=300/300 Ls=420mm</t>
  </si>
  <si>
    <t>CONJUNTO TOUCH CONTROL AKO ARTEMIS II SLIDER 3i C/T</t>
  </si>
  <si>
    <t>CONJUNTO TOUCH CONTROL AKO G0 4i C/T</t>
  </si>
  <si>
    <t>VALVULA TEKA C/REBOSADER  CLASICO</t>
  </si>
  <si>
    <t>VALVULA CESTILLA.C -REB INOX</t>
  </si>
  <si>
    <t>CONJUNTO SIFON 2½C B (2 CODOS+1ALARG+2T)</t>
  </si>
  <si>
    <t>CONJUNTO SIFON 1C</t>
  </si>
  <si>
    <t>CONJUNTO SIFON 2C</t>
  </si>
  <si>
    <t>VALVULA CEST.INOX 18.10 C/R TK2003 L=230</t>
  </si>
  <si>
    <t>VALVULA CESTILLA AMARILLA</t>
  </si>
  <si>
    <t>CONJUNTO VALVULA CESTILLA 1C C/REB SIFON</t>
  </si>
  <si>
    <t>CONJUNTO VALVULA AUTOMATICA 2C S/R</t>
  </si>
  <si>
    <t>CONJ. VALVULA AUTOMATICA 1 1/2 C/S/R SIFON MANDO</t>
  </si>
  <si>
    <t>CONJ.VALVULA AUTOMAT. 1C C/R SF M.METAL(LCABLE=70)</t>
  </si>
  <si>
    <t>CONUNTO VALVULA CESTILLA CON REB STENA</t>
  </si>
  <si>
    <t>CONJ. VALVULA 1½" C/REB (REF.02179)</t>
  </si>
  <si>
    <t>VALVULA CESTILLA BLANCA*99191012</t>
  </si>
  <si>
    <t>VALV. CESTILLA T de F</t>
  </si>
  <si>
    <t>VALVULA CESTILLA AUTO 1C C/REB RECTANGULAR</t>
  </si>
  <si>
    <t>VALVULA CESTILLA C/REB RECTANGULAR</t>
  </si>
  <si>
    <t>VALVULA CESTILLA AUTO 61001269</t>
  </si>
  <si>
    <t>VALVULA TEKA 1½" C/REBOSADERO RED (61001320)</t>
  </si>
  <si>
    <t>VALVULA 1½" S/REBOSADERO INOX</t>
  </si>
  <si>
    <t>VALVULA CESTILLA C/REBOSADERO INOX</t>
  </si>
  <si>
    <t>VALVULA CESTILLA</t>
  </si>
  <si>
    <t>CONJUNTO VALVULAS CESTILLA C/S/REB INOX</t>
  </si>
  <si>
    <t>VALVULA TEKA  C/REBOSADERO RED (NC: 61001300)</t>
  </si>
  <si>
    <t>FILTRO CARBON TUB 60/C 761/C901/GF1/CNL1</t>
  </si>
  <si>
    <t>FILTRO CARBON ACTIVO CIRCULAR S2001</t>
  </si>
  <si>
    <t>FILTRO CAMPANA CONVENCIONAL C2R</t>
  </si>
  <si>
    <t>CAJA EMBALAJE C-700</t>
  </si>
  <si>
    <t>MM. FORMENTERA DUCHA EMPOTRABLE</t>
  </si>
  <si>
    <t>62241TE00</t>
  </si>
  <si>
    <t>FORMENTERA DUCHA EMPOTR TK</t>
  </si>
  <si>
    <t>62241TE10</t>
  </si>
  <si>
    <t>FORMENTERA DUHA EMPOTRAR - Grifo Baño</t>
  </si>
  <si>
    <t>62346TE10</t>
  </si>
  <si>
    <t>FORMENTERA GRIFO LAVABO - Grifo Baño</t>
  </si>
  <si>
    <t>62386TE10</t>
  </si>
  <si>
    <t>FORMENTERA GRIFO LAVABO CASCADA - Grifo Baño</t>
  </si>
  <si>
    <t>62626TE10</t>
  </si>
  <si>
    <t>FORMENTERA GRIFO BIDET - Grifo Baño</t>
  </si>
  <si>
    <t>FO 915 - GRIFO COCINA</t>
  </si>
  <si>
    <t>62915TE10</t>
  </si>
  <si>
    <t>62915TE10-H</t>
  </si>
  <si>
    <t>62915TE1N</t>
  </si>
  <si>
    <t>FO 915 - GRIFO COCINA NEGRO</t>
  </si>
  <si>
    <t>62915TE1N-H</t>
  </si>
  <si>
    <t>62915TE1W</t>
  </si>
  <si>
    <t>FO 915 - GRIFO COCINA BLANCO</t>
  </si>
  <si>
    <t>629990200-H</t>
  </si>
  <si>
    <t>FO 999 - GRIFO COCINA</t>
  </si>
  <si>
    <t>INX 914 MONOMANDO (749140210)</t>
  </si>
  <si>
    <t>INX 914 (749140200) - GRIFO COCINA</t>
  </si>
  <si>
    <t>INX 915 - GRIFO COCINA</t>
  </si>
  <si>
    <t>INX 939 EXTRAIBLE - GRIFO COCINA</t>
  </si>
  <si>
    <t>INX 983 - GRIFO COCINA</t>
  </si>
  <si>
    <t>MM. EMPOTRADO 3 VIAS</t>
  </si>
  <si>
    <t>BALTIC (SOLO BARRA)</t>
  </si>
  <si>
    <t>UNIVERSE PRO</t>
  </si>
  <si>
    <t>DUCHA FLEXIBLE AUXILIAR</t>
  </si>
  <si>
    <t>ROCIADOR LATON ICE 200 MM</t>
  </si>
  <si>
    <t>ROCIADOR LATON 1820 200 MM</t>
  </si>
  <si>
    <t>ROCIADOR ASTRO</t>
  </si>
  <si>
    <t>ROCIADOR SPIN</t>
  </si>
  <si>
    <t>ROCIADOR OCEAN</t>
  </si>
  <si>
    <t>ROCIADOR  DISK</t>
  </si>
  <si>
    <t>ICE  L ROCIADOR</t>
  </si>
  <si>
    <t>ROCIADOR 300 INOX</t>
  </si>
  <si>
    <t>ROCIADOR 400 INOX</t>
  </si>
  <si>
    <t>ROCIADOR 300x300mm INOX</t>
  </si>
  <si>
    <t>ROCIADOR 400x400mm INOX</t>
  </si>
  <si>
    <t>ROCIADOR DE PARED 520X270X35</t>
  </si>
  <si>
    <t>BARRA DE DUCHA 200 mm</t>
  </si>
  <si>
    <t>BARRA DE DUCHA 300 mm</t>
  </si>
  <si>
    <t>BARRA DE DUCHA 400 mm</t>
  </si>
  <si>
    <t>TOMA DE AGUA</t>
  </si>
  <si>
    <t>PARRILLA FUNDICION 1G WOK CGW LUX 70 5G</t>
  </si>
  <si>
    <t>CISTAL CGW LUX 70 5G AI AL TR*</t>
  </si>
  <si>
    <t>BOTON PULSADOR</t>
  </si>
  <si>
    <t>JUNTA PUERTA FG 924</t>
  </si>
  <si>
    <t>CHAPA ENCENDIDO</t>
  </si>
  <si>
    <t>ASPERSOR SUERIOR LP7-770</t>
  </si>
  <si>
    <t>ML CROMO - GRIFO COCINA</t>
  </si>
  <si>
    <t>MN - GRIFO COCINA</t>
  </si>
  <si>
    <t>MA BAÑO-DUCHA</t>
  </si>
  <si>
    <t>MA DUCHA</t>
  </si>
  <si>
    <t>MA LAVABO</t>
  </si>
  <si>
    <t>FREGADERO ELIGO ELX78SXF-M</t>
  </si>
  <si>
    <t>FREGADERO ELIGO ELX 114 SXLF-DW DER</t>
  </si>
  <si>
    <t>FREGADERO ELIGO ELX 114 SXRF-DW IZQ</t>
  </si>
  <si>
    <t>INDUCTOR 260/210mm EGO GV (75.96475.078) IR 950</t>
  </si>
  <si>
    <t>MP CROMO - GRIFO COCINA</t>
  </si>
  <si>
    <t>MC 10 PLUS GRIFO BAÑO-DUCHA EMPOTRAR</t>
  </si>
  <si>
    <t>MC 10 PLUS GRIFO DUCHA EMPOTRAR</t>
  </si>
  <si>
    <t>MC 10 PLUS GRIFO LAVABO</t>
  </si>
  <si>
    <t>979115IK</t>
  </si>
  <si>
    <t>MC 10 PLUS CAÑO LARGO GRIFO COCINA</t>
  </si>
  <si>
    <t>97915TE10</t>
  </si>
  <si>
    <t>97915TE10-H</t>
  </si>
  <si>
    <t>MC 10 PLUS CAÑO LARGO - GRIFO COCINA</t>
  </si>
  <si>
    <t>MC 10 PLUS CAÑO ALTO CROMO GRIFO COCINA EXT</t>
  </si>
  <si>
    <t>979718IK</t>
  </si>
  <si>
    <t>MC 10 PLUS CAÑO BAJO CROMO EXTRAIBLE</t>
  </si>
  <si>
    <t>VALVULA CESTI. C/REBS. SINTETIKA 99 BL.</t>
  </si>
  <si>
    <t>VALVULA CESTI. S/REBOS.SINTETIKA61001230</t>
  </si>
  <si>
    <t>R1217400</t>
  </si>
  <si>
    <t>MINIMALISTIC CAÑO BAÑERA</t>
  </si>
  <si>
    <t>TEKA ECUADOR S.A.</t>
  </si>
  <si>
    <t>FECHA DE COMPRA</t>
  </si>
  <si>
    <t>TECNICO</t>
  </si>
  <si>
    <t>Técnico:  Cristian Capelo</t>
  </si>
  <si>
    <t xml:space="preserve">NOMBRE </t>
  </si>
  <si>
    <t>DIRECCIÓN</t>
  </si>
  <si>
    <t>TELÉFONO</t>
  </si>
  <si>
    <t xml:space="preserve">ASUNTO </t>
  </si>
  <si>
    <t xml:space="preserve">CÓDIGO </t>
  </si>
  <si>
    <t xml:space="preserve">DESCRIPCION </t>
  </si>
  <si>
    <t>ESTADO</t>
  </si>
  <si>
    <t>LUGAR DE COMPRA</t>
  </si>
  <si>
    <t>NUMERO DE ADHESIVO</t>
  </si>
  <si>
    <t>GARANTÍA</t>
  </si>
  <si>
    <t>SERIE</t>
  </si>
  <si>
    <t>Vr.</t>
  </si>
  <si>
    <t>FECHA DE LLAMADA</t>
  </si>
  <si>
    <t>CORREO</t>
  </si>
  <si>
    <t>CEDULA</t>
  </si>
  <si>
    <t>OBSERVACIONES</t>
  </si>
  <si>
    <t xml:space="preserve">UN PRODUCTO </t>
  </si>
  <si>
    <t xml:space="preserve">LUGAR DE COMPRA </t>
  </si>
  <si>
    <t>FECHA DE VISITA</t>
  </si>
  <si>
    <t xml:space="preserve">PROD </t>
  </si>
  <si>
    <t>ISLA</t>
  </si>
  <si>
    <t xml:space="preserve">ALMACENES </t>
  </si>
  <si>
    <t>LUGAR DE COMRPA</t>
  </si>
  <si>
    <t>CODIGO DEL PRODUCTO</t>
  </si>
  <si>
    <t>DESCRIPCION DE PRODUCTO</t>
  </si>
  <si>
    <t>SERIE DEL EQUIPO</t>
  </si>
  <si>
    <t>CIUDAD</t>
  </si>
  <si>
    <t>FECHA INSTALACION</t>
  </si>
  <si>
    <t>DIRECCION INSTALACION</t>
  </si>
  <si>
    <t>COMO LLEGO INFORMACION</t>
  </si>
  <si>
    <t>OBSERVACION</t>
  </si>
  <si>
    <t>TOTAL</t>
  </si>
  <si>
    <t>TRITURADOR</t>
  </si>
  <si>
    <t>CAPELO JUNIO 2026</t>
  </si>
  <si>
    <t>CAPELO JUNIO</t>
  </si>
  <si>
    <t>SAP</t>
  </si>
  <si>
    <t>CAPELO</t>
  </si>
  <si>
    <t>CUENCA</t>
  </si>
  <si>
    <t>CLIENTE FINAL</t>
  </si>
  <si>
    <t>TEKA DIRECTO</t>
  </si>
  <si>
    <t>CORREO ELECTRONICO</t>
  </si>
  <si>
    <t>HORNO ELECTRICO</t>
  </si>
  <si>
    <t>HORNO A GAS</t>
  </si>
  <si>
    <t>REGRIGERADOR</t>
  </si>
  <si>
    <t>MICROONDAS</t>
  </si>
  <si>
    <t>LAVAVAJILLAS</t>
  </si>
  <si>
    <t xml:space="preserve"> </t>
  </si>
  <si>
    <t>AL 19 DE JULIO</t>
  </si>
  <si>
    <t>JULIO 2026</t>
  </si>
  <si>
    <t>CAPELO JULIO 2026</t>
  </si>
  <si>
    <t>Clientes Visitados al 19 de JULIO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</si>
</sst>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;[Red]&quot;$&quot;\-#,##0.00"/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dd/mm/yy;@"/>
    <numFmt numFmtId="165" formatCode="&quot;$&quot;#,##0.00"/>
    <numFmt numFmtId="166" formatCode="_-* #,##0.00_-;\-* #,##0.00_-;_-* &quot;-&quot;??_-;_-@_-"/>
    <numFmt numFmtId="167" formatCode="_-* #,##0.00\ _€_-;\-* #,##0.00\ _€_-;_-* &quot;-&quot;??\ _€_-;_-@_-"/>
    <numFmt numFmtId="168" formatCode="_(&quot;$&quot;\ * #,##0.00_);_(&quot;$&quot;\ * \(#,##0.00\);_(&quot;$&quot;\ * &quot;-&quot;??_);_(@_)"/>
    <numFmt numFmtId="169" formatCode="dd/mm/yyyy"/>
    <numFmt numFmtId="170" formatCode="dd\-mm\-yy;@"/>
  </numFmts>
  <fonts count="85"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Calibri"/>
      <family val="2"/>
    </font>
    <font>
      <sz val="13"/>
      <color rgb="FF000000"/>
      <name val="Calibri"/>
      <family val="2"/>
    </font>
    <font>
      <sz val="11"/>
      <color rgb="FF000000"/>
      <name val="Aptos Narrow"/>
    </font>
    <font>
      <b/>
      <sz val="13"/>
      <name val="Franklin Gothic Book"/>
      <family val="2"/>
    </font>
    <font>
      <b/>
      <sz val="13"/>
      <name val="Arial"/>
      <family val="2"/>
    </font>
    <font>
      <b/>
      <sz val="13"/>
      <name val="Calibri"/>
      <family val="2"/>
    </font>
    <font>
      <sz val="13"/>
      <name val="Arial"/>
      <family val="2"/>
    </font>
    <font>
      <sz val="13"/>
      <color rgb="FF000000"/>
      <name val="Aptos Narrow"/>
    </font>
    <font>
      <sz val="13"/>
      <name val="Aptos Narrow"/>
    </font>
    <font>
      <sz val="7"/>
      <color rgb="FF000000"/>
      <name val="Aptos Narrow"/>
    </font>
    <font>
      <sz val="13"/>
      <name val="Calibri"/>
      <family val="2"/>
    </font>
    <font>
      <sz val="7"/>
      <name val="Aptos Narrow"/>
    </font>
    <font>
      <b/>
      <sz val="18"/>
      <name val="Aptos Narrow"/>
    </font>
    <font>
      <b/>
      <sz val="18"/>
      <color rgb="FF000000"/>
      <name val="Aptos Narrow"/>
    </font>
    <font>
      <sz val="18"/>
      <name val="Aptos Narrow"/>
    </font>
    <font>
      <b/>
      <sz val="7"/>
      <name val="Aptos Narrow"/>
    </font>
    <font>
      <sz val="10"/>
      <name val="Arial"/>
      <family val="2"/>
    </font>
    <font>
      <b/>
      <sz val="15"/>
      <name val="Arial"/>
      <family val="2"/>
    </font>
    <font>
      <b/>
      <sz val="13"/>
      <color rgb="FFFFFFFF"/>
      <name val="Calibri"/>
      <family val="2"/>
    </font>
    <font>
      <sz val="13"/>
      <color theme="1"/>
      <name val="Calibri"/>
      <family val="2"/>
    </font>
    <font>
      <u/>
      <sz val="11"/>
      <color theme="10"/>
      <name val="Aptos Narrow"/>
      <scheme val="minor"/>
    </font>
    <font>
      <sz val="13"/>
      <color theme="1"/>
      <name val="Aptos Narrow"/>
      <scheme val="minor"/>
    </font>
    <font>
      <sz val="7"/>
      <name val="Calibri"/>
      <family val="2"/>
    </font>
    <font>
      <sz val="13"/>
      <name val="Franklin Gothic Book"/>
      <family val="2"/>
    </font>
    <font>
      <sz val="13"/>
      <color indexed="8"/>
      <name val="Calibri"/>
      <family val="2"/>
    </font>
    <font>
      <sz val="13"/>
      <name val="Calibri"/>
      <family val="2"/>
    </font>
    <font>
      <sz val="13"/>
      <color indexed="8"/>
      <name val="Calibri"/>
      <family val="2"/>
    </font>
    <font>
      <b/>
      <sz val="12"/>
      <color rgb="FFFFFFFF"/>
      <name val="Calibri"/>
      <family val="2"/>
    </font>
    <font>
      <sz val="8"/>
      <name val="Aptos Narrow"/>
      <scheme val="minor"/>
    </font>
    <font>
      <sz val="8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0"/>
      <color rgb="FF000000"/>
      <name val="Calibri"/>
      <family val="2"/>
    </font>
    <font>
      <sz val="14"/>
      <name val="Calibri"/>
      <family val="2"/>
    </font>
    <font>
      <sz val="11"/>
      <color indexed="8"/>
      <name val="Calibri"/>
      <family val="2"/>
    </font>
    <font>
      <u/>
      <sz val="10"/>
      <color theme="10"/>
      <name val="Arial"/>
      <family val="2"/>
    </font>
    <font>
      <u/>
      <sz val="12.65"/>
      <color theme="10"/>
      <name val="Calibri"/>
      <family val="2"/>
    </font>
    <font>
      <u/>
      <sz val="10"/>
      <color theme="10"/>
      <name val="Times New Roman"/>
      <family val="1"/>
    </font>
    <font>
      <u/>
      <sz val="11"/>
      <color rgb="FF0000FF"/>
      <name val="Calibri"/>
      <family val="2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 Cyr"/>
      <charset val="204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0"/>
      <color indexed="8"/>
      <name val="MS Sans Serif"/>
      <charset val="204"/>
    </font>
    <font>
      <sz val="11"/>
      <color rgb="FF006100"/>
      <name val="Aptos Narrow"/>
      <scheme val="minor"/>
    </font>
    <font>
      <b/>
      <sz val="11"/>
      <color rgb="FFFA7D00"/>
      <name val="Aptos Narrow"/>
      <scheme val="minor"/>
    </font>
    <font>
      <b/>
      <sz val="11"/>
      <color theme="0"/>
      <name val="Aptos Narrow"/>
      <scheme val="minor"/>
    </font>
    <font>
      <sz val="11"/>
      <color rgb="FFFA7D00"/>
      <name val="Aptos Narrow"/>
      <scheme val="minor"/>
    </font>
    <font>
      <b/>
      <sz val="15"/>
      <color theme="3"/>
      <name val="Aptos Narrow"/>
      <scheme val="minor"/>
    </font>
    <font>
      <b/>
      <sz val="11"/>
      <color theme="3"/>
      <name val="Aptos Narrow"/>
      <scheme val="minor"/>
    </font>
    <font>
      <sz val="11"/>
      <color theme="0"/>
      <name val="Aptos Narrow"/>
      <scheme val="minor"/>
    </font>
    <font>
      <sz val="11"/>
      <color rgb="FF3F3F76"/>
      <name val="Aptos Narrow"/>
      <scheme val="minor"/>
    </font>
    <font>
      <sz val="11"/>
      <color rgb="FF9C0006"/>
      <name val="Aptos Narrow"/>
      <scheme val="minor"/>
    </font>
    <font>
      <sz val="11"/>
      <color rgb="FF9C5700"/>
      <name val="Aptos Narrow"/>
      <scheme val="minor"/>
    </font>
    <font>
      <b/>
      <sz val="11"/>
      <color rgb="FF3F3F3F"/>
      <name val="Aptos Narrow"/>
      <scheme val="minor"/>
    </font>
    <font>
      <sz val="11"/>
      <color rgb="FFFF0000"/>
      <name val="Aptos Narrow"/>
      <scheme val="minor"/>
    </font>
    <font>
      <i/>
      <sz val="11"/>
      <color rgb="FF7F7F7F"/>
      <name val="Aptos Narrow"/>
      <scheme val="minor"/>
    </font>
    <font>
      <sz val="18"/>
      <color theme="3"/>
      <name val="Aptos Display"/>
      <scheme val="major"/>
    </font>
    <font>
      <b/>
      <sz val="13"/>
      <color theme="3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sz val="8"/>
      <name val="Aptos Narrow"/>
      <family val="2"/>
      <scheme val="minor"/>
    </font>
    <font>
      <u/>
      <sz val="14"/>
      <color theme="10"/>
      <name val="Calibri"/>
      <family val="2"/>
    </font>
    <font>
      <b/>
      <sz val="14"/>
      <color rgb="FF000000"/>
      <name val="Calibri"/>
      <family val="2"/>
    </font>
    <font>
      <sz val="12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FFFFFF"/>
      <name val="Calibri"/>
      <family val="2"/>
    </font>
    <font>
      <sz val="9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4"/>
      <color indexed="8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4506668294322"/>
        <bgColor indexed="65"/>
      </patternFill>
    </fill>
    <fill>
      <patternFill patternType="solid">
        <fgColor theme="5" tint="0.39994506668294322"/>
        <bgColor indexed="65"/>
      </patternFill>
    </fill>
    <fill>
      <patternFill patternType="solid">
        <fgColor theme="6" tint="0.39994506668294322"/>
        <bgColor indexed="65"/>
      </patternFill>
    </fill>
    <fill>
      <patternFill patternType="solid">
        <fgColor theme="7" tint="0.39994506668294322"/>
        <bgColor indexed="65"/>
      </patternFill>
    </fill>
    <fill>
      <patternFill patternType="solid">
        <fgColor theme="8" tint="0.39994506668294322"/>
        <bgColor indexed="65"/>
      </patternFill>
    </fill>
    <fill>
      <patternFill patternType="solid">
        <fgColor theme="9" tint="0.39994506668294322"/>
        <bgColor indexed="65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127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5" fillId="0" borderId="0"/>
    <xf numFmtId="167" fontId="65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35" fillId="0" borderId="0"/>
    <xf numFmtId="0" fontId="35" fillId="5" borderId="0">
      <alignment horizontal="left"/>
    </xf>
    <xf numFmtId="0" fontId="65" fillId="0" borderId="0"/>
    <xf numFmtId="0" fontId="65" fillId="0" borderId="0"/>
    <xf numFmtId="0" fontId="22" fillId="0" borderId="0" applyNumberFormat="0" applyFill="0" applyBorder="0" applyAlignment="0" applyProtection="0"/>
    <xf numFmtId="0" fontId="18" fillId="0" borderId="0"/>
    <xf numFmtId="0" fontId="65" fillId="0" borderId="0"/>
    <xf numFmtId="43" fontId="18" fillId="0" borderId="0" applyFont="0" applyFill="0" applyBorder="0" applyAlignment="0" applyProtection="0"/>
    <xf numFmtId="0" fontId="35" fillId="0" borderId="0"/>
    <xf numFmtId="43" fontId="18" fillId="0" borderId="0" applyFont="0" applyFill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3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9" fillId="0" borderId="0" applyBorder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167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166" fontId="65" fillId="0" borderId="0" applyFont="0" applyFill="0" applyBorder="0" applyAlignment="0" applyProtection="0"/>
    <xf numFmtId="166" fontId="65" fillId="0" borderId="0" applyFont="0" applyFill="0" applyBorder="0" applyAlignment="0" applyProtection="0"/>
    <xf numFmtId="166" fontId="65" fillId="0" borderId="0" applyFont="0" applyFill="0" applyBorder="0" applyAlignment="0" applyProtection="0"/>
    <xf numFmtId="166" fontId="65" fillId="0" borderId="0" applyFont="0" applyFill="0" applyBorder="0" applyAlignment="0" applyProtection="0"/>
    <xf numFmtId="166" fontId="65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65" fillId="0" borderId="0" applyFont="0" applyFill="0" applyBorder="0" applyAlignment="0" applyProtection="0"/>
    <xf numFmtId="168" fontId="40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65" fillId="0" borderId="0" applyFont="0" applyFill="0" applyBorder="0" applyAlignment="0" applyProtection="0"/>
    <xf numFmtId="0" fontId="41" fillId="0" borderId="0"/>
    <xf numFmtId="0" fontId="6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5" fillId="0" borderId="0"/>
    <xf numFmtId="0" fontId="65" fillId="0" borderId="0"/>
    <xf numFmtId="0" fontId="18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8" fillId="0" borderId="0"/>
    <xf numFmtId="0" fontId="42" fillId="0" borderId="0"/>
    <xf numFmtId="0" fontId="41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4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3" fillId="0" borderId="0"/>
    <xf numFmtId="0" fontId="18" fillId="0" borderId="0"/>
    <xf numFmtId="0" fontId="41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1" fillId="0" borderId="0"/>
    <xf numFmtId="0" fontId="4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5" fillId="0" borderId="0"/>
    <xf numFmtId="0" fontId="35" fillId="5" borderId="0">
      <alignment horizontal="left"/>
    </xf>
    <xf numFmtId="0" fontId="4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46" fillId="0" borderId="0"/>
    <xf numFmtId="0" fontId="47" fillId="0" borderId="0"/>
    <xf numFmtId="0" fontId="48" fillId="0" borderId="0"/>
    <xf numFmtId="0" fontId="65" fillId="9" borderId="0" applyNumberFormat="0" applyBorder="0" applyAlignment="0" applyProtection="0"/>
    <xf numFmtId="0" fontId="65" fillId="10" borderId="0" applyNumberFormat="0" applyBorder="0" applyAlignment="0" applyProtection="0"/>
    <xf numFmtId="0" fontId="65" fillId="11" borderId="0" applyNumberFormat="0" applyBorder="0" applyAlignment="0" applyProtection="0"/>
    <xf numFmtId="0" fontId="65" fillId="12" borderId="0" applyNumberFormat="0" applyBorder="0" applyAlignment="0" applyProtection="0"/>
    <xf numFmtId="0" fontId="65" fillId="13" borderId="0" applyNumberFormat="0" applyBorder="0" applyAlignment="0" applyProtection="0"/>
    <xf numFmtId="0" fontId="65" fillId="14" borderId="0" applyNumberFormat="0" applyBorder="0" applyAlignment="0" applyProtection="0"/>
    <xf numFmtId="0" fontId="65" fillId="15" borderId="0" applyNumberFormat="0" applyBorder="0" applyAlignment="0" applyProtection="0"/>
    <xf numFmtId="0" fontId="65" fillId="16" borderId="0" applyNumberFormat="0" applyBorder="0" applyAlignment="0" applyProtection="0"/>
    <xf numFmtId="0" fontId="65" fillId="17" borderId="0" applyNumberFormat="0" applyBorder="0" applyAlignment="0" applyProtection="0"/>
    <xf numFmtId="0" fontId="65" fillId="18" borderId="0" applyNumberFormat="0" applyBorder="0" applyAlignment="0" applyProtection="0"/>
    <xf numFmtId="0" fontId="65" fillId="19" borderId="0" applyNumberFormat="0" applyBorder="0" applyAlignment="0" applyProtection="0"/>
    <xf numFmtId="0" fontId="65" fillId="20" borderId="0" applyNumberFormat="0" applyBorder="0" applyAlignment="0" applyProtection="0"/>
    <xf numFmtId="0" fontId="65" fillId="21" borderId="0" applyNumberFormat="0" applyBorder="0" applyAlignment="0" applyProtection="0"/>
    <xf numFmtId="0" fontId="65" fillId="22" borderId="0" applyNumberFormat="0" applyBorder="0" applyAlignment="0" applyProtection="0"/>
    <xf numFmtId="0" fontId="65" fillId="23" borderId="0" applyNumberFormat="0" applyBorder="0" applyAlignment="0" applyProtection="0"/>
    <xf numFmtId="0" fontId="65" fillId="24" borderId="0" applyNumberFormat="0" applyBorder="0" applyAlignment="0" applyProtection="0"/>
    <xf numFmtId="0" fontId="65" fillId="25" borderId="0" applyNumberFormat="0" applyBorder="0" applyAlignment="0" applyProtection="0"/>
    <xf numFmtId="0" fontId="65" fillId="26" borderId="0" applyNumberFormat="0" applyBorder="0" applyAlignment="0" applyProtection="0"/>
    <xf numFmtId="0" fontId="49" fillId="28" borderId="0" applyNumberFormat="0" applyBorder="0" applyAlignment="0" applyProtection="0"/>
    <xf numFmtId="0" fontId="50" fillId="29" borderId="13" applyNumberFormat="0" applyAlignment="0" applyProtection="0"/>
    <xf numFmtId="0" fontId="51" fillId="30" borderId="14" applyNumberFormat="0" applyAlignment="0" applyProtection="0"/>
    <xf numFmtId="0" fontId="52" fillId="0" borderId="15" applyNumberFormat="0" applyFill="0" applyAlignment="0" applyProtection="0"/>
    <xf numFmtId="0" fontId="53" fillId="0" borderId="16" applyNumberFormat="0" applyFill="0" applyAlignment="0" applyProtection="0"/>
    <xf numFmtId="0" fontId="54" fillId="0" borderId="0" applyNumberFormat="0" applyFill="0" applyBorder="0" applyAlignment="0" applyProtection="0"/>
    <xf numFmtId="0" fontId="55" fillId="31" borderId="0" applyNumberFormat="0" applyBorder="0" applyAlignment="0" applyProtection="0"/>
    <xf numFmtId="0" fontId="55" fillId="32" borderId="0" applyNumberFormat="0" applyBorder="0" applyAlignment="0" applyProtection="0"/>
    <xf numFmtId="0" fontId="55" fillId="33" borderId="0" applyNumberFormat="0" applyBorder="0" applyAlignment="0" applyProtection="0"/>
    <xf numFmtId="0" fontId="55" fillId="34" borderId="0" applyNumberFormat="0" applyBorder="0" applyAlignment="0" applyProtection="0"/>
    <xf numFmtId="0" fontId="55" fillId="35" borderId="0" applyNumberFormat="0" applyBorder="0" applyAlignment="0" applyProtection="0"/>
    <xf numFmtId="0" fontId="55" fillId="36" borderId="0" applyNumberFormat="0" applyBorder="0" applyAlignment="0" applyProtection="0"/>
    <xf numFmtId="0" fontId="56" fillId="37" borderId="13" applyNumberFormat="0" applyAlignment="0" applyProtection="0"/>
    <xf numFmtId="0" fontId="57" fillId="38" borderId="0" applyNumberFormat="0" applyBorder="0" applyAlignment="0" applyProtection="0"/>
    <xf numFmtId="0" fontId="58" fillId="39" borderId="0" applyNumberFormat="0" applyBorder="0" applyAlignment="0" applyProtection="0"/>
    <xf numFmtId="0" fontId="65" fillId="27" borderId="12" applyNumberFormat="0" applyFont="0" applyAlignment="0" applyProtection="0"/>
    <xf numFmtId="0" fontId="59" fillId="29" borderId="17" applyNumberFormat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18" applyNumberFormat="0" applyFill="0" applyAlignment="0" applyProtection="0"/>
    <xf numFmtId="0" fontId="54" fillId="0" borderId="19" applyNumberFormat="0" applyFill="0" applyAlignment="0" applyProtection="0"/>
    <xf numFmtId="0" fontId="64" fillId="0" borderId="20" applyNumberFormat="0" applyFill="0" applyAlignment="0" applyProtection="0"/>
  </cellStyleXfs>
  <cellXfs count="168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4" fontId="3" fillId="2" borderId="0" xfId="0" applyNumberFormat="1" applyFont="1" applyFill="1" applyAlignment="1">
      <alignment horizontal="right"/>
    </xf>
    <xf numFmtId="1" fontId="2" fillId="2" borderId="0" xfId="0" applyNumberFormat="1" applyFont="1" applyFill="1" applyAlignment="1">
      <alignment horizontal="left"/>
    </xf>
    <xf numFmtId="0" fontId="4" fillId="0" borderId="0" xfId="1" applyAlignment="1">
      <alignment horizontal="right"/>
    </xf>
    <xf numFmtId="4" fontId="5" fillId="0" borderId="0" xfId="2" applyNumberFormat="1" applyFont="1" applyAlignment="1">
      <alignment horizontal="left"/>
    </xf>
    <xf numFmtId="0" fontId="6" fillId="0" borderId="0" xfId="2" applyFont="1" applyAlignment="1">
      <alignment horizontal="left"/>
    </xf>
    <xf numFmtId="0" fontId="7" fillId="0" borderId="0" xfId="2" applyFont="1" applyAlignment="1">
      <alignment vertical="center"/>
    </xf>
    <xf numFmtId="0" fontId="6" fillId="0" borderId="0" xfId="2" applyFont="1"/>
    <xf numFmtId="2" fontId="8" fillId="0" borderId="0" xfId="2" applyNumberFormat="1" applyFont="1" applyAlignment="1">
      <alignment horizontal="left"/>
    </xf>
    <xf numFmtId="0" fontId="9" fillId="0" borderId="0" xfId="1" applyFont="1"/>
    <xf numFmtId="0" fontId="10" fillId="0" borderId="0" xfId="1" applyFont="1"/>
    <xf numFmtId="4" fontId="9" fillId="0" borderId="0" xfId="1" applyNumberFormat="1" applyFont="1" applyAlignment="1">
      <alignment horizontal="right"/>
    </xf>
    <xf numFmtId="1" fontId="11" fillId="0" borderId="0" xfId="1" applyNumberFormat="1" applyFont="1"/>
    <xf numFmtId="0" fontId="4" fillId="0" borderId="0" xfId="1"/>
    <xf numFmtId="4" fontId="5" fillId="0" borderId="0" xfId="2" applyNumberFormat="1" applyFont="1" applyAlignment="1">
      <alignment horizontal="left" vertical="center"/>
    </xf>
    <xf numFmtId="0" fontId="8" fillId="0" borderId="0" xfId="2" applyFont="1" applyAlignment="1">
      <alignment horizontal="left"/>
    </xf>
    <xf numFmtId="0" fontId="8" fillId="0" borderId="0" xfId="2" applyFont="1"/>
    <xf numFmtId="164" fontId="12" fillId="0" borderId="1" xfId="3" applyNumberFormat="1" applyFont="1" applyBorder="1" applyAlignment="1">
      <alignment horizontal="left"/>
    </xf>
    <xf numFmtId="0" fontId="12" fillId="0" borderId="2" xfId="3" applyFont="1" applyBorder="1" applyAlignment="1">
      <alignment horizontal="left"/>
    </xf>
    <xf numFmtId="0" fontId="13" fillId="0" borderId="2" xfId="3" applyFont="1" applyBorder="1" applyAlignment="1">
      <alignment horizontal="left"/>
    </xf>
    <xf numFmtId="0" fontId="14" fillId="0" borderId="2" xfId="3" applyFont="1" applyBorder="1" applyAlignment="1">
      <alignment horizontal="left"/>
    </xf>
    <xf numFmtId="0" fontId="15" fillId="0" borderId="2" xfId="3" applyFont="1" applyBorder="1" applyAlignment="1">
      <alignment horizontal="left" wrapText="1" readingOrder="1"/>
    </xf>
    <xf numFmtId="0" fontId="14" fillId="0" borderId="2" xfId="3" applyFont="1" applyBorder="1" applyAlignment="1">
      <alignment horizontal="left" wrapText="1"/>
    </xf>
    <xf numFmtId="0" fontId="16" fillId="0" borderId="2" xfId="3" applyFont="1" applyBorder="1" applyAlignment="1">
      <alignment horizontal="left" wrapText="1"/>
    </xf>
    <xf numFmtId="0" fontId="16" fillId="0" borderId="2" xfId="3" applyFont="1" applyBorder="1" applyAlignment="1">
      <alignment horizontal="left"/>
    </xf>
    <xf numFmtId="17" fontId="17" fillId="0" borderId="2" xfId="3" applyNumberFormat="1" applyFont="1" applyBorder="1" applyAlignment="1">
      <alignment horizontal="left"/>
    </xf>
    <xf numFmtId="0" fontId="18" fillId="0" borderId="2" xfId="3" applyFont="1" applyBorder="1" applyAlignment="1">
      <alignment horizontal="left"/>
    </xf>
    <xf numFmtId="49" fontId="19" fillId="0" borderId="3" xfId="3" applyNumberFormat="1" applyFont="1" applyBorder="1" applyAlignment="1">
      <alignment horizontal="left"/>
    </xf>
    <xf numFmtId="4" fontId="0" fillId="0" borderId="0" xfId="0" applyNumberFormat="1" applyAlignment="1">
      <alignment horizontal="right"/>
    </xf>
    <xf numFmtId="1" fontId="11" fillId="0" borderId="0" xfId="0" applyNumberFormat="1" applyFont="1"/>
    <xf numFmtId="164" fontId="12" fillId="0" borderId="4" xfId="3" applyNumberFormat="1" applyFont="1" applyBorder="1" applyAlignment="1">
      <alignment horizontal="left"/>
    </xf>
    <xf numFmtId="0" fontId="12" fillId="0" borderId="0" xfId="3" applyFont="1" applyAlignment="1">
      <alignment horizontal="left"/>
    </xf>
    <xf numFmtId="0" fontId="13" fillId="0" borderId="0" xfId="3" applyFont="1" applyAlignment="1">
      <alignment horizontal="left"/>
    </xf>
    <xf numFmtId="0" fontId="13" fillId="0" borderId="5" xfId="3" applyFont="1" applyBorder="1" applyAlignment="1">
      <alignment horizontal="left"/>
    </xf>
    <xf numFmtId="164" fontId="12" fillId="0" borderId="6" xfId="3" applyNumberFormat="1" applyFont="1" applyBorder="1" applyAlignment="1">
      <alignment horizontal="left"/>
    </xf>
    <xf numFmtId="0" fontId="10" fillId="0" borderId="7" xfId="3" applyFont="1" applyBorder="1" applyAlignment="1">
      <alignment horizontal="left"/>
    </xf>
    <xf numFmtId="0" fontId="13" fillId="0" borderId="7" xfId="3" applyFont="1" applyBorder="1" applyAlignment="1">
      <alignment horizontal="left"/>
    </xf>
    <xf numFmtId="0" fontId="13" fillId="0" borderId="8" xfId="3" applyFont="1" applyBorder="1" applyAlignment="1">
      <alignment horizontal="left"/>
    </xf>
    <xf numFmtId="0" fontId="3" fillId="0" borderId="0" xfId="0" applyFont="1"/>
    <xf numFmtId="0" fontId="21" fillId="0" borderId="0" xfId="0" applyFont="1"/>
    <xf numFmtId="0" fontId="23" fillId="0" borderId="0" xfId="0" applyFont="1"/>
    <xf numFmtId="0" fontId="23" fillId="0" borderId="0" xfId="0" applyFont="1" applyAlignment="1">
      <alignment horizontal="left"/>
    </xf>
    <xf numFmtId="0" fontId="24" fillId="0" borderId="0" xfId="0" applyFont="1" applyAlignment="1">
      <alignment horizontal="right"/>
    </xf>
    <xf numFmtId="4" fontId="25" fillId="0" borderId="0" xfId="0" applyNumberFormat="1" applyFont="1"/>
    <xf numFmtId="0" fontId="12" fillId="0" borderId="0" xfId="0" applyFont="1" applyAlignment="1">
      <alignment horizontal="left" vertical="center"/>
    </xf>
    <xf numFmtId="2" fontId="23" fillId="0" borderId="0" xfId="0" applyNumberFormat="1" applyFont="1" applyAlignment="1">
      <alignment horizontal="left"/>
    </xf>
    <xf numFmtId="0" fontId="26" fillId="0" borderId="0" xfId="0" applyFont="1"/>
    <xf numFmtId="49" fontId="26" fillId="0" borderId="0" xfId="0" applyNumberFormat="1" applyFont="1" applyAlignment="1">
      <alignment horizontal="left"/>
    </xf>
    <xf numFmtId="1" fontId="23" fillId="0" borderId="0" xfId="0" applyNumberFormat="1" applyFont="1"/>
    <xf numFmtId="4" fontId="5" fillId="0" borderId="0" xfId="0" applyNumberFormat="1" applyFont="1" applyAlignment="1">
      <alignment horizontal="left" vertical="center"/>
    </xf>
    <xf numFmtId="0" fontId="27" fillId="0" borderId="0" xfId="9" applyFont="1"/>
    <xf numFmtId="0" fontId="28" fillId="5" borderId="0" xfId="10" applyFont="1" applyAlignment="1">
      <alignment horizontal="center" vertical="center"/>
    </xf>
    <xf numFmtId="1" fontId="28" fillId="5" borderId="0" xfId="10" applyNumberFormat="1" applyFont="1" applyAlignment="1">
      <alignment horizontal="right" vertical="center"/>
    </xf>
    <xf numFmtId="1" fontId="28" fillId="5" borderId="0" xfId="10" applyNumberFormat="1" applyFont="1" applyAlignment="1">
      <alignment horizontal="center" vertical="center"/>
    </xf>
    <xf numFmtId="2" fontId="28" fillId="5" borderId="0" xfId="10" applyNumberFormat="1" applyFont="1" applyAlignment="1">
      <alignment vertical="center"/>
    </xf>
    <xf numFmtId="49" fontId="23" fillId="0" borderId="0" xfId="0" quotePrefix="1" applyNumberFormat="1" applyFont="1"/>
    <xf numFmtId="17" fontId="26" fillId="0" borderId="0" xfId="0" quotePrefix="1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0" fontId="29" fillId="6" borderId="9" xfId="0" applyFont="1" applyFill="1" applyBorder="1" applyAlignment="1">
      <alignment horizontal="center" vertical="center" wrapText="1"/>
    </xf>
    <xf numFmtId="0" fontId="29" fillId="7" borderId="9" xfId="0" applyFont="1" applyFill="1" applyBorder="1" applyAlignment="1">
      <alignment horizontal="center" vertical="center" wrapText="1"/>
    </xf>
    <xf numFmtId="1" fontId="29" fillId="6" borderId="9" xfId="0" applyNumberFormat="1" applyFont="1" applyFill="1" applyBorder="1" applyAlignment="1">
      <alignment horizontal="center" vertical="center" wrapText="1"/>
    </xf>
    <xf numFmtId="0" fontId="30" fillId="0" borderId="0" xfId="14" applyFont="1"/>
    <xf numFmtId="0" fontId="65" fillId="0" borderId="0" xfId="15"/>
    <xf numFmtId="4" fontId="25" fillId="0" borderId="0" xfId="15" applyNumberFormat="1" applyFont="1"/>
    <xf numFmtId="0" fontId="23" fillId="0" borderId="0" xfId="15" applyFont="1"/>
    <xf numFmtId="0" fontId="12" fillId="0" borderId="0" xfId="15" applyFont="1" applyAlignment="1">
      <alignment vertical="center"/>
    </xf>
    <xf numFmtId="2" fontId="23" fillId="0" borderId="0" xfId="15" applyNumberFormat="1" applyFont="1" applyAlignment="1">
      <alignment horizontal="left"/>
    </xf>
    <xf numFmtId="0" fontId="23" fillId="0" borderId="0" xfId="15" applyFont="1" applyAlignment="1">
      <alignment horizontal="left"/>
    </xf>
    <xf numFmtId="0" fontId="31" fillId="0" borderId="0" xfId="15" applyFont="1"/>
    <xf numFmtId="4" fontId="5" fillId="0" borderId="0" xfId="15" applyNumberFormat="1" applyFont="1" applyAlignment="1">
      <alignment horizontal="left" vertical="center"/>
    </xf>
    <xf numFmtId="0" fontId="8" fillId="0" borderId="0" xfId="14" applyFont="1"/>
    <xf numFmtId="17" fontId="23" fillId="0" borderId="0" xfId="15" quotePrefix="1" applyNumberFormat="1" applyFont="1"/>
    <xf numFmtId="17" fontId="31" fillId="0" borderId="0" xfId="15" quotePrefix="1" applyNumberFormat="1" applyFont="1"/>
    <xf numFmtId="0" fontId="1" fillId="0" borderId="0" xfId="15" applyFont="1"/>
    <xf numFmtId="0" fontId="32" fillId="8" borderId="11" xfId="15" applyFont="1" applyFill="1" applyBorder="1" applyAlignment="1">
      <alignment horizontal="center" wrapText="1"/>
    </xf>
    <xf numFmtId="0" fontId="32" fillId="8" borderId="11" xfId="14" applyFont="1" applyFill="1" applyBorder="1" applyAlignment="1">
      <alignment horizontal="left" wrapText="1"/>
    </xf>
    <xf numFmtId="0" fontId="32" fillId="8" borderId="11" xfId="14" applyFont="1" applyFill="1" applyBorder="1" applyAlignment="1">
      <alignment horizontal="center" wrapText="1"/>
    </xf>
    <xf numFmtId="0" fontId="32" fillId="8" borderId="0" xfId="14" applyFont="1" applyFill="1" applyAlignment="1">
      <alignment horizontal="left" wrapText="1"/>
    </xf>
    <xf numFmtId="0" fontId="0" fillId="0" borderId="0" xfId="0" applyAlignment="1">
      <alignment horizontal="left"/>
    </xf>
    <xf numFmtId="0" fontId="29" fillId="6" borderId="11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wrapText="1"/>
    </xf>
    <xf numFmtId="0" fontId="29" fillId="7" borderId="11" xfId="0" applyFont="1" applyFill="1" applyBorder="1" applyAlignment="1">
      <alignment horizontal="center" vertical="center" wrapText="1"/>
    </xf>
    <xf numFmtId="1" fontId="29" fillId="6" borderId="11" xfId="0" applyNumberFormat="1" applyFont="1" applyFill="1" applyBorder="1" applyAlignment="1">
      <alignment horizontal="center" vertical="center" wrapText="1"/>
    </xf>
    <xf numFmtId="2" fontId="29" fillId="6" borderId="11" xfId="0" applyNumberFormat="1" applyFont="1" applyFill="1" applyBorder="1" applyAlignment="1">
      <alignment horizontal="center" vertical="center" wrapText="1"/>
    </xf>
    <xf numFmtId="0" fontId="66" fillId="0" borderId="0" xfId="0" applyFont="1"/>
    <xf numFmtId="0" fontId="29" fillId="6" borderId="11" xfId="0" applyFont="1" applyFill="1" applyBorder="1" applyAlignment="1">
      <alignment horizontal="left" vertical="center" wrapText="1"/>
    </xf>
    <xf numFmtId="0" fontId="3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67" fillId="0" borderId="0" xfId="0" applyFont="1" applyAlignment="1">
      <alignment horizontal="left"/>
    </xf>
    <xf numFmtId="14" fontId="67" fillId="0" borderId="0" xfId="0" applyNumberFormat="1" applyFont="1" applyAlignment="1">
      <alignment horizontal="left"/>
    </xf>
    <xf numFmtId="1" fontId="67" fillId="0" borderId="0" xfId="0" applyNumberFormat="1" applyFont="1" applyAlignment="1">
      <alignment horizontal="left"/>
    </xf>
    <xf numFmtId="0" fontId="66" fillId="0" borderId="0" xfId="0" applyFont="1" applyAlignment="1">
      <alignment horizontal="left"/>
    </xf>
    <xf numFmtId="14" fontId="66" fillId="0" borderId="0" xfId="0" applyNumberFormat="1" applyFont="1" applyAlignment="1">
      <alignment horizontal="left"/>
    </xf>
    <xf numFmtId="165" fontId="23" fillId="0" borderId="0" xfId="0" applyNumberFormat="1" applyFont="1"/>
    <xf numFmtId="165" fontId="26" fillId="0" borderId="0" xfId="0" applyNumberFormat="1" applyFont="1" applyAlignment="1">
      <alignment horizontal="right" indent="1"/>
    </xf>
    <xf numFmtId="165" fontId="0" fillId="0" borderId="0" xfId="0" applyNumberFormat="1"/>
    <xf numFmtId="165" fontId="71" fillId="6" borderId="11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horizontal="right"/>
    </xf>
    <xf numFmtId="0" fontId="72" fillId="0" borderId="0" xfId="0" applyFont="1" applyAlignment="1">
      <alignment horizontal="left" wrapText="1"/>
    </xf>
    <xf numFmtId="0" fontId="73" fillId="6" borderId="11" xfId="0" applyFont="1" applyFill="1" applyBorder="1" applyAlignment="1">
      <alignment horizontal="center" vertical="center" wrapText="1"/>
    </xf>
    <xf numFmtId="0" fontId="74" fillId="0" borderId="0" xfId="0" applyFont="1"/>
    <xf numFmtId="0" fontId="34" fillId="0" borderId="10" xfId="12" applyFont="1" applyBorder="1" applyAlignment="1">
      <alignment horizontal="left"/>
    </xf>
    <xf numFmtId="0" fontId="70" fillId="0" borderId="0" xfId="0" applyFont="1" applyAlignment="1">
      <alignment horizontal="left"/>
    </xf>
    <xf numFmtId="0" fontId="69" fillId="0" borderId="0" xfId="8" applyFont="1" applyAlignment="1">
      <alignment horizontal="left"/>
    </xf>
    <xf numFmtId="2" fontId="23" fillId="0" borderId="0" xfId="0" applyNumberFormat="1" applyFont="1"/>
    <xf numFmtId="2" fontId="23" fillId="0" borderId="0" xfId="16" applyNumberFormat="1" applyFont="1" applyFill="1"/>
    <xf numFmtId="2" fontId="32" fillId="8" borderId="11" xfId="16" applyNumberFormat="1" applyFont="1" applyFill="1" applyBorder="1" applyAlignment="1">
      <alignment horizontal="left" wrapText="1"/>
    </xf>
    <xf numFmtId="2" fontId="0" fillId="0" borderId="0" xfId="0" applyNumberFormat="1"/>
    <xf numFmtId="0" fontId="75" fillId="0" borderId="0" xfId="0" applyFont="1"/>
    <xf numFmtId="1" fontId="2" fillId="0" borderId="0" xfId="0" applyNumberFormat="1" applyFont="1" applyAlignment="1">
      <alignment horizontal="left"/>
    </xf>
    <xf numFmtId="0" fontId="20" fillId="3" borderId="11" xfId="4" applyFont="1" applyFill="1" applyBorder="1" applyAlignment="1">
      <alignment horizontal="left" wrapText="1"/>
    </xf>
    <xf numFmtId="0" fontId="20" fillId="3" borderId="11" xfId="4" applyFont="1" applyFill="1" applyBorder="1" applyAlignment="1">
      <alignment horizontal="left"/>
    </xf>
    <xf numFmtId="4" fontId="20" fillId="3" borderId="11" xfId="4" applyNumberFormat="1" applyFont="1" applyFill="1" applyBorder="1" applyAlignment="1">
      <alignment horizontal="left" wrapText="1"/>
    </xf>
    <xf numFmtId="1" fontId="20" fillId="3" borderId="11" xfId="4" applyNumberFormat="1" applyFont="1" applyFill="1" applyBorder="1" applyAlignment="1">
      <alignment horizontal="center" wrapText="1"/>
    </xf>
    <xf numFmtId="0" fontId="20" fillId="3" borderId="11" xfId="0" applyFont="1" applyFill="1" applyBorder="1" applyAlignment="1">
      <alignment horizontal="left" vertical="center" wrapText="1"/>
    </xf>
    <xf numFmtId="169" fontId="66" fillId="0" borderId="0" xfId="0" applyNumberFormat="1" applyFont="1" applyAlignment="1">
      <alignment horizontal="left"/>
    </xf>
    <xf numFmtId="165" fontId="29" fillId="6" borderId="9" xfId="0" applyNumberFormat="1" applyFont="1" applyFill="1" applyBorder="1" applyAlignment="1">
      <alignment horizontal="center" vertical="center" wrapText="1"/>
    </xf>
    <xf numFmtId="8" fontId="67" fillId="0" borderId="0" xfId="0" applyNumberFormat="1" applyFont="1" applyAlignment="1">
      <alignment horizontal="left"/>
    </xf>
    <xf numFmtId="0" fontId="76" fillId="0" borderId="0" xfId="0" applyFont="1" applyAlignment="1">
      <alignment vertical="center"/>
    </xf>
    <xf numFmtId="0" fontId="77" fillId="0" borderId="0" xfId="0" applyFont="1"/>
    <xf numFmtId="0" fontId="78" fillId="0" borderId="21" xfId="0" applyFont="1" applyBorder="1" applyAlignment="1">
      <alignment vertical="center"/>
    </xf>
    <xf numFmtId="17" fontId="79" fillId="0" borderId="0" xfId="0" quotePrefix="1" applyNumberFormat="1" applyFont="1" applyAlignment="1">
      <alignment horizontal="left"/>
    </xf>
    <xf numFmtId="0" fontId="80" fillId="0" borderId="0" xfId="0" quotePrefix="1" applyFont="1"/>
    <xf numFmtId="0" fontId="81" fillId="8" borderId="11" xfId="0" applyFont="1" applyFill="1" applyBorder="1" applyAlignment="1">
      <alignment horizontal="center" wrapText="1"/>
    </xf>
    <xf numFmtId="0" fontId="81" fillId="8" borderId="11" xfId="0" applyFont="1" applyFill="1" applyBorder="1" applyAlignment="1">
      <alignment wrapText="1"/>
    </xf>
    <xf numFmtId="0" fontId="81" fillId="8" borderId="11" xfId="0" applyFont="1" applyFill="1" applyBorder="1" applyAlignment="1">
      <alignment horizontal="center" vertical="center" wrapText="1"/>
    </xf>
    <xf numFmtId="0" fontId="81" fillId="8" borderId="22" xfId="0" applyFont="1" applyFill="1" applyBorder="1" applyAlignment="1">
      <alignment wrapText="1"/>
    </xf>
    <xf numFmtId="0" fontId="80" fillId="0" borderId="0" xfId="0" applyFont="1"/>
    <xf numFmtId="0" fontId="26" fillId="40" borderId="23" xfId="11" applyFont="1" applyFill="1" applyBorder="1" applyAlignment="1">
      <alignment horizontal="center" vertical="center"/>
    </xf>
    <xf numFmtId="0" fontId="82" fillId="0" borderId="9" xfId="11" applyFont="1" applyBorder="1" applyAlignment="1">
      <alignment horizontal="left" vertical="center"/>
    </xf>
    <xf numFmtId="0" fontId="82" fillId="40" borderId="9" xfId="11" applyFont="1" applyFill="1" applyBorder="1" applyAlignment="1">
      <alignment horizontal="left"/>
    </xf>
    <xf numFmtId="0" fontId="26" fillId="40" borderId="0" xfId="11" applyFont="1" applyFill="1" applyAlignment="1">
      <alignment horizontal="left"/>
    </xf>
    <xf numFmtId="1" fontId="66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2" fontId="77" fillId="0" borderId="0" xfId="0" applyNumberFormat="1" applyFont="1"/>
    <xf numFmtId="2" fontId="81" fillId="8" borderId="22" xfId="0" applyNumberFormat="1" applyFont="1" applyFill="1" applyBorder="1" applyAlignment="1">
      <alignment horizontal="center" wrapText="1"/>
    </xf>
    <xf numFmtId="0" fontId="22" fillId="0" borderId="0" xfId="8" applyAlignment="1">
      <alignment horizontal="left"/>
    </xf>
    <xf numFmtId="170" fontId="82" fillId="40" borderId="9" xfId="11" applyNumberFormat="1" applyFont="1" applyFill="1" applyBorder="1" applyAlignment="1">
      <alignment horizontal="left"/>
    </xf>
    <xf numFmtId="14" fontId="82" fillId="40" borderId="9" xfId="11" applyNumberFormat="1" applyFont="1" applyFill="1" applyBorder="1" applyAlignment="1">
      <alignment horizontal="left"/>
    </xf>
    <xf numFmtId="1" fontId="82" fillId="40" borderId="9" xfId="11" applyNumberFormat="1" applyFont="1" applyFill="1" applyBorder="1" applyAlignment="1">
      <alignment horizontal="left"/>
    </xf>
    <xf numFmtId="2" fontId="82" fillId="40" borderId="9" xfId="11" applyNumberFormat="1" applyFont="1" applyFill="1" applyBorder="1" applyAlignment="1">
      <alignment horizontal="left"/>
    </xf>
    <xf numFmtId="49" fontId="66" fillId="4" borderId="9" xfId="0" applyNumberFormat="1" applyFont="1" applyFill="1" applyBorder="1" applyAlignment="1">
      <alignment horizontal="left"/>
    </xf>
    <xf numFmtId="0" fontId="69" fillId="0" borderId="0" xfId="8" applyNumberFormat="1" applyFont="1" applyAlignment="1">
      <alignment horizontal="left"/>
    </xf>
    <xf numFmtId="14" fontId="0" fillId="0" borderId="0" xfId="0" applyNumberFormat="1"/>
    <xf numFmtId="0" fontId="34" fillId="0" borderId="0" xfId="12" applyFont="1" applyAlignment="1">
      <alignment horizontal="left"/>
    </xf>
    <xf numFmtId="0" fontId="83" fillId="0" borderId="0" xfId="12" applyFont="1" applyAlignment="1">
      <alignment horizontal="right"/>
    </xf>
    <xf numFmtId="0" fontId="84" fillId="0" borderId="0" xfId="0" applyFont="1" applyAlignment="1">
      <alignment horizontal="right"/>
    </xf>
    <xf numFmtId="0" fontId="26" fillId="40" borderId="24" xfId="11" applyFont="1" applyFill="1" applyBorder="1" applyAlignment="1">
      <alignment horizontal="center" vertical="center"/>
    </xf>
    <xf numFmtId="0" fontId="70" fillId="0" borderId="9" xfId="0" applyFont="1" applyBorder="1" applyAlignment="1">
      <alignment horizontal="left"/>
    </xf>
    <xf numFmtId="14" fontId="67" fillId="0" borderId="9" xfId="0" applyNumberFormat="1" applyFont="1" applyBorder="1" applyAlignment="1">
      <alignment horizontal="left"/>
    </xf>
    <xf numFmtId="0" fontId="67" fillId="0" borderId="9" xfId="0" applyFont="1" applyBorder="1" applyAlignment="1">
      <alignment horizontal="left"/>
    </xf>
    <xf numFmtId="0" fontId="34" fillId="0" borderId="9" xfId="12" applyFont="1" applyBorder="1" applyAlignment="1">
      <alignment horizontal="left"/>
    </xf>
    <xf numFmtId="2" fontId="67" fillId="0" borderId="9" xfId="0" applyNumberFormat="1" applyFont="1" applyBorder="1" applyAlignment="1">
      <alignment horizontal="left"/>
    </xf>
    <xf numFmtId="0" fontId="66" fillId="0" borderId="9" xfId="0" applyFont="1" applyBorder="1" applyAlignment="1">
      <alignment horizontal="left"/>
    </xf>
    <xf numFmtId="0" fontId="69" fillId="0" borderId="9" xfId="8" applyFont="1" applyBorder="1" applyAlignment="1">
      <alignment horizontal="left"/>
    </xf>
    <xf numFmtId="0" fontId="82" fillId="0" borderId="9" xfId="11" applyFont="1" applyBorder="1" applyAlignment="1">
      <alignment horizontal="left"/>
    </xf>
    <xf numFmtId="0" fontId="82" fillId="40" borderId="9" xfId="11" applyFont="1" applyFill="1" applyBorder="1" applyAlignment="1">
      <alignment horizontal="left" vertical="center"/>
    </xf>
  </cellXfs>
  <cellStyles count="1127">
    <cellStyle name="20% - Énfasis1" xfId="1086" builtinId="30" customBuiltin="1"/>
    <cellStyle name="20% - Énfasis1 2" xfId="19" xr:uid="{00000000-0005-0000-0000-000013000000}"/>
    <cellStyle name="20% - Énfasis1 2 2" xfId="20" xr:uid="{00000000-0005-0000-0000-000014000000}"/>
    <cellStyle name="20% - Énfasis1 2 2 2" xfId="21" xr:uid="{00000000-0005-0000-0000-000015000000}"/>
    <cellStyle name="20% - Énfasis1 2 2 2 2" xfId="22" xr:uid="{00000000-0005-0000-0000-000016000000}"/>
    <cellStyle name="20% - Énfasis1 2 2 2 2 2" xfId="23" xr:uid="{00000000-0005-0000-0000-000017000000}"/>
    <cellStyle name="20% - Énfasis1 2 2 2 3" xfId="24" xr:uid="{00000000-0005-0000-0000-000018000000}"/>
    <cellStyle name="20% - Énfasis1 2 2 3" xfId="25" xr:uid="{00000000-0005-0000-0000-000019000000}"/>
    <cellStyle name="20% - Énfasis1 2 2 3 2" xfId="26" xr:uid="{00000000-0005-0000-0000-00001A000000}"/>
    <cellStyle name="20% - Énfasis1 2 2 4" xfId="27" xr:uid="{00000000-0005-0000-0000-00001B000000}"/>
    <cellStyle name="20% - Énfasis1 2 3" xfId="28" xr:uid="{00000000-0005-0000-0000-00001C000000}"/>
    <cellStyle name="20% - Énfasis1 2 3 2" xfId="29" xr:uid="{00000000-0005-0000-0000-00001D000000}"/>
    <cellStyle name="20% - Énfasis1 2 3 2 2" xfId="30" xr:uid="{00000000-0005-0000-0000-00001E000000}"/>
    <cellStyle name="20% - Énfasis1 2 3 3" xfId="31" xr:uid="{00000000-0005-0000-0000-00001F000000}"/>
    <cellStyle name="20% - Énfasis1 2 4" xfId="32" xr:uid="{00000000-0005-0000-0000-000020000000}"/>
    <cellStyle name="20% - Énfasis1 2 4 2" xfId="33" xr:uid="{00000000-0005-0000-0000-000021000000}"/>
    <cellStyle name="20% - Énfasis1 2 5" xfId="34" xr:uid="{00000000-0005-0000-0000-000022000000}"/>
    <cellStyle name="20% - Énfasis1 3" xfId="35" xr:uid="{00000000-0005-0000-0000-000023000000}"/>
    <cellStyle name="20% - Énfasis1 3 2" xfId="36" xr:uid="{00000000-0005-0000-0000-000024000000}"/>
    <cellStyle name="20% - Énfasis1 3 2 2" xfId="37" xr:uid="{00000000-0005-0000-0000-000025000000}"/>
    <cellStyle name="20% - Énfasis1 3 2 2 2" xfId="38" xr:uid="{00000000-0005-0000-0000-000026000000}"/>
    <cellStyle name="20% - Énfasis1 3 2 3" xfId="39" xr:uid="{00000000-0005-0000-0000-000027000000}"/>
    <cellStyle name="20% - Énfasis1 3 3" xfId="40" xr:uid="{00000000-0005-0000-0000-000028000000}"/>
    <cellStyle name="20% - Énfasis1 3 3 2" xfId="41" xr:uid="{00000000-0005-0000-0000-000029000000}"/>
    <cellStyle name="20% - Énfasis1 3 4" xfId="42" xr:uid="{00000000-0005-0000-0000-00002A000000}"/>
    <cellStyle name="20% - Énfasis1 4" xfId="43" xr:uid="{00000000-0005-0000-0000-00002B000000}"/>
    <cellStyle name="20% - Énfasis1 4 2" xfId="44" xr:uid="{00000000-0005-0000-0000-00002C000000}"/>
    <cellStyle name="20% - Énfasis1 4 2 2" xfId="45" xr:uid="{00000000-0005-0000-0000-00002D000000}"/>
    <cellStyle name="20% - Énfasis1 4 3" xfId="46" xr:uid="{00000000-0005-0000-0000-00002E000000}"/>
    <cellStyle name="20% - Énfasis1 5" xfId="47" xr:uid="{00000000-0005-0000-0000-00002F000000}"/>
    <cellStyle name="20% - Énfasis1 5 2" xfId="48" xr:uid="{00000000-0005-0000-0000-000030000000}"/>
    <cellStyle name="20% - Énfasis1 6" xfId="49" xr:uid="{00000000-0005-0000-0000-000031000000}"/>
    <cellStyle name="20% - Énfasis2" xfId="1087" builtinId="34" customBuiltin="1"/>
    <cellStyle name="20% - Énfasis2 2" xfId="50" xr:uid="{00000000-0005-0000-0000-000032000000}"/>
    <cellStyle name="20% - Énfasis2 2 2" xfId="51" xr:uid="{00000000-0005-0000-0000-000033000000}"/>
    <cellStyle name="20% - Énfasis2 2 2 2" xfId="52" xr:uid="{00000000-0005-0000-0000-000034000000}"/>
    <cellStyle name="20% - Énfasis2 2 2 2 2" xfId="53" xr:uid="{00000000-0005-0000-0000-000035000000}"/>
    <cellStyle name="20% - Énfasis2 2 2 2 2 2" xfId="54" xr:uid="{00000000-0005-0000-0000-000036000000}"/>
    <cellStyle name="20% - Énfasis2 2 2 2 3" xfId="55" xr:uid="{00000000-0005-0000-0000-000037000000}"/>
    <cellStyle name="20% - Énfasis2 2 2 3" xfId="56" xr:uid="{00000000-0005-0000-0000-000038000000}"/>
    <cellStyle name="20% - Énfasis2 2 2 3 2" xfId="57" xr:uid="{00000000-0005-0000-0000-000039000000}"/>
    <cellStyle name="20% - Énfasis2 2 2 4" xfId="58" xr:uid="{00000000-0005-0000-0000-00003A000000}"/>
    <cellStyle name="20% - Énfasis2 2 3" xfId="59" xr:uid="{00000000-0005-0000-0000-00003B000000}"/>
    <cellStyle name="20% - Énfasis2 2 3 2" xfId="60" xr:uid="{00000000-0005-0000-0000-00003C000000}"/>
    <cellStyle name="20% - Énfasis2 2 3 2 2" xfId="61" xr:uid="{00000000-0005-0000-0000-00003D000000}"/>
    <cellStyle name="20% - Énfasis2 2 3 3" xfId="62" xr:uid="{00000000-0005-0000-0000-00003E000000}"/>
    <cellStyle name="20% - Énfasis2 2 4" xfId="63" xr:uid="{00000000-0005-0000-0000-00003F000000}"/>
    <cellStyle name="20% - Énfasis2 2 4 2" xfId="64" xr:uid="{00000000-0005-0000-0000-000040000000}"/>
    <cellStyle name="20% - Énfasis2 2 5" xfId="65" xr:uid="{00000000-0005-0000-0000-000041000000}"/>
    <cellStyle name="20% - Énfasis2 3" xfId="66" xr:uid="{00000000-0005-0000-0000-000042000000}"/>
    <cellStyle name="20% - Énfasis2 3 2" xfId="67" xr:uid="{00000000-0005-0000-0000-000043000000}"/>
    <cellStyle name="20% - Énfasis2 3 2 2" xfId="68" xr:uid="{00000000-0005-0000-0000-000044000000}"/>
    <cellStyle name="20% - Énfasis2 3 2 2 2" xfId="69" xr:uid="{00000000-0005-0000-0000-000045000000}"/>
    <cellStyle name="20% - Énfasis2 3 2 3" xfId="70" xr:uid="{00000000-0005-0000-0000-000046000000}"/>
    <cellStyle name="20% - Énfasis2 3 3" xfId="71" xr:uid="{00000000-0005-0000-0000-000047000000}"/>
    <cellStyle name="20% - Énfasis2 3 3 2" xfId="72" xr:uid="{00000000-0005-0000-0000-000048000000}"/>
    <cellStyle name="20% - Énfasis2 3 4" xfId="73" xr:uid="{00000000-0005-0000-0000-000049000000}"/>
    <cellStyle name="20% - Énfasis2 4" xfId="74" xr:uid="{00000000-0005-0000-0000-00004A000000}"/>
    <cellStyle name="20% - Énfasis2 4 2" xfId="75" xr:uid="{00000000-0005-0000-0000-00004B000000}"/>
    <cellStyle name="20% - Énfasis2 4 2 2" xfId="76" xr:uid="{00000000-0005-0000-0000-00004C000000}"/>
    <cellStyle name="20% - Énfasis2 4 3" xfId="77" xr:uid="{00000000-0005-0000-0000-00004D000000}"/>
    <cellStyle name="20% - Énfasis2 5" xfId="78" xr:uid="{00000000-0005-0000-0000-00004E000000}"/>
    <cellStyle name="20% - Énfasis2 5 2" xfId="79" xr:uid="{00000000-0005-0000-0000-00004F000000}"/>
    <cellStyle name="20% - Énfasis2 6" xfId="80" xr:uid="{00000000-0005-0000-0000-000050000000}"/>
    <cellStyle name="20% - Énfasis3" xfId="1088" builtinId="38" customBuiltin="1"/>
    <cellStyle name="20% - Énfasis3 2" xfId="81" xr:uid="{00000000-0005-0000-0000-000051000000}"/>
    <cellStyle name="20% - Énfasis3 2 2" xfId="82" xr:uid="{00000000-0005-0000-0000-000052000000}"/>
    <cellStyle name="20% - Énfasis3 2 2 2" xfId="83" xr:uid="{00000000-0005-0000-0000-000053000000}"/>
    <cellStyle name="20% - Énfasis3 2 2 2 2" xfId="84" xr:uid="{00000000-0005-0000-0000-000054000000}"/>
    <cellStyle name="20% - Énfasis3 2 2 2 2 2" xfId="85" xr:uid="{00000000-0005-0000-0000-000055000000}"/>
    <cellStyle name="20% - Énfasis3 2 2 2 3" xfId="86" xr:uid="{00000000-0005-0000-0000-000056000000}"/>
    <cellStyle name="20% - Énfasis3 2 2 3" xfId="87" xr:uid="{00000000-0005-0000-0000-000057000000}"/>
    <cellStyle name="20% - Énfasis3 2 2 3 2" xfId="88" xr:uid="{00000000-0005-0000-0000-000058000000}"/>
    <cellStyle name="20% - Énfasis3 2 2 4" xfId="89" xr:uid="{00000000-0005-0000-0000-000059000000}"/>
    <cellStyle name="20% - Énfasis3 2 3" xfId="90" xr:uid="{00000000-0005-0000-0000-00005A000000}"/>
    <cellStyle name="20% - Énfasis3 2 3 2" xfId="91" xr:uid="{00000000-0005-0000-0000-00005B000000}"/>
    <cellStyle name="20% - Énfasis3 2 3 2 2" xfId="92" xr:uid="{00000000-0005-0000-0000-00005C000000}"/>
    <cellStyle name="20% - Énfasis3 2 3 3" xfId="93" xr:uid="{00000000-0005-0000-0000-00005D000000}"/>
    <cellStyle name="20% - Énfasis3 2 4" xfId="94" xr:uid="{00000000-0005-0000-0000-00005E000000}"/>
    <cellStyle name="20% - Énfasis3 2 4 2" xfId="95" xr:uid="{00000000-0005-0000-0000-00005F000000}"/>
    <cellStyle name="20% - Énfasis3 2 5" xfId="96" xr:uid="{00000000-0005-0000-0000-000060000000}"/>
    <cellStyle name="20% - Énfasis3 3" xfId="97" xr:uid="{00000000-0005-0000-0000-000061000000}"/>
    <cellStyle name="20% - Énfasis3 3 2" xfId="98" xr:uid="{00000000-0005-0000-0000-000062000000}"/>
    <cellStyle name="20% - Énfasis3 3 2 2" xfId="99" xr:uid="{00000000-0005-0000-0000-000063000000}"/>
    <cellStyle name="20% - Énfasis3 3 2 2 2" xfId="100" xr:uid="{00000000-0005-0000-0000-000064000000}"/>
    <cellStyle name="20% - Énfasis3 3 2 3" xfId="101" xr:uid="{00000000-0005-0000-0000-000065000000}"/>
    <cellStyle name="20% - Énfasis3 3 3" xfId="102" xr:uid="{00000000-0005-0000-0000-000066000000}"/>
    <cellStyle name="20% - Énfasis3 3 3 2" xfId="103" xr:uid="{00000000-0005-0000-0000-000067000000}"/>
    <cellStyle name="20% - Énfasis3 3 4" xfId="104" xr:uid="{00000000-0005-0000-0000-000068000000}"/>
    <cellStyle name="20% - Énfasis3 4" xfId="105" xr:uid="{00000000-0005-0000-0000-000069000000}"/>
    <cellStyle name="20% - Énfasis3 4 2" xfId="106" xr:uid="{00000000-0005-0000-0000-00006A000000}"/>
    <cellStyle name="20% - Énfasis3 4 2 2" xfId="107" xr:uid="{00000000-0005-0000-0000-00006B000000}"/>
    <cellStyle name="20% - Énfasis3 4 3" xfId="108" xr:uid="{00000000-0005-0000-0000-00006C000000}"/>
    <cellStyle name="20% - Énfasis3 5" xfId="109" xr:uid="{00000000-0005-0000-0000-00006D000000}"/>
    <cellStyle name="20% - Énfasis3 5 2" xfId="110" xr:uid="{00000000-0005-0000-0000-00006E000000}"/>
    <cellStyle name="20% - Énfasis3 6" xfId="111" xr:uid="{00000000-0005-0000-0000-00006F000000}"/>
    <cellStyle name="20% - Énfasis4" xfId="1089" builtinId="42" customBuiltin="1"/>
    <cellStyle name="20% - Énfasis4 2" xfId="112" xr:uid="{00000000-0005-0000-0000-000070000000}"/>
    <cellStyle name="20% - Énfasis4 2 2" xfId="113" xr:uid="{00000000-0005-0000-0000-000071000000}"/>
    <cellStyle name="20% - Énfasis4 2 2 2" xfId="114" xr:uid="{00000000-0005-0000-0000-000072000000}"/>
    <cellStyle name="20% - Énfasis4 2 2 2 2" xfId="115" xr:uid="{00000000-0005-0000-0000-000073000000}"/>
    <cellStyle name="20% - Énfasis4 2 2 2 2 2" xfId="116" xr:uid="{00000000-0005-0000-0000-000074000000}"/>
    <cellStyle name="20% - Énfasis4 2 2 2 3" xfId="117" xr:uid="{00000000-0005-0000-0000-000075000000}"/>
    <cellStyle name="20% - Énfasis4 2 2 3" xfId="118" xr:uid="{00000000-0005-0000-0000-000076000000}"/>
    <cellStyle name="20% - Énfasis4 2 2 3 2" xfId="119" xr:uid="{00000000-0005-0000-0000-000077000000}"/>
    <cellStyle name="20% - Énfasis4 2 2 4" xfId="120" xr:uid="{00000000-0005-0000-0000-000078000000}"/>
    <cellStyle name="20% - Énfasis4 2 3" xfId="121" xr:uid="{00000000-0005-0000-0000-000079000000}"/>
    <cellStyle name="20% - Énfasis4 2 3 2" xfId="122" xr:uid="{00000000-0005-0000-0000-00007A000000}"/>
    <cellStyle name="20% - Énfasis4 2 3 2 2" xfId="123" xr:uid="{00000000-0005-0000-0000-00007B000000}"/>
    <cellStyle name="20% - Énfasis4 2 3 3" xfId="124" xr:uid="{00000000-0005-0000-0000-00007C000000}"/>
    <cellStyle name="20% - Énfasis4 2 4" xfId="125" xr:uid="{00000000-0005-0000-0000-00007D000000}"/>
    <cellStyle name="20% - Énfasis4 2 4 2" xfId="126" xr:uid="{00000000-0005-0000-0000-00007E000000}"/>
    <cellStyle name="20% - Énfasis4 2 5" xfId="127" xr:uid="{00000000-0005-0000-0000-00007F000000}"/>
    <cellStyle name="20% - Énfasis4 3" xfId="128" xr:uid="{00000000-0005-0000-0000-000080000000}"/>
    <cellStyle name="20% - Énfasis4 3 2" xfId="129" xr:uid="{00000000-0005-0000-0000-000081000000}"/>
    <cellStyle name="20% - Énfasis4 3 2 2" xfId="130" xr:uid="{00000000-0005-0000-0000-000082000000}"/>
    <cellStyle name="20% - Énfasis4 3 2 2 2" xfId="131" xr:uid="{00000000-0005-0000-0000-000083000000}"/>
    <cellStyle name="20% - Énfasis4 3 2 3" xfId="132" xr:uid="{00000000-0005-0000-0000-000084000000}"/>
    <cellStyle name="20% - Énfasis4 3 3" xfId="133" xr:uid="{00000000-0005-0000-0000-000085000000}"/>
    <cellStyle name="20% - Énfasis4 3 3 2" xfId="134" xr:uid="{00000000-0005-0000-0000-000086000000}"/>
    <cellStyle name="20% - Énfasis4 3 4" xfId="135" xr:uid="{00000000-0005-0000-0000-000087000000}"/>
    <cellStyle name="20% - Énfasis4 4" xfId="136" xr:uid="{00000000-0005-0000-0000-000088000000}"/>
    <cellStyle name="20% - Énfasis4 4 2" xfId="137" xr:uid="{00000000-0005-0000-0000-000089000000}"/>
    <cellStyle name="20% - Énfasis4 4 2 2" xfId="138" xr:uid="{00000000-0005-0000-0000-00008A000000}"/>
    <cellStyle name="20% - Énfasis4 4 3" xfId="139" xr:uid="{00000000-0005-0000-0000-00008B000000}"/>
    <cellStyle name="20% - Énfasis4 5" xfId="140" xr:uid="{00000000-0005-0000-0000-00008C000000}"/>
    <cellStyle name="20% - Énfasis4 5 2" xfId="141" xr:uid="{00000000-0005-0000-0000-00008D000000}"/>
    <cellStyle name="20% - Énfasis4 6" xfId="142" xr:uid="{00000000-0005-0000-0000-00008E000000}"/>
    <cellStyle name="20% - Énfasis5" xfId="1090" builtinId="46" customBuiltin="1"/>
    <cellStyle name="20% - Énfasis5 2" xfId="143" xr:uid="{00000000-0005-0000-0000-00008F000000}"/>
    <cellStyle name="20% - Énfasis5 2 2" xfId="144" xr:uid="{00000000-0005-0000-0000-000090000000}"/>
    <cellStyle name="20% - Énfasis5 2 2 2" xfId="145" xr:uid="{00000000-0005-0000-0000-000091000000}"/>
    <cellStyle name="20% - Énfasis5 2 2 2 2" xfId="146" xr:uid="{00000000-0005-0000-0000-000092000000}"/>
    <cellStyle name="20% - Énfasis5 2 2 2 2 2" xfId="147" xr:uid="{00000000-0005-0000-0000-000093000000}"/>
    <cellStyle name="20% - Énfasis5 2 2 2 3" xfId="148" xr:uid="{00000000-0005-0000-0000-000094000000}"/>
    <cellStyle name="20% - Énfasis5 2 2 3" xfId="149" xr:uid="{00000000-0005-0000-0000-000095000000}"/>
    <cellStyle name="20% - Énfasis5 2 2 3 2" xfId="150" xr:uid="{00000000-0005-0000-0000-000096000000}"/>
    <cellStyle name="20% - Énfasis5 2 2 4" xfId="151" xr:uid="{00000000-0005-0000-0000-000097000000}"/>
    <cellStyle name="20% - Énfasis5 2 3" xfId="152" xr:uid="{00000000-0005-0000-0000-000098000000}"/>
    <cellStyle name="20% - Énfasis5 2 3 2" xfId="153" xr:uid="{00000000-0005-0000-0000-000099000000}"/>
    <cellStyle name="20% - Énfasis5 2 3 2 2" xfId="154" xr:uid="{00000000-0005-0000-0000-00009A000000}"/>
    <cellStyle name="20% - Énfasis5 2 3 3" xfId="155" xr:uid="{00000000-0005-0000-0000-00009B000000}"/>
    <cellStyle name="20% - Énfasis5 2 4" xfId="156" xr:uid="{00000000-0005-0000-0000-00009C000000}"/>
    <cellStyle name="20% - Énfasis5 2 4 2" xfId="157" xr:uid="{00000000-0005-0000-0000-00009D000000}"/>
    <cellStyle name="20% - Énfasis5 2 5" xfId="158" xr:uid="{00000000-0005-0000-0000-00009E000000}"/>
    <cellStyle name="20% - Énfasis5 3" xfId="159" xr:uid="{00000000-0005-0000-0000-00009F000000}"/>
    <cellStyle name="20% - Énfasis5 3 2" xfId="160" xr:uid="{00000000-0005-0000-0000-0000A0000000}"/>
    <cellStyle name="20% - Énfasis5 3 2 2" xfId="161" xr:uid="{00000000-0005-0000-0000-0000A1000000}"/>
    <cellStyle name="20% - Énfasis5 3 2 2 2" xfId="162" xr:uid="{00000000-0005-0000-0000-0000A2000000}"/>
    <cellStyle name="20% - Énfasis5 3 2 3" xfId="163" xr:uid="{00000000-0005-0000-0000-0000A3000000}"/>
    <cellStyle name="20% - Énfasis5 3 3" xfId="164" xr:uid="{00000000-0005-0000-0000-0000A4000000}"/>
    <cellStyle name="20% - Énfasis5 3 3 2" xfId="165" xr:uid="{00000000-0005-0000-0000-0000A5000000}"/>
    <cellStyle name="20% - Énfasis5 3 4" xfId="166" xr:uid="{00000000-0005-0000-0000-0000A6000000}"/>
    <cellStyle name="20% - Énfasis5 4" xfId="167" xr:uid="{00000000-0005-0000-0000-0000A7000000}"/>
    <cellStyle name="20% - Énfasis5 4 2" xfId="168" xr:uid="{00000000-0005-0000-0000-0000A8000000}"/>
    <cellStyle name="20% - Énfasis5 4 2 2" xfId="169" xr:uid="{00000000-0005-0000-0000-0000A9000000}"/>
    <cellStyle name="20% - Énfasis5 4 3" xfId="170" xr:uid="{00000000-0005-0000-0000-0000AA000000}"/>
    <cellStyle name="20% - Énfasis5 5" xfId="171" xr:uid="{00000000-0005-0000-0000-0000AB000000}"/>
    <cellStyle name="20% - Énfasis5 5 2" xfId="172" xr:uid="{00000000-0005-0000-0000-0000AC000000}"/>
    <cellStyle name="20% - Énfasis5 6" xfId="173" xr:uid="{00000000-0005-0000-0000-0000AD000000}"/>
    <cellStyle name="20% - Énfasis6" xfId="1091" builtinId="50" customBuiltin="1"/>
    <cellStyle name="20% - Énfasis6 2" xfId="174" xr:uid="{00000000-0005-0000-0000-0000AE000000}"/>
    <cellStyle name="20% - Énfasis6 2 2" xfId="175" xr:uid="{00000000-0005-0000-0000-0000AF000000}"/>
    <cellStyle name="20% - Énfasis6 2 2 2" xfId="176" xr:uid="{00000000-0005-0000-0000-0000B0000000}"/>
    <cellStyle name="20% - Énfasis6 2 2 2 2" xfId="177" xr:uid="{00000000-0005-0000-0000-0000B1000000}"/>
    <cellStyle name="20% - Énfasis6 2 2 2 2 2" xfId="178" xr:uid="{00000000-0005-0000-0000-0000B2000000}"/>
    <cellStyle name="20% - Énfasis6 2 2 2 3" xfId="179" xr:uid="{00000000-0005-0000-0000-0000B3000000}"/>
    <cellStyle name="20% - Énfasis6 2 2 3" xfId="180" xr:uid="{00000000-0005-0000-0000-0000B4000000}"/>
    <cellStyle name="20% - Énfasis6 2 2 3 2" xfId="181" xr:uid="{00000000-0005-0000-0000-0000B5000000}"/>
    <cellStyle name="20% - Énfasis6 2 2 4" xfId="182" xr:uid="{00000000-0005-0000-0000-0000B6000000}"/>
    <cellStyle name="20% - Énfasis6 2 3" xfId="183" xr:uid="{00000000-0005-0000-0000-0000B7000000}"/>
    <cellStyle name="20% - Énfasis6 2 3 2" xfId="184" xr:uid="{00000000-0005-0000-0000-0000B8000000}"/>
    <cellStyle name="20% - Énfasis6 2 3 2 2" xfId="185" xr:uid="{00000000-0005-0000-0000-0000B9000000}"/>
    <cellStyle name="20% - Énfasis6 2 3 3" xfId="186" xr:uid="{00000000-0005-0000-0000-0000BA000000}"/>
    <cellStyle name="20% - Énfasis6 2 4" xfId="187" xr:uid="{00000000-0005-0000-0000-0000BB000000}"/>
    <cellStyle name="20% - Énfasis6 2 4 2" xfId="188" xr:uid="{00000000-0005-0000-0000-0000BC000000}"/>
    <cellStyle name="20% - Énfasis6 2 5" xfId="189" xr:uid="{00000000-0005-0000-0000-0000BD000000}"/>
    <cellStyle name="20% - Énfasis6 3" xfId="190" xr:uid="{00000000-0005-0000-0000-0000BE000000}"/>
    <cellStyle name="20% - Énfasis6 3 2" xfId="191" xr:uid="{00000000-0005-0000-0000-0000BF000000}"/>
    <cellStyle name="20% - Énfasis6 3 2 2" xfId="192" xr:uid="{00000000-0005-0000-0000-0000C0000000}"/>
    <cellStyle name="20% - Énfasis6 3 2 2 2" xfId="193" xr:uid="{00000000-0005-0000-0000-0000C1000000}"/>
    <cellStyle name="20% - Énfasis6 3 2 3" xfId="194" xr:uid="{00000000-0005-0000-0000-0000C2000000}"/>
    <cellStyle name="20% - Énfasis6 3 3" xfId="195" xr:uid="{00000000-0005-0000-0000-0000C3000000}"/>
    <cellStyle name="20% - Énfasis6 3 3 2" xfId="196" xr:uid="{00000000-0005-0000-0000-0000C4000000}"/>
    <cellStyle name="20% - Énfasis6 3 4" xfId="197" xr:uid="{00000000-0005-0000-0000-0000C5000000}"/>
    <cellStyle name="20% - Énfasis6 4" xfId="198" xr:uid="{00000000-0005-0000-0000-0000C6000000}"/>
    <cellStyle name="20% - Énfasis6 4 2" xfId="199" xr:uid="{00000000-0005-0000-0000-0000C7000000}"/>
    <cellStyle name="20% - Énfasis6 4 2 2" xfId="200" xr:uid="{00000000-0005-0000-0000-0000C8000000}"/>
    <cellStyle name="20% - Énfasis6 4 3" xfId="201" xr:uid="{00000000-0005-0000-0000-0000C9000000}"/>
    <cellStyle name="20% - Énfasis6 5" xfId="202" xr:uid="{00000000-0005-0000-0000-0000CA000000}"/>
    <cellStyle name="20% - Énfasis6 5 2" xfId="203" xr:uid="{00000000-0005-0000-0000-0000CB000000}"/>
    <cellStyle name="20% - Énfasis6 6" xfId="204" xr:uid="{00000000-0005-0000-0000-0000CC000000}"/>
    <cellStyle name="40% - Énfasis1" xfId="1092" builtinId="31" customBuiltin="1"/>
    <cellStyle name="40% - Énfasis1 2" xfId="205" xr:uid="{00000000-0005-0000-0000-0000CD000000}"/>
    <cellStyle name="40% - Énfasis1 2 2" xfId="206" xr:uid="{00000000-0005-0000-0000-0000CE000000}"/>
    <cellStyle name="40% - Énfasis1 2 2 2" xfId="207" xr:uid="{00000000-0005-0000-0000-0000CF000000}"/>
    <cellStyle name="40% - Énfasis1 2 2 2 2" xfId="208" xr:uid="{00000000-0005-0000-0000-0000D0000000}"/>
    <cellStyle name="40% - Énfasis1 2 2 2 2 2" xfId="209" xr:uid="{00000000-0005-0000-0000-0000D1000000}"/>
    <cellStyle name="40% - Énfasis1 2 2 2 3" xfId="210" xr:uid="{00000000-0005-0000-0000-0000D2000000}"/>
    <cellStyle name="40% - Énfasis1 2 2 3" xfId="211" xr:uid="{00000000-0005-0000-0000-0000D3000000}"/>
    <cellStyle name="40% - Énfasis1 2 2 3 2" xfId="212" xr:uid="{00000000-0005-0000-0000-0000D4000000}"/>
    <cellStyle name="40% - Énfasis1 2 2 4" xfId="213" xr:uid="{00000000-0005-0000-0000-0000D5000000}"/>
    <cellStyle name="40% - Énfasis1 2 3" xfId="214" xr:uid="{00000000-0005-0000-0000-0000D6000000}"/>
    <cellStyle name="40% - Énfasis1 2 3 2" xfId="215" xr:uid="{00000000-0005-0000-0000-0000D7000000}"/>
    <cellStyle name="40% - Énfasis1 2 3 2 2" xfId="216" xr:uid="{00000000-0005-0000-0000-0000D8000000}"/>
    <cellStyle name="40% - Énfasis1 2 3 3" xfId="217" xr:uid="{00000000-0005-0000-0000-0000D9000000}"/>
    <cellStyle name="40% - Énfasis1 2 4" xfId="218" xr:uid="{00000000-0005-0000-0000-0000DA000000}"/>
    <cellStyle name="40% - Énfasis1 2 4 2" xfId="219" xr:uid="{00000000-0005-0000-0000-0000DB000000}"/>
    <cellStyle name="40% - Énfasis1 2 5" xfId="220" xr:uid="{00000000-0005-0000-0000-0000DC000000}"/>
    <cellStyle name="40% - Énfasis1 3" xfId="221" xr:uid="{00000000-0005-0000-0000-0000DD000000}"/>
    <cellStyle name="40% - Énfasis1 3 2" xfId="222" xr:uid="{00000000-0005-0000-0000-0000DE000000}"/>
    <cellStyle name="40% - Énfasis1 3 2 2" xfId="223" xr:uid="{00000000-0005-0000-0000-0000DF000000}"/>
    <cellStyle name="40% - Énfasis1 3 2 2 2" xfId="224" xr:uid="{00000000-0005-0000-0000-0000E0000000}"/>
    <cellStyle name="40% - Énfasis1 3 2 3" xfId="225" xr:uid="{00000000-0005-0000-0000-0000E1000000}"/>
    <cellStyle name="40% - Énfasis1 3 3" xfId="226" xr:uid="{00000000-0005-0000-0000-0000E2000000}"/>
    <cellStyle name="40% - Énfasis1 3 3 2" xfId="227" xr:uid="{00000000-0005-0000-0000-0000E3000000}"/>
    <cellStyle name="40% - Énfasis1 3 4" xfId="228" xr:uid="{00000000-0005-0000-0000-0000E4000000}"/>
    <cellStyle name="40% - Énfasis1 4" xfId="229" xr:uid="{00000000-0005-0000-0000-0000E5000000}"/>
    <cellStyle name="40% - Énfasis1 4 2" xfId="230" xr:uid="{00000000-0005-0000-0000-0000E6000000}"/>
    <cellStyle name="40% - Énfasis1 4 2 2" xfId="231" xr:uid="{00000000-0005-0000-0000-0000E7000000}"/>
    <cellStyle name="40% - Énfasis1 4 3" xfId="232" xr:uid="{00000000-0005-0000-0000-0000E8000000}"/>
    <cellStyle name="40% - Énfasis1 5" xfId="233" xr:uid="{00000000-0005-0000-0000-0000E9000000}"/>
    <cellStyle name="40% - Énfasis1 5 2" xfId="234" xr:uid="{00000000-0005-0000-0000-0000EA000000}"/>
    <cellStyle name="40% - Énfasis1 6" xfId="235" xr:uid="{00000000-0005-0000-0000-0000EB000000}"/>
    <cellStyle name="40% - Énfasis2" xfId="1093" builtinId="35" customBuiltin="1"/>
    <cellStyle name="40% - Énfasis2 2" xfId="236" xr:uid="{00000000-0005-0000-0000-0000EC000000}"/>
    <cellStyle name="40% - Énfasis2 2 2" xfId="237" xr:uid="{00000000-0005-0000-0000-0000ED000000}"/>
    <cellStyle name="40% - Énfasis2 2 2 2" xfId="238" xr:uid="{00000000-0005-0000-0000-0000EE000000}"/>
    <cellStyle name="40% - Énfasis2 2 2 2 2" xfId="239" xr:uid="{00000000-0005-0000-0000-0000EF000000}"/>
    <cellStyle name="40% - Énfasis2 2 2 2 2 2" xfId="240" xr:uid="{00000000-0005-0000-0000-0000F0000000}"/>
    <cellStyle name="40% - Énfasis2 2 2 2 3" xfId="241" xr:uid="{00000000-0005-0000-0000-0000F1000000}"/>
    <cellStyle name="40% - Énfasis2 2 2 3" xfId="242" xr:uid="{00000000-0005-0000-0000-0000F2000000}"/>
    <cellStyle name="40% - Énfasis2 2 2 3 2" xfId="243" xr:uid="{00000000-0005-0000-0000-0000F3000000}"/>
    <cellStyle name="40% - Énfasis2 2 2 4" xfId="244" xr:uid="{00000000-0005-0000-0000-0000F4000000}"/>
    <cellStyle name="40% - Énfasis2 2 3" xfId="245" xr:uid="{00000000-0005-0000-0000-0000F5000000}"/>
    <cellStyle name="40% - Énfasis2 2 3 2" xfId="246" xr:uid="{00000000-0005-0000-0000-0000F6000000}"/>
    <cellStyle name="40% - Énfasis2 2 3 2 2" xfId="247" xr:uid="{00000000-0005-0000-0000-0000F7000000}"/>
    <cellStyle name="40% - Énfasis2 2 3 3" xfId="248" xr:uid="{00000000-0005-0000-0000-0000F8000000}"/>
    <cellStyle name="40% - Énfasis2 2 4" xfId="249" xr:uid="{00000000-0005-0000-0000-0000F9000000}"/>
    <cellStyle name="40% - Énfasis2 2 4 2" xfId="250" xr:uid="{00000000-0005-0000-0000-0000FA000000}"/>
    <cellStyle name="40% - Énfasis2 2 5" xfId="251" xr:uid="{00000000-0005-0000-0000-0000FB000000}"/>
    <cellStyle name="40% - Énfasis2 3" xfId="252" xr:uid="{00000000-0005-0000-0000-0000FC000000}"/>
    <cellStyle name="40% - Énfasis2 3 2" xfId="253" xr:uid="{00000000-0005-0000-0000-0000FD000000}"/>
    <cellStyle name="40% - Énfasis2 3 2 2" xfId="254" xr:uid="{00000000-0005-0000-0000-0000FE000000}"/>
    <cellStyle name="40% - Énfasis2 3 2 2 2" xfId="255" xr:uid="{00000000-0005-0000-0000-0000FF000000}"/>
    <cellStyle name="40% - Énfasis2 3 2 3" xfId="256" xr:uid="{00000000-0005-0000-0000-000000010000}"/>
    <cellStyle name="40% - Énfasis2 3 3" xfId="257" xr:uid="{00000000-0005-0000-0000-000001010000}"/>
    <cellStyle name="40% - Énfasis2 3 3 2" xfId="258" xr:uid="{00000000-0005-0000-0000-000002010000}"/>
    <cellStyle name="40% - Énfasis2 3 4" xfId="259" xr:uid="{00000000-0005-0000-0000-000003010000}"/>
    <cellStyle name="40% - Énfasis2 4" xfId="260" xr:uid="{00000000-0005-0000-0000-000004010000}"/>
    <cellStyle name="40% - Énfasis2 4 2" xfId="261" xr:uid="{00000000-0005-0000-0000-000005010000}"/>
    <cellStyle name="40% - Énfasis2 4 2 2" xfId="262" xr:uid="{00000000-0005-0000-0000-000006010000}"/>
    <cellStyle name="40% - Énfasis2 4 3" xfId="263" xr:uid="{00000000-0005-0000-0000-000007010000}"/>
    <cellStyle name="40% - Énfasis2 5" xfId="264" xr:uid="{00000000-0005-0000-0000-000008010000}"/>
    <cellStyle name="40% - Énfasis2 5 2" xfId="265" xr:uid="{00000000-0005-0000-0000-000009010000}"/>
    <cellStyle name="40% - Énfasis2 6" xfId="266" xr:uid="{00000000-0005-0000-0000-00000A010000}"/>
    <cellStyle name="40% - Énfasis3" xfId="1094" builtinId="39" customBuiltin="1"/>
    <cellStyle name="40% - Énfasis3 2" xfId="267" xr:uid="{00000000-0005-0000-0000-00000B010000}"/>
    <cellStyle name="40% - Énfasis3 2 2" xfId="268" xr:uid="{00000000-0005-0000-0000-00000C010000}"/>
    <cellStyle name="40% - Énfasis3 2 2 2" xfId="269" xr:uid="{00000000-0005-0000-0000-00000D010000}"/>
    <cellStyle name="40% - Énfasis3 2 2 2 2" xfId="270" xr:uid="{00000000-0005-0000-0000-00000E010000}"/>
    <cellStyle name="40% - Énfasis3 2 2 2 2 2" xfId="271" xr:uid="{00000000-0005-0000-0000-00000F010000}"/>
    <cellStyle name="40% - Énfasis3 2 2 2 3" xfId="272" xr:uid="{00000000-0005-0000-0000-000010010000}"/>
    <cellStyle name="40% - Énfasis3 2 2 3" xfId="273" xr:uid="{00000000-0005-0000-0000-000011010000}"/>
    <cellStyle name="40% - Énfasis3 2 2 3 2" xfId="274" xr:uid="{00000000-0005-0000-0000-000012010000}"/>
    <cellStyle name="40% - Énfasis3 2 2 4" xfId="275" xr:uid="{00000000-0005-0000-0000-000013010000}"/>
    <cellStyle name="40% - Énfasis3 2 3" xfId="276" xr:uid="{00000000-0005-0000-0000-000014010000}"/>
    <cellStyle name="40% - Énfasis3 2 3 2" xfId="277" xr:uid="{00000000-0005-0000-0000-000015010000}"/>
    <cellStyle name="40% - Énfasis3 2 3 2 2" xfId="278" xr:uid="{00000000-0005-0000-0000-000016010000}"/>
    <cellStyle name="40% - Énfasis3 2 3 3" xfId="279" xr:uid="{00000000-0005-0000-0000-000017010000}"/>
    <cellStyle name="40% - Énfasis3 2 4" xfId="280" xr:uid="{00000000-0005-0000-0000-000018010000}"/>
    <cellStyle name="40% - Énfasis3 2 4 2" xfId="281" xr:uid="{00000000-0005-0000-0000-000019010000}"/>
    <cellStyle name="40% - Énfasis3 2 5" xfId="282" xr:uid="{00000000-0005-0000-0000-00001A010000}"/>
    <cellStyle name="40% - Énfasis3 3" xfId="283" xr:uid="{00000000-0005-0000-0000-00001B010000}"/>
    <cellStyle name="40% - Énfasis3 3 2" xfId="284" xr:uid="{00000000-0005-0000-0000-00001C010000}"/>
    <cellStyle name="40% - Énfasis3 3 2 2" xfId="285" xr:uid="{00000000-0005-0000-0000-00001D010000}"/>
    <cellStyle name="40% - Énfasis3 3 2 2 2" xfId="286" xr:uid="{00000000-0005-0000-0000-00001E010000}"/>
    <cellStyle name="40% - Énfasis3 3 2 3" xfId="287" xr:uid="{00000000-0005-0000-0000-00001F010000}"/>
    <cellStyle name="40% - Énfasis3 3 3" xfId="288" xr:uid="{00000000-0005-0000-0000-000020010000}"/>
    <cellStyle name="40% - Énfasis3 3 3 2" xfId="289" xr:uid="{00000000-0005-0000-0000-000021010000}"/>
    <cellStyle name="40% - Énfasis3 3 4" xfId="290" xr:uid="{00000000-0005-0000-0000-000022010000}"/>
    <cellStyle name="40% - Énfasis3 4" xfId="291" xr:uid="{00000000-0005-0000-0000-000023010000}"/>
    <cellStyle name="40% - Énfasis3 4 2" xfId="292" xr:uid="{00000000-0005-0000-0000-000024010000}"/>
    <cellStyle name="40% - Énfasis3 4 2 2" xfId="293" xr:uid="{00000000-0005-0000-0000-000025010000}"/>
    <cellStyle name="40% - Énfasis3 4 3" xfId="294" xr:uid="{00000000-0005-0000-0000-000026010000}"/>
    <cellStyle name="40% - Énfasis3 5" xfId="295" xr:uid="{00000000-0005-0000-0000-000027010000}"/>
    <cellStyle name="40% - Énfasis3 5 2" xfId="296" xr:uid="{00000000-0005-0000-0000-000028010000}"/>
    <cellStyle name="40% - Énfasis3 6" xfId="297" xr:uid="{00000000-0005-0000-0000-000029010000}"/>
    <cellStyle name="40% - Énfasis4" xfId="1095" builtinId="43" customBuiltin="1"/>
    <cellStyle name="40% - Énfasis4 2" xfId="298" xr:uid="{00000000-0005-0000-0000-00002A010000}"/>
    <cellStyle name="40% - Énfasis4 2 2" xfId="299" xr:uid="{00000000-0005-0000-0000-00002B010000}"/>
    <cellStyle name="40% - Énfasis4 2 2 2" xfId="300" xr:uid="{00000000-0005-0000-0000-00002C010000}"/>
    <cellStyle name="40% - Énfasis4 2 2 2 2" xfId="301" xr:uid="{00000000-0005-0000-0000-00002D010000}"/>
    <cellStyle name="40% - Énfasis4 2 2 2 2 2" xfId="302" xr:uid="{00000000-0005-0000-0000-00002E010000}"/>
    <cellStyle name="40% - Énfasis4 2 2 2 3" xfId="303" xr:uid="{00000000-0005-0000-0000-00002F010000}"/>
    <cellStyle name="40% - Énfasis4 2 2 3" xfId="304" xr:uid="{00000000-0005-0000-0000-000030010000}"/>
    <cellStyle name="40% - Énfasis4 2 2 3 2" xfId="305" xr:uid="{00000000-0005-0000-0000-000031010000}"/>
    <cellStyle name="40% - Énfasis4 2 2 4" xfId="306" xr:uid="{00000000-0005-0000-0000-000032010000}"/>
    <cellStyle name="40% - Énfasis4 2 3" xfId="307" xr:uid="{00000000-0005-0000-0000-000033010000}"/>
    <cellStyle name="40% - Énfasis4 2 3 2" xfId="308" xr:uid="{00000000-0005-0000-0000-000034010000}"/>
    <cellStyle name="40% - Énfasis4 2 3 2 2" xfId="309" xr:uid="{00000000-0005-0000-0000-000035010000}"/>
    <cellStyle name="40% - Énfasis4 2 3 3" xfId="310" xr:uid="{00000000-0005-0000-0000-000036010000}"/>
    <cellStyle name="40% - Énfasis4 2 4" xfId="311" xr:uid="{00000000-0005-0000-0000-000037010000}"/>
    <cellStyle name="40% - Énfasis4 2 4 2" xfId="312" xr:uid="{00000000-0005-0000-0000-000038010000}"/>
    <cellStyle name="40% - Énfasis4 2 5" xfId="313" xr:uid="{00000000-0005-0000-0000-000039010000}"/>
    <cellStyle name="40% - Énfasis4 3" xfId="314" xr:uid="{00000000-0005-0000-0000-00003A010000}"/>
    <cellStyle name="40% - Énfasis4 3 2" xfId="315" xr:uid="{00000000-0005-0000-0000-00003B010000}"/>
    <cellStyle name="40% - Énfasis4 3 2 2" xfId="316" xr:uid="{00000000-0005-0000-0000-00003C010000}"/>
    <cellStyle name="40% - Énfasis4 3 2 2 2" xfId="317" xr:uid="{00000000-0005-0000-0000-00003D010000}"/>
    <cellStyle name="40% - Énfasis4 3 2 3" xfId="318" xr:uid="{00000000-0005-0000-0000-00003E010000}"/>
    <cellStyle name="40% - Énfasis4 3 3" xfId="319" xr:uid="{00000000-0005-0000-0000-00003F010000}"/>
    <cellStyle name="40% - Énfasis4 3 3 2" xfId="320" xr:uid="{00000000-0005-0000-0000-000040010000}"/>
    <cellStyle name="40% - Énfasis4 3 4" xfId="321" xr:uid="{00000000-0005-0000-0000-000041010000}"/>
    <cellStyle name="40% - Énfasis4 4" xfId="322" xr:uid="{00000000-0005-0000-0000-000042010000}"/>
    <cellStyle name="40% - Énfasis4 4 2" xfId="323" xr:uid="{00000000-0005-0000-0000-000043010000}"/>
    <cellStyle name="40% - Énfasis4 4 2 2" xfId="324" xr:uid="{00000000-0005-0000-0000-000044010000}"/>
    <cellStyle name="40% - Énfasis4 4 3" xfId="325" xr:uid="{00000000-0005-0000-0000-000045010000}"/>
    <cellStyle name="40% - Énfasis4 5" xfId="326" xr:uid="{00000000-0005-0000-0000-000046010000}"/>
    <cellStyle name="40% - Énfasis4 5 2" xfId="327" xr:uid="{00000000-0005-0000-0000-000047010000}"/>
    <cellStyle name="40% - Énfasis4 6" xfId="328" xr:uid="{00000000-0005-0000-0000-000048010000}"/>
    <cellStyle name="40% - Énfasis5" xfId="1096" builtinId="47" customBuiltin="1"/>
    <cellStyle name="40% - Énfasis5 2" xfId="329" xr:uid="{00000000-0005-0000-0000-000049010000}"/>
    <cellStyle name="40% - Énfasis5 2 2" xfId="330" xr:uid="{00000000-0005-0000-0000-00004A010000}"/>
    <cellStyle name="40% - Énfasis5 2 2 2" xfId="331" xr:uid="{00000000-0005-0000-0000-00004B010000}"/>
    <cellStyle name="40% - Énfasis5 2 2 2 2" xfId="332" xr:uid="{00000000-0005-0000-0000-00004C010000}"/>
    <cellStyle name="40% - Énfasis5 2 2 2 2 2" xfId="333" xr:uid="{00000000-0005-0000-0000-00004D010000}"/>
    <cellStyle name="40% - Énfasis5 2 2 2 3" xfId="334" xr:uid="{00000000-0005-0000-0000-00004E010000}"/>
    <cellStyle name="40% - Énfasis5 2 2 3" xfId="335" xr:uid="{00000000-0005-0000-0000-00004F010000}"/>
    <cellStyle name="40% - Énfasis5 2 2 3 2" xfId="336" xr:uid="{00000000-0005-0000-0000-000050010000}"/>
    <cellStyle name="40% - Énfasis5 2 2 4" xfId="337" xr:uid="{00000000-0005-0000-0000-000051010000}"/>
    <cellStyle name="40% - Énfasis5 2 3" xfId="338" xr:uid="{00000000-0005-0000-0000-000052010000}"/>
    <cellStyle name="40% - Énfasis5 2 3 2" xfId="339" xr:uid="{00000000-0005-0000-0000-000053010000}"/>
    <cellStyle name="40% - Énfasis5 2 3 2 2" xfId="340" xr:uid="{00000000-0005-0000-0000-000054010000}"/>
    <cellStyle name="40% - Énfasis5 2 3 3" xfId="341" xr:uid="{00000000-0005-0000-0000-000055010000}"/>
    <cellStyle name="40% - Énfasis5 2 4" xfId="342" xr:uid="{00000000-0005-0000-0000-000056010000}"/>
    <cellStyle name="40% - Énfasis5 2 4 2" xfId="343" xr:uid="{00000000-0005-0000-0000-000057010000}"/>
    <cellStyle name="40% - Énfasis5 2 5" xfId="344" xr:uid="{00000000-0005-0000-0000-000058010000}"/>
    <cellStyle name="40% - Énfasis5 3" xfId="345" xr:uid="{00000000-0005-0000-0000-000059010000}"/>
    <cellStyle name="40% - Énfasis5 3 2" xfId="346" xr:uid="{00000000-0005-0000-0000-00005A010000}"/>
    <cellStyle name="40% - Énfasis5 3 2 2" xfId="347" xr:uid="{00000000-0005-0000-0000-00005B010000}"/>
    <cellStyle name="40% - Énfasis5 3 2 2 2" xfId="348" xr:uid="{00000000-0005-0000-0000-00005C010000}"/>
    <cellStyle name="40% - Énfasis5 3 2 3" xfId="349" xr:uid="{00000000-0005-0000-0000-00005D010000}"/>
    <cellStyle name="40% - Énfasis5 3 3" xfId="350" xr:uid="{00000000-0005-0000-0000-00005E010000}"/>
    <cellStyle name="40% - Énfasis5 3 3 2" xfId="351" xr:uid="{00000000-0005-0000-0000-00005F010000}"/>
    <cellStyle name="40% - Énfasis5 3 4" xfId="352" xr:uid="{00000000-0005-0000-0000-000060010000}"/>
    <cellStyle name="40% - Énfasis5 4" xfId="353" xr:uid="{00000000-0005-0000-0000-000061010000}"/>
    <cellStyle name="40% - Énfasis5 4 2" xfId="354" xr:uid="{00000000-0005-0000-0000-000062010000}"/>
    <cellStyle name="40% - Énfasis5 4 2 2" xfId="355" xr:uid="{00000000-0005-0000-0000-000063010000}"/>
    <cellStyle name="40% - Énfasis5 4 3" xfId="356" xr:uid="{00000000-0005-0000-0000-000064010000}"/>
    <cellStyle name="40% - Énfasis5 5" xfId="357" xr:uid="{00000000-0005-0000-0000-000065010000}"/>
    <cellStyle name="40% - Énfasis5 5 2" xfId="358" xr:uid="{00000000-0005-0000-0000-000066010000}"/>
    <cellStyle name="40% - Énfasis5 6" xfId="359" xr:uid="{00000000-0005-0000-0000-000067010000}"/>
    <cellStyle name="40% - Énfasis6" xfId="1097" builtinId="51" customBuiltin="1"/>
    <cellStyle name="40% - Énfasis6 2" xfId="360" xr:uid="{00000000-0005-0000-0000-000068010000}"/>
    <cellStyle name="40% - Énfasis6 2 2" xfId="361" xr:uid="{00000000-0005-0000-0000-000069010000}"/>
    <cellStyle name="40% - Énfasis6 2 2 2" xfId="362" xr:uid="{00000000-0005-0000-0000-00006A010000}"/>
    <cellStyle name="40% - Énfasis6 2 2 2 2" xfId="363" xr:uid="{00000000-0005-0000-0000-00006B010000}"/>
    <cellStyle name="40% - Énfasis6 2 2 2 2 2" xfId="364" xr:uid="{00000000-0005-0000-0000-00006C010000}"/>
    <cellStyle name="40% - Énfasis6 2 2 2 3" xfId="365" xr:uid="{00000000-0005-0000-0000-00006D010000}"/>
    <cellStyle name="40% - Énfasis6 2 2 3" xfId="366" xr:uid="{00000000-0005-0000-0000-00006E010000}"/>
    <cellStyle name="40% - Énfasis6 2 2 3 2" xfId="367" xr:uid="{00000000-0005-0000-0000-00006F010000}"/>
    <cellStyle name="40% - Énfasis6 2 2 4" xfId="368" xr:uid="{00000000-0005-0000-0000-000070010000}"/>
    <cellStyle name="40% - Énfasis6 2 3" xfId="369" xr:uid="{00000000-0005-0000-0000-000071010000}"/>
    <cellStyle name="40% - Énfasis6 2 3 2" xfId="370" xr:uid="{00000000-0005-0000-0000-000072010000}"/>
    <cellStyle name="40% - Énfasis6 2 3 2 2" xfId="371" xr:uid="{00000000-0005-0000-0000-000073010000}"/>
    <cellStyle name="40% - Énfasis6 2 3 3" xfId="372" xr:uid="{00000000-0005-0000-0000-000074010000}"/>
    <cellStyle name="40% - Énfasis6 2 4" xfId="373" xr:uid="{00000000-0005-0000-0000-000075010000}"/>
    <cellStyle name="40% - Énfasis6 2 4 2" xfId="374" xr:uid="{00000000-0005-0000-0000-000076010000}"/>
    <cellStyle name="40% - Énfasis6 2 5" xfId="375" xr:uid="{00000000-0005-0000-0000-000077010000}"/>
    <cellStyle name="40% - Énfasis6 3" xfId="376" xr:uid="{00000000-0005-0000-0000-000078010000}"/>
    <cellStyle name="40% - Énfasis6 3 2" xfId="377" xr:uid="{00000000-0005-0000-0000-000079010000}"/>
    <cellStyle name="40% - Énfasis6 3 2 2" xfId="378" xr:uid="{00000000-0005-0000-0000-00007A010000}"/>
    <cellStyle name="40% - Énfasis6 3 2 2 2" xfId="379" xr:uid="{00000000-0005-0000-0000-00007B010000}"/>
    <cellStyle name="40% - Énfasis6 3 2 3" xfId="380" xr:uid="{00000000-0005-0000-0000-00007C010000}"/>
    <cellStyle name="40% - Énfasis6 3 3" xfId="381" xr:uid="{00000000-0005-0000-0000-00007D010000}"/>
    <cellStyle name="40% - Énfasis6 3 3 2" xfId="382" xr:uid="{00000000-0005-0000-0000-00007E010000}"/>
    <cellStyle name="40% - Énfasis6 3 4" xfId="383" xr:uid="{00000000-0005-0000-0000-00007F010000}"/>
    <cellStyle name="40% - Énfasis6 4" xfId="384" xr:uid="{00000000-0005-0000-0000-000080010000}"/>
    <cellStyle name="40% - Énfasis6 4 2" xfId="385" xr:uid="{00000000-0005-0000-0000-000081010000}"/>
    <cellStyle name="40% - Énfasis6 4 2 2" xfId="386" xr:uid="{00000000-0005-0000-0000-000082010000}"/>
    <cellStyle name="40% - Énfasis6 4 3" xfId="387" xr:uid="{00000000-0005-0000-0000-000083010000}"/>
    <cellStyle name="40% - Énfasis6 5" xfId="388" xr:uid="{00000000-0005-0000-0000-000084010000}"/>
    <cellStyle name="40% - Énfasis6 5 2" xfId="389" xr:uid="{00000000-0005-0000-0000-000085010000}"/>
    <cellStyle name="40% - Énfasis6 6" xfId="390" xr:uid="{00000000-0005-0000-0000-000086010000}"/>
    <cellStyle name="60% - Énfasis1" xfId="1098" builtinId="32" customBuiltin="1"/>
    <cellStyle name="60% - Énfasis1 2" xfId="391" xr:uid="{00000000-0005-0000-0000-000087010000}"/>
    <cellStyle name="60% - Énfasis1 2 2" xfId="392" xr:uid="{00000000-0005-0000-0000-000088010000}"/>
    <cellStyle name="60% - Énfasis1 2 2 2" xfId="393" xr:uid="{00000000-0005-0000-0000-000089010000}"/>
    <cellStyle name="60% - Énfasis1 2 2 2 2" xfId="394" xr:uid="{00000000-0005-0000-0000-00008A010000}"/>
    <cellStyle name="60% - Énfasis1 2 2 2 2 2" xfId="395" xr:uid="{00000000-0005-0000-0000-00008B010000}"/>
    <cellStyle name="60% - Énfasis1 2 2 2 3" xfId="396" xr:uid="{00000000-0005-0000-0000-00008C010000}"/>
    <cellStyle name="60% - Énfasis1 2 2 3" xfId="397" xr:uid="{00000000-0005-0000-0000-00008D010000}"/>
    <cellStyle name="60% - Énfasis1 2 2 3 2" xfId="398" xr:uid="{00000000-0005-0000-0000-00008E010000}"/>
    <cellStyle name="60% - Énfasis1 2 2 4" xfId="399" xr:uid="{00000000-0005-0000-0000-00008F010000}"/>
    <cellStyle name="60% - Énfasis1 2 3" xfId="400" xr:uid="{00000000-0005-0000-0000-000090010000}"/>
    <cellStyle name="60% - Énfasis1 2 3 2" xfId="401" xr:uid="{00000000-0005-0000-0000-000091010000}"/>
    <cellStyle name="60% - Énfasis1 2 3 2 2" xfId="402" xr:uid="{00000000-0005-0000-0000-000092010000}"/>
    <cellStyle name="60% - Énfasis1 2 3 3" xfId="403" xr:uid="{00000000-0005-0000-0000-000093010000}"/>
    <cellStyle name="60% - Énfasis1 2 4" xfId="404" xr:uid="{00000000-0005-0000-0000-000094010000}"/>
    <cellStyle name="60% - Énfasis1 2 4 2" xfId="405" xr:uid="{00000000-0005-0000-0000-000095010000}"/>
    <cellStyle name="60% - Énfasis1 2 5" xfId="406" xr:uid="{00000000-0005-0000-0000-000096010000}"/>
    <cellStyle name="60% - Énfasis1 3" xfId="407" xr:uid="{00000000-0005-0000-0000-000097010000}"/>
    <cellStyle name="60% - Énfasis1 3 2" xfId="408" xr:uid="{00000000-0005-0000-0000-000098010000}"/>
    <cellStyle name="60% - Énfasis1 3 2 2" xfId="409" xr:uid="{00000000-0005-0000-0000-000099010000}"/>
    <cellStyle name="60% - Énfasis1 3 2 2 2" xfId="410" xr:uid="{00000000-0005-0000-0000-00009A010000}"/>
    <cellStyle name="60% - Énfasis1 3 2 3" xfId="411" xr:uid="{00000000-0005-0000-0000-00009B010000}"/>
    <cellStyle name="60% - Énfasis1 3 3" xfId="412" xr:uid="{00000000-0005-0000-0000-00009C010000}"/>
    <cellStyle name="60% - Énfasis1 3 3 2" xfId="413" xr:uid="{00000000-0005-0000-0000-00009D010000}"/>
    <cellStyle name="60% - Énfasis1 3 4" xfId="414" xr:uid="{00000000-0005-0000-0000-00009E010000}"/>
    <cellStyle name="60% - Énfasis1 4" xfId="415" xr:uid="{00000000-0005-0000-0000-00009F010000}"/>
    <cellStyle name="60% - Énfasis1 4 2" xfId="416" xr:uid="{00000000-0005-0000-0000-0000A0010000}"/>
    <cellStyle name="60% - Énfasis1 4 2 2" xfId="417" xr:uid="{00000000-0005-0000-0000-0000A1010000}"/>
    <cellStyle name="60% - Énfasis1 4 3" xfId="418" xr:uid="{00000000-0005-0000-0000-0000A2010000}"/>
    <cellStyle name="60% - Énfasis1 5" xfId="419" xr:uid="{00000000-0005-0000-0000-0000A3010000}"/>
    <cellStyle name="60% - Énfasis1 5 2" xfId="420" xr:uid="{00000000-0005-0000-0000-0000A4010000}"/>
    <cellStyle name="60% - Énfasis1 6" xfId="421" xr:uid="{00000000-0005-0000-0000-0000A5010000}"/>
    <cellStyle name="60% - Énfasis2" xfId="1099" builtinId="36" customBuiltin="1"/>
    <cellStyle name="60% - Énfasis2 2" xfId="422" xr:uid="{00000000-0005-0000-0000-0000A6010000}"/>
    <cellStyle name="60% - Énfasis2 2 2" xfId="423" xr:uid="{00000000-0005-0000-0000-0000A7010000}"/>
    <cellStyle name="60% - Énfasis2 2 2 2" xfId="424" xr:uid="{00000000-0005-0000-0000-0000A8010000}"/>
    <cellStyle name="60% - Énfasis2 2 2 2 2" xfId="425" xr:uid="{00000000-0005-0000-0000-0000A9010000}"/>
    <cellStyle name="60% - Énfasis2 2 2 2 2 2" xfId="426" xr:uid="{00000000-0005-0000-0000-0000AA010000}"/>
    <cellStyle name="60% - Énfasis2 2 2 2 3" xfId="427" xr:uid="{00000000-0005-0000-0000-0000AB010000}"/>
    <cellStyle name="60% - Énfasis2 2 2 3" xfId="428" xr:uid="{00000000-0005-0000-0000-0000AC010000}"/>
    <cellStyle name="60% - Énfasis2 2 2 3 2" xfId="429" xr:uid="{00000000-0005-0000-0000-0000AD010000}"/>
    <cellStyle name="60% - Énfasis2 2 2 4" xfId="430" xr:uid="{00000000-0005-0000-0000-0000AE010000}"/>
    <cellStyle name="60% - Énfasis2 2 3" xfId="431" xr:uid="{00000000-0005-0000-0000-0000AF010000}"/>
    <cellStyle name="60% - Énfasis2 2 3 2" xfId="432" xr:uid="{00000000-0005-0000-0000-0000B0010000}"/>
    <cellStyle name="60% - Énfasis2 2 3 2 2" xfId="433" xr:uid="{00000000-0005-0000-0000-0000B1010000}"/>
    <cellStyle name="60% - Énfasis2 2 3 3" xfId="434" xr:uid="{00000000-0005-0000-0000-0000B2010000}"/>
    <cellStyle name="60% - Énfasis2 2 4" xfId="435" xr:uid="{00000000-0005-0000-0000-0000B3010000}"/>
    <cellStyle name="60% - Énfasis2 2 4 2" xfId="436" xr:uid="{00000000-0005-0000-0000-0000B4010000}"/>
    <cellStyle name="60% - Énfasis2 2 5" xfId="437" xr:uid="{00000000-0005-0000-0000-0000B5010000}"/>
    <cellStyle name="60% - Énfasis2 3" xfId="438" xr:uid="{00000000-0005-0000-0000-0000B6010000}"/>
    <cellStyle name="60% - Énfasis2 3 2" xfId="439" xr:uid="{00000000-0005-0000-0000-0000B7010000}"/>
    <cellStyle name="60% - Énfasis2 3 2 2" xfId="440" xr:uid="{00000000-0005-0000-0000-0000B8010000}"/>
    <cellStyle name="60% - Énfasis2 3 2 2 2" xfId="441" xr:uid="{00000000-0005-0000-0000-0000B9010000}"/>
    <cellStyle name="60% - Énfasis2 3 2 3" xfId="442" xr:uid="{00000000-0005-0000-0000-0000BA010000}"/>
    <cellStyle name="60% - Énfasis2 3 3" xfId="443" xr:uid="{00000000-0005-0000-0000-0000BB010000}"/>
    <cellStyle name="60% - Énfasis2 3 3 2" xfId="444" xr:uid="{00000000-0005-0000-0000-0000BC010000}"/>
    <cellStyle name="60% - Énfasis2 3 4" xfId="445" xr:uid="{00000000-0005-0000-0000-0000BD010000}"/>
    <cellStyle name="60% - Énfasis2 4" xfId="446" xr:uid="{00000000-0005-0000-0000-0000BE010000}"/>
    <cellStyle name="60% - Énfasis2 4 2" xfId="447" xr:uid="{00000000-0005-0000-0000-0000BF010000}"/>
    <cellStyle name="60% - Énfasis2 4 2 2" xfId="448" xr:uid="{00000000-0005-0000-0000-0000C0010000}"/>
    <cellStyle name="60% - Énfasis2 4 3" xfId="449" xr:uid="{00000000-0005-0000-0000-0000C1010000}"/>
    <cellStyle name="60% - Énfasis2 5" xfId="450" xr:uid="{00000000-0005-0000-0000-0000C2010000}"/>
    <cellStyle name="60% - Énfasis2 5 2" xfId="451" xr:uid="{00000000-0005-0000-0000-0000C3010000}"/>
    <cellStyle name="60% - Énfasis2 6" xfId="452" xr:uid="{00000000-0005-0000-0000-0000C4010000}"/>
    <cellStyle name="60% - Énfasis3" xfId="1100" builtinId="40" customBuiltin="1"/>
    <cellStyle name="60% - Énfasis3 2" xfId="453" xr:uid="{00000000-0005-0000-0000-0000C5010000}"/>
    <cellStyle name="60% - Énfasis3 2 2" xfId="454" xr:uid="{00000000-0005-0000-0000-0000C6010000}"/>
    <cellStyle name="60% - Énfasis3 2 2 2" xfId="455" xr:uid="{00000000-0005-0000-0000-0000C7010000}"/>
    <cellStyle name="60% - Énfasis3 2 2 2 2" xfId="456" xr:uid="{00000000-0005-0000-0000-0000C8010000}"/>
    <cellStyle name="60% - Énfasis3 2 2 2 2 2" xfId="457" xr:uid="{00000000-0005-0000-0000-0000C9010000}"/>
    <cellStyle name="60% - Énfasis3 2 2 2 3" xfId="458" xr:uid="{00000000-0005-0000-0000-0000CA010000}"/>
    <cellStyle name="60% - Énfasis3 2 2 3" xfId="459" xr:uid="{00000000-0005-0000-0000-0000CB010000}"/>
    <cellStyle name="60% - Énfasis3 2 2 3 2" xfId="460" xr:uid="{00000000-0005-0000-0000-0000CC010000}"/>
    <cellStyle name="60% - Énfasis3 2 2 4" xfId="461" xr:uid="{00000000-0005-0000-0000-0000CD010000}"/>
    <cellStyle name="60% - Énfasis3 2 3" xfId="462" xr:uid="{00000000-0005-0000-0000-0000CE010000}"/>
    <cellStyle name="60% - Énfasis3 2 3 2" xfId="463" xr:uid="{00000000-0005-0000-0000-0000CF010000}"/>
    <cellStyle name="60% - Énfasis3 2 3 2 2" xfId="464" xr:uid="{00000000-0005-0000-0000-0000D0010000}"/>
    <cellStyle name="60% - Énfasis3 2 3 3" xfId="465" xr:uid="{00000000-0005-0000-0000-0000D1010000}"/>
    <cellStyle name="60% - Énfasis3 2 4" xfId="466" xr:uid="{00000000-0005-0000-0000-0000D2010000}"/>
    <cellStyle name="60% - Énfasis3 2 4 2" xfId="467" xr:uid="{00000000-0005-0000-0000-0000D3010000}"/>
    <cellStyle name="60% - Énfasis3 2 5" xfId="468" xr:uid="{00000000-0005-0000-0000-0000D4010000}"/>
    <cellStyle name="60% - Énfasis3 3" xfId="469" xr:uid="{00000000-0005-0000-0000-0000D5010000}"/>
    <cellStyle name="60% - Énfasis3 3 2" xfId="470" xr:uid="{00000000-0005-0000-0000-0000D6010000}"/>
    <cellStyle name="60% - Énfasis3 3 2 2" xfId="471" xr:uid="{00000000-0005-0000-0000-0000D7010000}"/>
    <cellStyle name="60% - Énfasis3 3 2 2 2" xfId="472" xr:uid="{00000000-0005-0000-0000-0000D8010000}"/>
    <cellStyle name="60% - Énfasis3 3 2 3" xfId="473" xr:uid="{00000000-0005-0000-0000-0000D9010000}"/>
    <cellStyle name="60% - Énfasis3 3 3" xfId="474" xr:uid="{00000000-0005-0000-0000-0000DA010000}"/>
    <cellStyle name="60% - Énfasis3 3 3 2" xfId="475" xr:uid="{00000000-0005-0000-0000-0000DB010000}"/>
    <cellStyle name="60% - Énfasis3 3 4" xfId="476" xr:uid="{00000000-0005-0000-0000-0000DC010000}"/>
    <cellStyle name="60% - Énfasis3 4" xfId="477" xr:uid="{00000000-0005-0000-0000-0000DD010000}"/>
    <cellStyle name="60% - Énfasis3 4 2" xfId="478" xr:uid="{00000000-0005-0000-0000-0000DE010000}"/>
    <cellStyle name="60% - Énfasis3 4 2 2" xfId="479" xr:uid="{00000000-0005-0000-0000-0000DF010000}"/>
    <cellStyle name="60% - Énfasis3 4 3" xfId="480" xr:uid="{00000000-0005-0000-0000-0000E0010000}"/>
    <cellStyle name="60% - Énfasis3 5" xfId="481" xr:uid="{00000000-0005-0000-0000-0000E1010000}"/>
    <cellStyle name="60% - Énfasis3 5 2" xfId="482" xr:uid="{00000000-0005-0000-0000-0000E2010000}"/>
    <cellStyle name="60% - Énfasis3 6" xfId="483" xr:uid="{00000000-0005-0000-0000-0000E3010000}"/>
    <cellStyle name="60% - Énfasis4" xfId="1101" builtinId="44" customBuiltin="1"/>
    <cellStyle name="60% - Énfasis4 2" xfId="484" xr:uid="{00000000-0005-0000-0000-0000E4010000}"/>
    <cellStyle name="60% - Énfasis4 2 2" xfId="485" xr:uid="{00000000-0005-0000-0000-0000E5010000}"/>
    <cellStyle name="60% - Énfasis4 2 2 2" xfId="486" xr:uid="{00000000-0005-0000-0000-0000E6010000}"/>
    <cellStyle name="60% - Énfasis4 2 2 2 2" xfId="487" xr:uid="{00000000-0005-0000-0000-0000E7010000}"/>
    <cellStyle name="60% - Énfasis4 2 2 2 2 2" xfId="488" xr:uid="{00000000-0005-0000-0000-0000E8010000}"/>
    <cellStyle name="60% - Énfasis4 2 2 2 3" xfId="489" xr:uid="{00000000-0005-0000-0000-0000E9010000}"/>
    <cellStyle name="60% - Énfasis4 2 2 3" xfId="490" xr:uid="{00000000-0005-0000-0000-0000EA010000}"/>
    <cellStyle name="60% - Énfasis4 2 2 3 2" xfId="491" xr:uid="{00000000-0005-0000-0000-0000EB010000}"/>
    <cellStyle name="60% - Énfasis4 2 2 4" xfId="492" xr:uid="{00000000-0005-0000-0000-0000EC010000}"/>
    <cellStyle name="60% - Énfasis4 2 3" xfId="493" xr:uid="{00000000-0005-0000-0000-0000ED010000}"/>
    <cellStyle name="60% - Énfasis4 2 3 2" xfId="494" xr:uid="{00000000-0005-0000-0000-0000EE010000}"/>
    <cellStyle name="60% - Énfasis4 2 3 2 2" xfId="495" xr:uid="{00000000-0005-0000-0000-0000EF010000}"/>
    <cellStyle name="60% - Énfasis4 2 3 3" xfId="496" xr:uid="{00000000-0005-0000-0000-0000F0010000}"/>
    <cellStyle name="60% - Énfasis4 2 4" xfId="497" xr:uid="{00000000-0005-0000-0000-0000F1010000}"/>
    <cellStyle name="60% - Énfasis4 2 4 2" xfId="498" xr:uid="{00000000-0005-0000-0000-0000F2010000}"/>
    <cellStyle name="60% - Énfasis4 2 5" xfId="499" xr:uid="{00000000-0005-0000-0000-0000F3010000}"/>
    <cellStyle name="60% - Énfasis4 3" xfId="500" xr:uid="{00000000-0005-0000-0000-0000F4010000}"/>
    <cellStyle name="60% - Énfasis4 3 2" xfId="501" xr:uid="{00000000-0005-0000-0000-0000F5010000}"/>
    <cellStyle name="60% - Énfasis4 3 2 2" xfId="502" xr:uid="{00000000-0005-0000-0000-0000F6010000}"/>
    <cellStyle name="60% - Énfasis4 3 2 2 2" xfId="503" xr:uid="{00000000-0005-0000-0000-0000F7010000}"/>
    <cellStyle name="60% - Énfasis4 3 2 3" xfId="504" xr:uid="{00000000-0005-0000-0000-0000F8010000}"/>
    <cellStyle name="60% - Énfasis4 3 3" xfId="505" xr:uid="{00000000-0005-0000-0000-0000F9010000}"/>
    <cellStyle name="60% - Énfasis4 3 3 2" xfId="506" xr:uid="{00000000-0005-0000-0000-0000FA010000}"/>
    <cellStyle name="60% - Énfasis4 3 4" xfId="507" xr:uid="{00000000-0005-0000-0000-0000FB010000}"/>
    <cellStyle name="60% - Énfasis4 4" xfId="508" xr:uid="{00000000-0005-0000-0000-0000FC010000}"/>
    <cellStyle name="60% - Énfasis4 4 2" xfId="509" xr:uid="{00000000-0005-0000-0000-0000FD010000}"/>
    <cellStyle name="60% - Énfasis4 4 2 2" xfId="510" xr:uid="{00000000-0005-0000-0000-0000FE010000}"/>
    <cellStyle name="60% - Énfasis4 4 3" xfId="511" xr:uid="{00000000-0005-0000-0000-0000FF010000}"/>
    <cellStyle name="60% - Énfasis4 5" xfId="512" xr:uid="{00000000-0005-0000-0000-000000020000}"/>
    <cellStyle name="60% - Énfasis4 5 2" xfId="513" xr:uid="{00000000-0005-0000-0000-000001020000}"/>
    <cellStyle name="60% - Énfasis4 6" xfId="514" xr:uid="{00000000-0005-0000-0000-000002020000}"/>
    <cellStyle name="60% - Énfasis5" xfId="1102" builtinId="48" customBuiltin="1"/>
    <cellStyle name="60% - Énfasis5 2" xfId="515" xr:uid="{00000000-0005-0000-0000-000003020000}"/>
    <cellStyle name="60% - Énfasis5 2 2" xfId="516" xr:uid="{00000000-0005-0000-0000-000004020000}"/>
    <cellStyle name="60% - Énfasis5 2 2 2" xfId="517" xr:uid="{00000000-0005-0000-0000-000005020000}"/>
    <cellStyle name="60% - Énfasis5 2 2 2 2" xfId="518" xr:uid="{00000000-0005-0000-0000-000006020000}"/>
    <cellStyle name="60% - Énfasis5 2 2 2 2 2" xfId="519" xr:uid="{00000000-0005-0000-0000-000007020000}"/>
    <cellStyle name="60% - Énfasis5 2 2 2 3" xfId="520" xr:uid="{00000000-0005-0000-0000-000008020000}"/>
    <cellStyle name="60% - Énfasis5 2 2 3" xfId="521" xr:uid="{00000000-0005-0000-0000-000009020000}"/>
    <cellStyle name="60% - Énfasis5 2 2 3 2" xfId="522" xr:uid="{00000000-0005-0000-0000-00000A020000}"/>
    <cellStyle name="60% - Énfasis5 2 2 4" xfId="523" xr:uid="{00000000-0005-0000-0000-00000B020000}"/>
    <cellStyle name="60% - Énfasis5 2 3" xfId="524" xr:uid="{00000000-0005-0000-0000-00000C020000}"/>
    <cellStyle name="60% - Énfasis5 2 3 2" xfId="525" xr:uid="{00000000-0005-0000-0000-00000D020000}"/>
    <cellStyle name="60% - Énfasis5 2 3 2 2" xfId="526" xr:uid="{00000000-0005-0000-0000-00000E020000}"/>
    <cellStyle name="60% - Énfasis5 2 3 3" xfId="527" xr:uid="{00000000-0005-0000-0000-00000F020000}"/>
    <cellStyle name="60% - Énfasis5 2 4" xfId="528" xr:uid="{00000000-0005-0000-0000-000010020000}"/>
    <cellStyle name="60% - Énfasis5 2 4 2" xfId="529" xr:uid="{00000000-0005-0000-0000-000011020000}"/>
    <cellStyle name="60% - Énfasis5 2 5" xfId="530" xr:uid="{00000000-0005-0000-0000-000012020000}"/>
    <cellStyle name="60% - Énfasis5 3" xfId="531" xr:uid="{00000000-0005-0000-0000-000013020000}"/>
    <cellStyle name="60% - Énfasis5 3 2" xfId="532" xr:uid="{00000000-0005-0000-0000-000014020000}"/>
    <cellStyle name="60% - Énfasis5 3 2 2" xfId="533" xr:uid="{00000000-0005-0000-0000-000015020000}"/>
    <cellStyle name="60% - Énfasis5 3 2 2 2" xfId="534" xr:uid="{00000000-0005-0000-0000-000016020000}"/>
    <cellStyle name="60% - Énfasis5 3 2 3" xfId="535" xr:uid="{00000000-0005-0000-0000-000017020000}"/>
    <cellStyle name="60% - Énfasis5 3 3" xfId="536" xr:uid="{00000000-0005-0000-0000-000018020000}"/>
    <cellStyle name="60% - Énfasis5 3 3 2" xfId="537" xr:uid="{00000000-0005-0000-0000-000019020000}"/>
    <cellStyle name="60% - Énfasis5 3 4" xfId="538" xr:uid="{00000000-0005-0000-0000-00001A020000}"/>
    <cellStyle name="60% - Énfasis5 4" xfId="539" xr:uid="{00000000-0005-0000-0000-00001B020000}"/>
    <cellStyle name="60% - Énfasis5 4 2" xfId="540" xr:uid="{00000000-0005-0000-0000-00001C020000}"/>
    <cellStyle name="60% - Énfasis5 4 2 2" xfId="541" xr:uid="{00000000-0005-0000-0000-00001D020000}"/>
    <cellStyle name="60% - Énfasis5 4 3" xfId="542" xr:uid="{00000000-0005-0000-0000-00001E020000}"/>
    <cellStyle name="60% - Énfasis5 5" xfId="543" xr:uid="{00000000-0005-0000-0000-00001F020000}"/>
    <cellStyle name="60% - Énfasis5 5 2" xfId="544" xr:uid="{00000000-0005-0000-0000-000020020000}"/>
    <cellStyle name="60% - Énfasis5 6" xfId="545" xr:uid="{00000000-0005-0000-0000-000021020000}"/>
    <cellStyle name="60% - Énfasis6" xfId="1103" builtinId="52" customBuiltin="1"/>
    <cellStyle name="60% - Énfasis6 2" xfId="546" xr:uid="{00000000-0005-0000-0000-000022020000}"/>
    <cellStyle name="60% - Énfasis6 2 2" xfId="547" xr:uid="{00000000-0005-0000-0000-000023020000}"/>
    <cellStyle name="60% - Énfasis6 2 2 2" xfId="548" xr:uid="{00000000-0005-0000-0000-000024020000}"/>
    <cellStyle name="60% - Énfasis6 2 2 2 2" xfId="549" xr:uid="{00000000-0005-0000-0000-000025020000}"/>
    <cellStyle name="60% - Énfasis6 2 2 2 2 2" xfId="550" xr:uid="{00000000-0005-0000-0000-000026020000}"/>
    <cellStyle name="60% - Énfasis6 2 2 2 3" xfId="551" xr:uid="{00000000-0005-0000-0000-000027020000}"/>
    <cellStyle name="60% - Énfasis6 2 2 3" xfId="552" xr:uid="{00000000-0005-0000-0000-000028020000}"/>
    <cellStyle name="60% - Énfasis6 2 2 3 2" xfId="553" xr:uid="{00000000-0005-0000-0000-000029020000}"/>
    <cellStyle name="60% - Énfasis6 2 2 4" xfId="554" xr:uid="{00000000-0005-0000-0000-00002A020000}"/>
    <cellStyle name="60% - Énfasis6 2 3" xfId="555" xr:uid="{00000000-0005-0000-0000-00002B020000}"/>
    <cellStyle name="60% - Énfasis6 2 3 2" xfId="556" xr:uid="{00000000-0005-0000-0000-00002C020000}"/>
    <cellStyle name="60% - Énfasis6 2 3 2 2" xfId="557" xr:uid="{00000000-0005-0000-0000-00002D020000}"/>
    <cellStyle name="60% - Énfasis6 2 3 3" xfId="558" xr:uid="{00000000-0005-0000-0000-00002E020000}"/>
    <cellStyle name="60% - Énfasis6 2 4" xfId="559" xr:uid="{00000000-0005-0000-0000-00002F020000}"/>
    <cellStyle name="60% - Énfasis6 2 4 2" xfId="560" xr:uid="{00000000-0005-0000-0000-000030020000}"/>
    <cellStyle name="60% - Énfasis6 2 5" xfId="561" xr:uid="{00000000-0005-0000-0000-000031020000}"/>
    <cellStyle name="60% - Énfasis6 3" xfId="562" xr:uid="{00000000-0005-0000-0000-000032020000}"/>
    <cellStyle name="60% - Énfasis6 3 2" xfId="563" xr:uid="{00000000-0005-0000-0000-000033020000}"/>
    <cellStyle name="60% - Énfasis6 3 2 2" xfId="564" xr:uid="{00000000-0005-0000-0000-000034020000}"/>
    <cellStyle name="60% - Énfasis6 3 2 2 2" xfId="565" xr:uid="{00000000-0005-0000-0000-000035020000}"/>
    <cellStyle name="60% - Énfasis6 3 2 3" xfId="566" xr:uid="{00000000-0005-0000-0000-000036020000}"/>
    <cellStyle name="60% - Énfasis6 3 3" xfId="567" xr:uid="{00000000-0005-0000-0000-000037020000}"/>
    <cellStyle name="60% - Énfasis6 3 3 2" xfId="568" xr:uid="{00000000-0005-0000-0000-000038020000}"/>
    <cellStyle name="60% - Énfasis6 3 4" xfId="569" xr:uid="{00000000-0005-0000-0000-000039020000}"/>
    <cellStyle name="60% - Énfasis6 4" xfId="570" xr:uid="{00000000-0005-0000-0000-00003A020000}"/>
    <cellStyle name="60% - Énfasis6 4 2" xfId="571" xr:uid="{00000000-0005-0000-0000-00003B020000}"/>
    <cellStyle name="60% - Énfasis6 4 2 2" xfId="572" xr:uid="{00000000-0005-0000-0000-00003C020000}"/>
    <cellStyle name="60% - Énfasis6 4 3" xfId="573" xr:uid="{00000000-0005-0000-0000-00003D020000}"/>
    <cellStyle name="60% - Énfasis6 5" xfId="574" xr:uid="{00000000-0005-0000-0000-00003E020000}"/>
    <cellStyle name="60% - Énfasis6 5 2" xfId="575" xr:uid="{00000000-0005-0000-0000-00003F020000}"/>
    <cellStyle name="60% - Énfasis6 6" xfId="576" xr:uid="{00000000-0005-0000-0000-000040020000}"/>
    <cellStyle name="Bueno" xfId="1104" builtinId="26" customBuiltin="1"/>
    <cellStyle name="Cálculo" xfId="1105" builtinId="22" customBuiltin="1"/>
    <cellStyle name="Celda de comprobación" xfId="1106" builtinId="23" customBuiltin="1"/>
    <cellStyle name="Celda vinculada" xfId="1107" builtinId="24" customBuiltin="1"/>
    <cellStyle name="Encabezado 1" xfId="1108" builtinId="16" customBuiltin="1"/>
    <cellStyle name="Encabezado 4" xfId="1109" builtinId="19" customBuiltin="1"/>
    <cellStyle name="Énfasis1" xfId="1110" builtinId="29" customBuiltin="1"/>
    <cellStyle name="Énfasis2" xfId="1111" builtinId="33" customBuiltin="1"/>
    <cellStyle name="Énfasis3" xfId="1112" builtinId="37" customBuiltin="1"/>
    <cellStyle name="Énfasis4" xfId="1113" builtinId="41" customBuiltin="1"/>
    <cellStyle name="Énfasis5" xfId="1114" builtinId="45" customBuiltin="1"/>
    <cellStyle name="Énfasis6" xfId="1115" builtinId="49" customBuiltin="1"/>
    <cellStyle name="Entrada" xfId="1116" builtinId="20" customBuiltin="1"/>
    <cellStyle name="Hipervínculo" xfId="8" builtinId="8"/>
    <cellStyle name="Hipervínculo 2" xfId="577" xr:uid="{00000000-0005-0000-0000-000041020000}"/>
    <cellStyle name="Hipervínculo 2 2" xfId="578" xr:uid="{00000000-0005-0000-0000-000042020000}"/>
    <cellStyle name="Hipervínculo 2 5" xfId="579" xr:uid="{00000000-0005-0000-0000-000043020000}"/>
    <cellStyle name="Hipervínculo 3" xfId="580" xr:uid="{00000000-0005-0000-0000-000044020000}"/>
    <cellStyle name="Hipervínculo 4" xfId="581" xr:uid="{00000000-0005-0000-0000-000045020000}"/>
    <cellStyle name="Hipervínculo 4 2" xfId="582" xr:uid="{00000000-0005-0000-0000-000046020000}"/>
    <cellStyle name="Hipervínculo 5" xfId="583" xr:uid="{00000000-0005-0000-0000-000047020000}"/>
    <cellStyle name="Hipervínculo 6" xfId="13" xr:uid="{00000000-0005-0000-0000-00000D000000}"/>
    <cellStyle name="Incorrecto" xfId="1117" builtinId="27" customBuiltin="1"/>
    <cellStyle name="Millares 10 15 9" xfId="7" xr:uid="{00000000-0005-0000-0000-000007000000}"/>
    <cellStyle name="Millares 10 15 9 9 2" xfId="584" xr:uid="{00000000-0005-0000-0000-000048020000}"/>
    <cellStyle name="Millares 10 19 37" xfId="18" xr:uid="{00000000-0005-0000-0000-000012000000}"/>
    <cellStyle name="Millares 10 19 37 12" xfId="585" xr:uid="{00000000-0005-0000-0000-000049020000}"/>
    <cellStyle name="Millares 10 19 37 2 5" xfId="16" xr:uid="{00000000-0005-0000-0000-000010000000}"/>
    <cellStyle name="Millares 2" xfId="586" xr:uid="{00000000-0005-0000-0000-00004A020000}"/>
    <cellStyle name="Millares 2 10" xfId="587" xr:uid="{00000000-0005-0000-0000-00004B020000}"/>
    <cellStyle name="Millares 2 10 2" xfId="588" xr:uid="{00000000-0005-0000-0000-00004C020000}"/>
    <cellStyle name="Millares 2 10 2 2" xfId="589" xr:uid="{00000000-0005-0000-0000-00004D020000}"/>
    <cellStyle name="Millares 2 10 2 2 2" xfId="590" xr:uid="{00000000-0005-0000-0000-00004E020000}"/>
    <cellStyle name="Millares 2 10 2 3" xfId="591" xr:uid="{00000000-0005-0000-0000-00004F020000}"/>
    <cellStyle name="Millares 2 10 3" xfId="592" xr:uid="{00000000-0005-0000-0000-000050020000}"/>
    <cellStyle name="Millares 2 10 3 2" xfId="593" xr:uid="{00000000-0005-0000-0000-000051020000}"/>
    <cellStyle name="Millares 2 10 4" xfId="594" xr:uid="{00000000-0005-0000-0000-000052020000}"/>
    <cellStyle name="Millares 2 11" xfId="595" xr:uid="{00000000-0005-0000-0000-000053020000}"/>
    <cellStyle name="Millares 2 11 2" xfId="596" xr:uid="{00000000-0005-0000-0000-000054020000}"/>
    <cellStyle name="Millares 2 11 2 2" xfId="597" xr:uid="{00000000-0005-0000-0000-000055020000}"/>
    <cellStyle name="Millares 2 11 3" xfId="598" xr:uid="{00000000-0005-0000-0000-000056020000}"/>
    <cellStyle name="Millares 2 12" xfId="599" xr:uid="{00000000-0005-0000-0000-000057020000}"/>
    <cellStyle name="Millares 2 12 2" xfId="600" xr:uid="{00000000-0005-0000-0000-000058020000}"/>
    <cellStyle name="Millares 2 13" xfId="601" xr:uid="{00000000-0005-0000-0000-000059020000}"/>
    <cellStyle name="Millares 2 2" xfId="602" xr:uid="{00000000-0005-0000-0000-00005A020000}"/>
    <cellStyle name="Millares 2 2 2" xfId="603" xr:uid="{00000000-0005-0000-0000-00005B020000}"/>
    <cellStyle name="Millares 2 2 2 2" xfId="604" xr:uid="{00000000-0005-0000-0000-00005C020000}"/>
    <cellStyle name="Millares 2 2 2 2 2" xfId="605" xr:uid="{00000000-0005-0000-0000-00005D020000}"/>
    <cellStyle name="Millares 2 2 2 3" xfId="606" xr:uid="{00000000-0005-0000-0000-00005E020000}"/>
    <cellStyle name="Millares 2 2 2 4" xfId="607" xr:uid="{00000000-0005-0000-0000-00005F020000}"/>
    <cellStyle name="Millares 2 2 3" xfId="608" xr:uid="{00000000-0005-0000-0000-000060020000}"/>
    <cellStyle name="Millares 2 2 3 2" xfId="609" xr:uid="{00000000-0005-0000-0000-000061020000}"/>
    <cellStyle name="Millares 2 2 4" xfId="610" xr:uid="{00000000-0005-0000-0000-000062020000}"/>
    <cellStyle name="Millares 2 2 5" xfId="611" xr:uid="{00000000-0005-0000-0000-000063020000}"/>
    <cellStyle name="Millares 2 2 6" xfId="612" xr:uid="{00000000-0005-0000-0000-000064020000}"/>
    <cellStyle name="Millares 2 3" xfId="613" xr:uid="{00000000-0005-0000-0000-000065020000}"/>
    <cellStyle name="Millares 2 3 2" xfId="614" xr:uid="{00000000-0005-0000-0000-000066020000}"/>
    <cellStyle name="Millares 2 3 3" xfId="615" xr:uid="{00000000-0005-0000-0000-000067020000}"/>
    <cellStyle name="Millares 2 4" xfId="616" xr:uid="{00000000-0005-0000-0000-000068020000}"/>
    <cellStyle name="Millares 2 5" xfId="617" xr:uid="{00000000-0005-0000-0000-000069020000}"/>
    <cellStyle name="Millares 2 6" xfId="618" xr:uid="{00000000-0005-0000-0000-00006A020000}"/>
    <cellStyle name="Millares 2 7" xfId="619" xr:uid="{00000000-0005-0000-0000-00006B020000}"/>
    <cellStyle name="Millares 2 7 2" xfId="620" xr:uid="{00000000-0005-0000-0000-00006C020000}"/>
    <cellStyle name="Millares 2 7 2 2" xfId="621" xr:uid="{00000000-0005-0000-0000-00006D020000}"/>
    <cellStyle name="Millares 2 7 2 2 2" xfId="622" xr:uid="{00000000-0005-0000-0000-00006E020000}"/>
    <cellStyle name="Millares 2 7 2 2 2 2" xfId="623" xr:uid="{00000000-0005-0000-0000-00006F020000}"/>
    <cellStyle name="Millares 2 7 2 2 2 2 2" xfId="624" xr:uid="{00000000-0005-0000-0000-000070020000}"/>
    <cellStyle name="Millares 2 7 2 2 2 3" xfId="625" xr:uid="{00000000-0005-0000-0000-000071020000}"/>
    <cellStyle name="Millares 2 7 2 2 3" xfId="626" xr:uid="{00000000-0005-0000-0000-000072020000}"/>
    <cellStyle name="Millares 2 7 2 2 3 2" xfId="627" xr:uid="{00000000-0005-0000-0000-000073020000}"/>
    <cellStyle name="Millares 2 7 2 2 4" xfId="628" xr:uid="{00000000-0005-0000-0000-000074020000}"/>
    <cellStyle name="Millares 2 7 2 3" xfId="629" xr:uid="{00000000-0005-0000-0000-000075020000}"/>
    <cellStyle name="Millares 2 7 2 3 2" xfId="630" xr:uid="{00000000-0005-0000-0000-000076020000}"/>
    <cellStyle name="Millares 2 7 2 3 2 2" xfId="631" xr:uid="{00000000-0005-0000-0000-000077020000}"/>
    <cellStyle name="Millares 2 7 2 3 3" xfId="632" xr:uid="{00000000-0005-0000-0000-000078020000}"/>
    <cellStyle name="Millares 2 7 2 4" xfId="633" xr:uid="{00000000-0005-0000-0000-000079020000}"/>
    <cellStyle name="Millares 2 7 2 4 2" xfId="634" xr:uid="{00000000-0005-0000-0000-00007A020000}"/>
    <cellStyle name="Millares 2 7 2 5" xfId="635" xr:uid="{00000000-0005-0000-0000-00007B020000}"/>
    <cellStyle name="Millares 2 7 3" xfId="636" xr:uid="{00000000-0005-0000-0000-00007C020000}"/>
    <cellStyle name="Millares 2 7 3 2" xfId="637" xr:uid="{00000000-0005-0000-0000-00007D020000}"/>
    <cellStyle name="Millares 2 7 3 2 2" xfId="638" xr:uid="{00000000-0005-0000-0000-00007E020000}"/>
    <cellStyle name="Millares 2 7 3 2 2 2" xfId="639" xr:uid="{00000000-0005-0000-0000-00007F020000}"/>
    <cellStyle name="Millares 2 7 3 2 3" xfId="640" xr:uid="{00000000-0005-0000-0000-000080020000}"/>
    <cellStyle name="Millares 2 7 3 3" xfId="641" xr:uid="{00000000-0005-0000-0000-000081020000}"/>
    <cellStyle name="Millares 2 7 3 3 2" xfId="642" xr:uid="{00000000-0005-0000-0000-000082020000}"/>
    <cellStyle name="Millares 2 7 3 4" xfId="643" xr:uid="{00000000-0005-0000-0000-000083020000}"/>
    <cellStyle name="Millares 2 7 4" xfId="644" xr:uid="{00000000-0005-0000-0000-000084020000}"/>
    <cellStyle name="Millares 2 7 4 2" xfId="645" xr:uid="{00000000-0005-0000-0000-000085020000}"/>
    <cellStyle name="Millares 2 7 4 2 2" xfId="646" xr:uid="{00000000-0005-0000-0000-000086020000}"/>
    <cellStyle name="Millares 2 7 4 3" xfId="647" xr:uid="{00000000-0005-0000-0000-000087020000}"/>
    <cellStyle name="Millares 2 7 5" xfId="648" xr:uid="{00000000-0005-0000-0000-000088020000}"/>
    <cellStyle name="Millares 2 7 5 2" xfId="649" xr:uid="{00000000-0005-0000-0000-000089020000}"/>
    <cellStyle name="Millares 2 7 6" xfId="650" xr:uid="{00000000-0005-0000-0000-00008A020000}"/>
    <cellStyle name="Millares 2 8" xfId="651" xr:uid="{00000000-0005-0000-0000-00008B020000}"/>
    <cellStyle name="Millares 2 9" xfId="652" xr:uid="{00000000-0005-0000-0000-00008C020000}"/>
    <cellStyle name="Millares 2 9 2" xfId="653" xr:uid="{00000000-0005-0000-0000-00008D020000}"/>
    <cellStyle name="Millares 2 9 2 2" xfId="654" xr:uid="{00000000-0005-0000-0000-00008E020000}"/>
    <cellStyle name="Millares 2 9 2 2 2" xfId="655" xr:uid="{00000000-0005-0000-0000-00008F020000}"/>
    <cellStyle name="Millares 2 9 2 2 2 2" xfId="656" xr:uid="{00000000-0005-0000-0000-000090020000}"/>
    <cellStyle name="Millares 2 9 2 2 3" xfId="657" xr:uid="{00000000-0005-0000-0000-000091020000}"/>
    <cellStyle name="Millares 2 9 2 3" xfId="658" xr:uid="{00000000-0005-0000-0000-000092020000}"/>
    <cellStyle name="Millares 2 9 2 3 2" xfId="659" xr:uid="{00000000-0005-0000-0000-000093020000}"/>
    <cellStyle name="Millares 2 9 2 4" xfId="660" xr:uid="{00000000-0005-0000-0000-000094020000}"/>
    <cellStyle name="Millares 2 9 3" xfId="661" xr:uid="{00000000-0005-0000-0000-000095020000}"/>
    <cellStyle name="Millares 2 9 3 2" xfId="662" xr:uid="{00000000-0005-0000-0000-000096020000}"/>
    <cellStyle name="Millares 2 9 3 2 2" xfId="663" xr:uid="{00000000-0005-0000-0000-000097020000}"/>
    <cellStyle name="Millares 2 9 3 3" xfId="664" xr:uid="{00000000-0005-0000-0000-000098020000}"/>
    <cellStyle name="Millares 2 9 4" xfId="665" xr:uid="{00000000-0005-0000-0000-000099020000}"/>
    <cellStyle name="Millares 2 9 4 2" xfId="666" xr:uid="{00000000-0005-0000-0000-00009A020000}"/>
    <cellStyle name="Millares 2 9 5" xfId="667" xr:uid="{00000000-0005-0000-0000-00009B020000}"/>
    <cellStyle name="Millares 3" xfId="668" xr:uid="{00000000-0005-0000-0000-00009C020000}"/>
    <cellStyle name="Millares 3 10" xfId="669" xr:uid="{00000000-0005-0000-0000-00009D020000}"/>
    <cellStyle name="Millares 3 10 2" xfId="670" xr:uid="{00000000-0005-0000-0000-00009E020000}"/>
    <cellStyle name="Millares 3 11" xfId="671" xr:uid="{00000000-0005-0000-0000-00009F020000}"/>
    <cellStyle name="Millares 3 2" xfId="672" xr:uid="{00000000-0005-0000-0000-0000A0020000}"/>
    <cellStyle name="Millares 3 2 2" xfId="673" xr:uid="{00000000-0005-0000-0000-0000A1020000}"/>
    <cellStyle name="Millares 3 2 2 2" xfId="674" xr:uid="{00000000-0005-0000-0000-0000A2020000}"/>
    <cellStyle name="Millares 3 2 2 3" xfId="675" xr:uid="{00000000-0005-0000-0000-0000A3020000}"/>
    <cellStyle name="Millares 3 2 3" xfId="676" xr:uid="{00000000-0005-0000-0000-0000A4020000}"/>
    <cellStyle name="Millares 3 2 4" xfId="677" xr:uid="{00000000-0005-0000-0000-0000A5020000}"/>
    <cellStyle name="Millares 3 2 5" xfId="678" xr:uid="{00000000-0005-0000-0000-0000A6020000}"/>
    <cellStyle name="Millares 3 3" xfId="679" xr:uid="{00000000-0005-0000-0000-0000A7020000}"/>
    <cellStyle name="Millares 3 3 2" xfId="680" xr:uid="{00000000-0005-0000-0000-0000A8020000}"/>
    <cellStyle name="Millares 3 3 3" xfId="681" xr:uid="{00000000-0005-0000-0000-0000A9020000}"/>
    <cellStyle name="Millares 3 4" xfId="682" xr:uid="{00000000-0005-0000-0000-0000AA020000}"/>
    <cellStyle name="Millares 3 5" xfId="683" xr:uid="{00000000-0005-0000-0000-0000AB020000}"/>
    <cellStyle name="Millares 3 6" xfId="684" xr:uid="{00000000-0005-0000-0000-0000AC020000}"/>
    <cellStyle name="Millares 3 7" xfId="685" xr:uid="{00000000-0005-0000-0000-0000AD020000}"/>
    <cellStyle name="Millares 3 7 2" xfId="686" xr:uid="{00000000-0005-0000-0000-0000AE020000}"/>
    <cellStyle name="Millares 3 7 2 2" xfId="687" xr:uid="{00000000-0005-0000-0000-0000AF020000}"/>
    <cellStyle name="Millares 3 7 2 2 2" xfId="688" xr:uid="{00000000-0005-0000-0000-0000B0020000}"/>
    <cellStyle name="Millares 3 7 2 2 2 2" xfId="689" xr:uid="{00000000-0005-0000-0000-0000B1020000}"/>
    <cellStyle name="Millares 3 7 2 2 3" xfId="690" xr:uid="{00000000-0005-0000-0000-0000B2020000}"/>
    <cellStyle name="Millares 3 7 2 3" xfId="691" xr:uid="{00000000-0005-0000-0000-0000B3020000}"/>
    <cellStyle name="Millares 3 7 2 3 2" xfId="692" xr:uid="{00000000-0005-0000-0000-0000B4020000}"/>
    <cellStyle name="Millares 3 7 2 4" xfId="693" xr:uid="{00000000-0005-0000-0000-0000B5020000}"/>
    <cellStyle name="Millares 3 7 3" xfId="694" xr:uid="{00000000-0005-0000-0000-0000B6020000}"/>
    <cellStyle name="Millares 3 7 3 2" xfId="695" xr:uid="{00000000-0005-0000-0000-0000B7020000}"/>
    <cellStyle name="Millares 3 7 3 2 2" xfId="696" xr:uid="{00000000-0005-0000-0000-0000B8020000}"/>
    <cellStyle name="Millares 3 7 3 3" xfId="697" xr:uid="{00000000-0005-0000-0000-0000B9020000}"/>
    <cellStyle name="Millares 3 7 4" xfId="698" xr:uid="{00000000-0005-0000-0000-0000BA020000}"/>
    <cellStyle name="Millares 3 7 4 2" xfId="699" xr:uid="{00000000-0005-0000-0000-0000BB020000}"/>
    <cellStyle name="Millares 3 7 5" xfId="700" xr:uid="{00000000-0005-0000-0000-0000BC020000}"/>
    <cellStyle name="Millares 3 8" xfId="701" xr:uid="{00000000-0005-0000-0000-0000BD020000}"/>
    <cellStyle name="Millares 3 8 2" xfId="702" xr:uid="{00000000-0005-0000-0000-0000BE020000}"/>
    <cellStyle name="Millares 3 8 2 2" xfId="703" xr:uid="{00000000-0005-0000-0000-0000BF020000}"/>
    <cellStyle name="Millares 3 8 2 2 2" xfId="704" xr:uid="{00000000-0005-0000-0000-0000C0020000}"/>
    <cellStyle name="Millares 3 8 2 3" xfId="705" xr:uid="{00000000-0005-0000-0000-0000C1020000}"/>
    <cellStyle name="Millares 3 8 3" xfId="706" xr:uid="{00000000-0005-0000-0000-0000C2020000}"/>
    <cellStyle name="Millares 3 8 3 2" xfId="707" xr:uid="{00000000-0005-0000-0000-0000C3020000}"/>
    <cellStyle name="Millares 3 8 4" xfId="708" xr:uid="{00000000-0005-0000-0000-0000C4020000}"/>
    <cellStyle name="Millares 3 9" xfId="709" xr:uid="{00000000-0005-0000-0000-0000C5020000}"/>
    <cellStyle name="Millares 3 9 2" xfId="710" xr:uid="{00000000-0005-0000-0000-0000C6020000}"/>
    <cellStyle name="Millares 3 9 2 2" xfId="711" xr:uid="{00000000-0005-0000-0000-0000C7020000}"/>
    <cellStyle name="Millares 3 9 3" xfId="712" xr:uid="{00000000-0005-0000-0000-0000C8020000}"/>
    <cellStyle name="Millares 39" xfId="713" xr:uid="{00000000-0005-0000-0000-0000C9020000}"/>
    <cellStyle name="Millares 39 2" xfId="6" xr:uid="{00000000-0005-0000-0000-000006000000}"/>
    <cellStyle name="Millares 4" xfId="714" xr:uid="{00000000-0005-0000-0000-0000CA020000}"/>
    <cellStyle name="Millares 4 2" xfId="715" xr:uid="{00000000-0005-0000-0000-0000CB020000}"/>
    <cellStyle name="Millares 4 2 2" xfId="716" xr:uid="{00000000-0005-0000-0000-0000CC020000}"/>
    <cellStyle name="Millares 4 2 2 2" xfId="717" xr:uid="{00000000-0005-0000-0000-0000CD020000}"/>
    <cellStyle name="Millares 4 2 2 2 2" xfId="718" xr:uid="{00000000-0005-0000-0000-0000CE020000}"/>
    <cellStyle name="Millares 4 2 2 2 2 2" xfId="719" xr:uid="{00000000-0005-0000-0000-0000CF020000}"/>
    <cellStyle name="Millares 4 2 2 2 3" xfId="720" xr:uid="{00000000-0005-0000-0000-0000D0020000}"/>
    <cellStyle name="Millares 4 2 2 3" xfId="721" xr:uid="{00000000-0005-0000-0000-0000D1020000}"/>
    <cellStyle name="Millares 4 2 2 3 2" xfId="722" xr:uid="{00000000-0005-0000-0000-0000D2020000}"/>
    <cellStyle name="Millares 4 2 2 4" xfId="723" xr:uid="{00000000-0005-0000-0000-0000D3020000}"/>
    <cellStyle name="Millares 4 2 3" xfId="724" xr:uid="{00000000-0005-0000-0000-0000D4020000}"/>
    <cellStyle name="Millares 4 2 3 2" xfId="725" xr:uid="{00000000-0005-0000-0000-0000D5020000}"/>
    <cellStyle name="Millares 4 2 3 2 2" xfId="726" xr:uid="{00000000-0005-0000-0000-0000D6020000}"/>
    <cellStyle name="Millares 4 2 3 3" xfId="727" xr:uid="{00000000-0005-0000-0000-0000D7020000}"/>
    <cellStyle name="Millares 4 2 4" xfId="728" xr:uid="{00000000-0005-0000-0000-0000D8020000}"/>
    <cellStyle name="Millares 4 2 4 2" xfId="729" xr:uid="{00000000-0005-0000-0000-0000D9020000}"/>
    <cellStyle name="Millares 4 2 5" xfId="730" xr:uid="{00000000-0005-0000-0000-0000DA020000}"/>
    <cellStyle name="Millares 4 3" xfId="731" xr:uid="{00000000-0005-0000-0000-0000DB020000}"/>
    <cellStyle name="Millares 4 3 2" xfId="732" xr:uid="{00000000-0005-0000-0000-0000DC020000}"/>
    <cellStyle name="Millares 4 3 2 2" xfId="733" xr:uid="{00000000-0005-0000-0000-0000DD020000}"/>
    <cellStyle name="Millares 4 3 2 2 2" xfId="734" xr:uid="{00000000-0005-0000-0000-0000DE020000}"/>
    <cellStyle name="Millares 4 3 2 3" xfId="735" xr:uid="{00000000-0005-0000-0000-0000DF020000}"/>
    <cellStyle name="Millares 4 3 3" xfId="736" xr:uid="{00000000-0005-0000-0000-0000E0020000}"/>
    <cellStyle name="Millares 4 3 3 2" xfId="737" xr:uid="{00000000-0005-0000-0000-0000E1020000}"/>
    <cellStyle name="Millares 4 3 4" xfId="738" xr:uid="{00000000-0005-0000-0000-0000E2020000}"/>
    <cellStyle name="Millares 4 4" xfId="739" xr:uid="{00000000-0005-0000-0000-0000E3020000}"/>
    <cellStyle name="Millares 4 4 2" xfId="740" xr:uid="{00000000-0005-0000-0000-0000E4020000}"/>
    <cellStyle name="Millares 4 4 2 2" xfId="741" xr:uid="{00000000-0005-0000-0000-0000E5020000}"/>
    <cellStyle name="Millares 4 4 3" xfId="742" xr:uid="{00000000-0005-0000-0000-0000E6020000}"/>
    <cellStyle name="Millares 4 5" xfId="743" xr:uid="{00000000-0005-0000-0000-0000E7020000}"/>
    <cellStyle name="Millares 4 5 2" xfId="744" xr:uid="{00000000-0005-0000-0000-0000E8020000}"/>
    <cellStyle name="Millares 4 6" xfId="745" xr:uid="{00000000-0005-0000-0000-0000E9020000}"/>
    <cellStyle name="Millares 5" xfId="746" xr:uid="{00000000-0005-0000-0000-0000EA020000}"/>
    <cellStyle name="Millares 5 2" xfId="747" xr:uid="{00000000-0005-0000-0000-0000EB020000}"/>
    <cellStyle name="Millares 5 3" xfId="748" xr:uid="{00000000-0005-0000-0000-0000EC020000}"/>
    <cellStyle name="Millares 6" xfId="749" xr:uid="{00000000-0005-0000-0000-0000ED020000}"/>
    <cellStyle name="Millares 6 2" xfId="750" xr:uid="{00000000-0005-0000-0000-0000EE020000}"/>
    <cellStyle name="Moneda 2" xfId="751" xr:uid="{00000000-0005-0000-0000-0000EF020000}"/>
    <cellStyle name="Moneda 2 2" xfId="752" xr:uid="{00000000-0005-0000-0000-0000F0020000}"/>
    <cellStyle name="Moneda 2 2 2" xfId="753" xr:uid="{00000000-0005-0000-0000-0000F1020000}"/>
    <cellStyle name="Moneda 2 3" xfId="754" xr:uid="{00000000-0005-0000-0000-0000F2020000}"/>
    <cellStyle name="Moneda 2 4" xfId="755" xr:uid="{00000000-0005-0000-0000-0000F3020000}"/>
    <cellStyle name="Moneda 3" xfId="756" xr:uid="{00000000-0005-0000-0000-0000F4020000}"/>
    <cellStyle name="Moneda 3 2" xfId="757" xr:uid="{00000000-0005-0000-0000-0000F5020000}"/>
    <cellStyle name="Moneda 4" xfId="758" xr:uid="{00000000-0005-0000-0000-0000F6020000}"/>
    <cellStyle name="Neutral" xfId="1118" builtinId="28" customBuiltin="1"/>
    <cellStyle name="Normal" xfId="0" builtinId="0"/>
    <cellStyle name="Normal 10" xfId="759" xr:uid="{00000000-0005-0000-0000-0000F7020000}"/>
    <cellStyle name="Normal 10 2" xfId="14" xr:uid="{00000000-0005-0000-0000-00000E000000}"/>
    <cellStyle name="Normal 104" xfId="760" xr:uid="{00000000-0005-0000-0000-0000F8020000}"/>
    <cellStyle name="Normal 104 5" xfId="17" xr:uid="{00000000-0005-0000-0000-000011000000}"/>
    <cellStyle name="Normal 104 8" xfId="3" xr:uid="{00000000-0005-0000-0000-000003000000}"/>
    <cellStyle name="Normal 11" xfId="761" xr:uid="{00000000-0005-0000-0000-0000F9020000}"/>
    <cellStyle name="Normal 13" xfId="762" xr:uid="{00000000-0005-0000-0000-0000FA020000}"/>
    <cellStyle name="Normal 14" xfId="763" xr:uid="{00000000-0005-0000-0000-0000FB020000}"/>
    <cellStyle name="Normal 15" xfId="764" xr:uid="{00000000-0005-0000-0000-0000FC020000}"/>
    <cellStyle name="Normal 18" xfId="765" xr:uid="{00000000-0005-0000-0000-0000FD020000}"/>
    <cellStyle name="Normal 18 2" xfId="1" xr:uid="{00000000-0005-0000-0000-000001000000}"/>
    <cellStyle name="Normal 18 2 2" xfId="766" xr:uid="{00000000-0005-0000-0000-0000FE020000}"/>
    <cellStyle name="Normal 2" xfId="767" xr:uid="{00000000-0005-0000-0000-0000FF020000}"/>
    <cellStyle name="Normal 2 10" xfId="768" xr:uid="{00000000-0005-0000-0000-000000030000}"/>
    <cellStyle name="Normal 2 10 2" xfId="769" xr:uid="{00000000-0005-0000-0000-000001030000}"/>
    <cellStyle name="Normal 2 10 2 2" xfId="770" xr:uid="{00000000-0005-0000-0000-000002030000}"/>
    <cellStyle name="Normal 2 10 2 2 2" xfId="771" xr:uid="{00000000-0005-0000-0000-000003030000}"/>
    <cellStyle name="Normal 2 10 2 2 2 2" xfId="772" xr:uid="{00000000-0005-0000-0000-000004030000}"/>
    <cellStyle name="Normal 2 10 2 2 3" xfId="773" xr:uid="{00000000-0005-0000-0000-000005030000}"/>
    <cellStyle name="Normal 2 10 2 3" xfId="774" xr:uid="{00000000-0005-0000-0000-000006030000}"/>
    <cellStyle name="Normal 2 10 2 3 2" xfId="775" xr:uid="{00000000-0005-0000-0000-000007030000}"/>
    <cellStyle name="Normal 2 10 2 4" xfId="776" xr:uid="{00000000-0005-0000-0000-000008030000}"/>
    <cellStyle name="Normal 2 10 3" xfId="777" xr:uid="{00000000-0005-0000-0000-000009030000}"/>
    <cellStyle name="Normal 2 10 3 2" xfId="778" xr:uid="{00000000-0005-0000-0000-00000A030000}"/>
    <cellStyle name="Normal 2 10 3 2 2" xfId="779" xr:uid="{00000000-0005-0000-0000-00000B030000}"/>
    <cellStyle name="Normal 2 10 3 3" xfId="780" xr:uid="{00000000-0005-0000-0000-00000C030000}"/>
    <cellStyle name="Normal 2 10 4" xfId="781" xr:uid="{00000000-0005-0000-0000-00000D030000}"/>
    <cellStyle name="Normal 2 10 4 2" xfId="782" xr:uid="{00000000-0005-0000-0000-00000E030000}"/>
    <cellStyle name="Normal 2 10 5" xfId="783" xr:uid="{00000000-0005-0000-0000-00000F030000}"/>
    <cellStyle name="Normal 2 11" xfId="784" xr:uid="{00000000-0005-0000-0000-000010030000}"/>
    <cellStyle name="Normal 2 11 2" xfId="785" xr:uid="{00000000-0005-0000-0000-000011030000}"/>
    <cellStyle name="Normal 2 11 2 2" xfId="786" xr:uid="{00000000-0005-0000-0000-000012030000}"/>
    <cellStyle name="Normal 2 11 2 2 2" xfId="787" xr:uid="{00000000-0005-0000-0000-000013030000}"/>
    <cellStyle name="Normal 2 11 2 3" xfId="788" xr:uid="{00000000-0005-0000-0000-000014030000}"/>
    <cellStyle name="Normal 2 11 3" xfId="789" xr:uid="{00000000-0005-0000-0000-000015030000}"/>
    <cellStyle name="Normal 2 11 3 2" xfId="790" xr:uid="{00000000-0005-0000-0000-000016030000}"/>
    <cellStyle name="Normal 2 11 4" xfId="791" xr:uid="{00000000-0005-0000-0000-000017030000}"/>
    <cellStyle name="Normal 2 12" xfId="792" xr:uid="{00000000-0005-0000-0000-000018030000}"/>
    <cellStyle name="Normal 2 12 2" xfId="793" xr:uid="{00000000-0005-0000-0000-000019030000}"/>
    <cellStyle name="Normal 2 12 2 2" xfId="794" xr:uid="{00000000-0005-0000-0000-00001A030000}"/>
    <cellStyle name="Normal 2 12 3" xfId="795" xr:uid="{00000000-0005-0000-0000-00001B030000}"/>
    <cellStyle name="Normal 2 13" xfId="796" xr:uid="{00000000-0005-0000-0000-00001C030000}"/>
    <cellStyle name="Normal 2 13 2" xfId="797" xr:uid="{00000000-0005-0000-0000-00001D030000}"/>
    <cellStyle name="Normal 2 14" xfId="798" xr:uid="{00000000-0005-0000-0000-00001E030000}"/>
    <cellStyle name="Normal 2 2" xfId="799" xr:uid="{00000000-0005-0000-0000-00001F030000}"/>
    <cellStyle name="Normal 2 2 2" xfId="800" xr:uid="{00000000-0005-0000-0000-000020030000}"/>
    <cellStyle name="Normal 2 2 2 2" xfId="801" xr:uid="{00000000-0005-0000-0000-000021030000}"/>
    <cellStyle name="Normal 2 2 2 2 2" xfId="802" xr:uid="{00000000-0005-0000-0000-000022030000}"/>
    <cellStyle name="Normal 2 2 3" xfId="803" xr:uid="{00000000-0005-0000-0000-000023030000}"/>
    <cellStyle name="Normal 2 2 3 2" xfId="804" xr:uid="{00000000-0005-0000-0000-000024030000}"/>
    <cellStyle name="Normal 2 2 3 2 2" xfId="805" xr:uid="{00000000-0005-0000-0000-000025030000}"/>
    <cellStyle name="Normal 2 2 3 2 2 2" xfId="806" xr:uid="{00000000-0005-0000-0000-000026030000}"/>
    <cellStyle name="Normal 2 2 3 2 2 2 2" xfId="807" xr:uid="{00000000-0005-0000-0000-000027030000}"/>
    <cellStyle name="Normal 2 2 3 2 2 3" xfId="808" xr:uid="{00000000-0005-0000-0000-000028030000}"/>
    <cellStyle name="Normal 2 2 3 2 3" xfId="809" xr:uid="{00000000-0005-0000-0000-000029030000}"/>
    <cellStyle name="Normal 2 2 3 2 3 2" xfId="810" xr:uid="{00000000-0005-0000-0000-00002A030000}"/>
    <cellStyle name="Normal 2 2 3 2 4" xfId="811" xr:uid="{00000000-0005-0000-0000-00002B030000}"/>
    <cellStyle name="Normal 2 2 3 3" xfId="812" xr:uid="{00000000-0005-0000-0000-00002C030000}"/>
    <cellStyle name="Normal 2 2 3 3 2" xfId="813" xr:uid="{00000000-0005-0000-0000-00002D030000}"/>
    <cellStyle name="Normal 2 2 3 3 2 2" xfId="814" xr:uid="{00000000-0005-0000-0000-00002E030000}"/>
    <cellStyle name="Normal 2 2 3 3 3" xfId="815" xr:uid="{00000000-0005-0000-0000-00002F030000}"/>
    <cellStyle name="Normal 2 2 3 4" xfId="816" xr:uid="{00000000-0005-0000-0000-000030030000}"/>
    <cellStyle name="Normal 2 2 3 4 2" xfId="817" xr:uid="{00000000-0005-0000-0000-000031030000}"/>
    <cellStyle name="Normal 2 2 3 5" xfId="818" xr:uid="{00000000-0005-0000-0000-000032030000}"/>
    <cellStyle name="Normal 2 2 4" xfId="819" xr:uid="{00000000-0005-0000-0000-000033030000}"/>
    <cellStyle name="Normal 2 2 4 2" xfId="820" xr:uid="{00000000-0005-0000-0000-000034030000}"/>
    <cellStyle name="Normal 2 2 4 2 2" xfId="821" xr:uid="{00000000-0005-0000-0000-000035030000}"/>
    <cellStyle name="Normal 2 2 4 2 2 2" xfId="822" xr:uid="{00000000-0005-0000-0000-000036030000}"/>
    <cellStyle name="Normal 2 2 4 2 3" xfId="823" xr:uid="{00000000-0005-0000-0000-000037030000}"/>
    <cellStyle name="Normal 2 2 4 3" xfId="824" xr:uid="{00000000-0005-0000-0000-000038030000}"/>
    <cellStyle name="Normal 2 2 4 3 2" xfId="825" xr:uid="{00000000-0005-0000-0000-000039030000}"/>
    <cellStyle name="Normal 2 2 4 4" xfId="826" xr:uid="{00000000-0005-0000-0000-00003A030000}"/>
    <cellStyle name="Normal 2 2 5" xfId="827" xr:uid="{00000000-0005-0000-0000-00003B030000}"/>
    <cellStyle name="Normal 2 2 5 2" xfId="828" xr:uid="{00000000-0005-0000-0000-00003C030000}"/>
    <cellStyle name="Normal 2 2 5 2 2" xfId="829" xr:uid="{00000000-0005-0000-0000-00003D030000}"/>
    <cellStyle name="Normal 2 2 5 3" xfId="830" xr:uid="{00000000-0005-0000-0000-00003E030000}"/>
    <cellStyle name="Normal 2 2 5 4" xfId="831" xr:uid="{00000000-0005-0000-0000-00003F030000}"/>
    <cellStyle name="Normal 2 2 6" xfId="832" xr:uid="{00000000-0005-0000-0000-000040030000}"/>
    <cellStyle name="Normal 2 2 6 2" xfId="833" xr:uid="{00000000-0005-0000-0000-000041030000}"/>
    <cellStyle name="Normal 2 2 7" xfId="834" xr:uid="{00000000-0005-0000-0000-000042030000}"/>
    <cellStyle name="Normal 2 3" xfId="835" xr:uid="{00000000-0005-0000-0000-000043030000}"/>
    <cellStyle name="Normal 2 3 10 7" xfId="836" xr:uid="{00000000-0005-0000-0000-000044030000}"/>
    <cellStyle name="Normal 2 3 2" xfId="837" xr:uid="{00000000-0005-0000-0000-000045030000}"/>
    <cellStyle name="Normal 2 3 2 2" xfId="838" xr:uid="{00000000-0005-0000-0000-000046030000}"/>
    <cellStyle name="Normal 2 3 2 2 2" xfId="839" xr:uid="{00000000-0005-0000-0000-000047030000}"/>
    <cellStyle name="Normal 2 3 2 2 2 2" xfId="840" xr:uid="{00000000-0005-0000-0000-000048030000}"/>
    <cellStyle name="Normal 2 3 2 2 2 2 2" xfId="841" xr:uid="{00000000-0005-0000-0000-000049030000}"/>
    <cellStyle name="Normal 2 3 2 2 2 2 2 2" xfId="842" xr:uid="{00000000-0005-0000-0000-00004A030000}"/>
    <cellStyle name="Normal 2 3 2 2 2 2 3" xfId="843" xr:uid="{00000000-0005-0000-0000-00004B030000}"/>
    <cellStyle name="Normal 2 3 2 2 2 3" xfId="844" xr:uid="{00000000-0005-0000-0000-00004C030000}"/>
    <cellStyle name="Normal 2 3 2 2 2 3 2" xfId="845" xr:uid="{00000000-0005-0000-0000-00004D030000}"/>
    <cellStyle name="Normal 2 3 2 2 2 4" xfId="846" xr:uid="{00000000-0005-0000-0000-00004E030000}"/>
    <cellStyle name="Normal 2 3 2 2 3" xfId="847" xr:uid="{00000000-0005-0000-0000-00004F030000}"/>
    <cellStyle name="Normal 2 3 2 2 3 2" xfId="848" xr:uid="{00000000-0005-0000-0000-000050030000}"/>
    <cellStyle name="Normal 2 3 2 2 3 2 2" xfId="849" xr:uid="{00000000-0005-0000-0000-000051030000}"/>
    <cellStyle name="Normal 2 3 2 2 3 3" xfId="850" xr:uid="{00000000-0005-0000-0000-000052030000}"/>
    <cellStyle name="Normal 2 3 2 2 4" xfId="851" xr:uid="{00000000-0005-0000-0000-000053030000}"/>
    <cellStyle name="Normal 2 3 2 2 4 2" xfId="852" xr:uid="{00000000-0005-0000-0000-000054030000}"/>
    <cellStyle name="Normal 2 3 2 2 5" xfId="853" xr:uid="{00000000-0005-0000-0000-000055030000}"/>
    <cellStyle name="Normal 2 3 2 3" xfId="854" xr:uid="{00000000-0005-0000-0000-000056030000}"/>
    <cellStyle name="Normal 2 3 2 3 2" xfId="855" xr:uid="{00000000-0005-0000-0000-000057030000}"/>
    <cellStyle name="Normal 2 3 2 3 2 2" xfId="856" xr:uid="{00000000-0005-0000-0000-000058030000}"/>
    <cellStyle name="Normal 2 3 2 3 2 2 2" xfId="857" xr:uid="{00000000-0005-0000-0000-000059030000}"/>
    <cellStyle name="Normal 2 3 2 3 2 3" xfId="858" xr:uid="{00000000-0005-0000-0000-00005A030000}"/>
    <cellStyle name="Normal 2 3 2 3 3" xfId="859" xr:uid="{00000000-0005-0000-0000-00005B030000}"/>
    <cellStyle name="Normal 2 3 2 3 3 2" xfId="860" xr:uid="{00000000-0005-0000-0000-00005C030000}"/>
    <cellStyle name="Normal 2 3 2 3 4" xfId="861" xr:uid="{00000000-0005-0000-0000-00005D030000}"/>
    <cellStyle name="Normal 2 3 2 4" xfId="862" xr:uid="{00000000-0005-0000-0000-00005E030000}"/>
    <cellStyle name="Normal 2 3 2 4 2" xfId="863" xr:uid="{00000000-0005-0000-0000-00005F030000}"/>
    <cellStyle name="Normal 2 3 2 4 2 2" xfId="864" xr:uid="{00000000-0005-0000-0000-000060030000}"/>
    <cellStyle name="Normal 2 3 2 4 3" xfId="865" xr:uid="{00000000-0005-0000-0000-000061030000}"/>
    <cellStyle name="Normal 2 3 2 5" xfId="866" xr:uid="{00000000-0005-0000-0000-000062030000}"/>
    <cellStyle name="Normal 2 3 2 5 2" xfId="867" xr:uid="{00000000-0005-0000-0000-000063030000}"/>
    <cellStyle name="Normal 2 3 2 6" xfId="868" xr:uid="{00000000-0005-0000-0000-000064030000}"/>
    <cellStyle name="Normal 2 4" xfId="869" xr:uid="{00000000-0005-0000-0000-000065030000}"/>
    <cellStyle name="Normal 2 5" xfId="870" xr:uid="{00000000-0005-0000-0000-000066030000}"/>
    <cellStyle name="Normal 2 6" xfId="871" xr:uid="{00000000-0005-0000-0000-000067030000}"/>
    <cellStyle name="Normal 2 7" xfId="872" xr:uid="{00000000-0005-0000-0000-000068030000}"/>
    <cellStyle name="Normal 2 7 2" xfId="873" xr:uid="{00000000-0005-0000-0000-000069030000}"/>
    <cellStyle name="Normal 2 7 2 2" xfId="874" xr:uid="{00000000-0005-0000-0000-00006A030000}"/>
    <cellStyle name="Normal 2 7 2 2 2" xfId="875" xr:uid="{00000000-0005-0000-0000-00006B030000}"/>
    <cellStyle name="Normal 2 7 2 2 2 2" xfId="876" xr:uid="{00000000-0005-0000-0000-00006C030000}"/>
    <cellStyle name="Normal 2 7 2 2 2 2 2" xfId="877" xr:uid="{00000000-0005-0000-0000-00006D030000}"/>
    <cellStyle name="Normal 2 7 2 2 2 3" xfId="878" xr:uid="{00000000-0005-0000-0000-00006E030000}"/>
    <cellStyle name="Normal 2 7 2 2 3" xfId="879" xr:uid="{00000000-0005-0000-0000-00006F030000}"/>
    <cellStyle name="Normal 2 7 2 2 3 2" xfId="880" xr:uid="{00000000-0005-0000-0000-000070030000}"/>
    <cellStyle name="Normal 2 7 2 2 4" xfId="881" xr:uid="{00000000-0005-0000-0000-000071030000}"/>
    <cellStyle name="Normal 2 7 2 3" xfId="882" xr:uid="{00000000-0005-0000-0000-000072030000}"/>
    <cellStyle name="Normal 2 7 2 3 2" xfId="883" xr:uid="{00000000-0005-0000-0000-000073030000}"/>
    <cellStyle name="Normal 2 7 2 3 2 2" xfId="884" xr:uid="{00000000-0005-0000-0000-000074030000}"/>
    <cellStyle name="Normal 2 7 2 3 3" xfId="885" xr:uid="{00000000-0005-0000-0000-000075030000}"/>
    <cellStyle name="Normal 2 7 2 4" xfId="886" xr:uid="{00000000-0005-0000-0000-000076030000}"/>
    <cellStyle name="Normal 2 7 2 4 2" xfId="887" xr:uid="{00000000-0005-0000-0000-000077030000}"/>
    <cellStyle name="Normal 2 7 2 5" xfId="888" xr:uid="{00000000-0005-0000-0000-000078030000}"/>
    <cellStyle name="Normal 2 7 3" xfId="889" xr:uid="{00000000-0005-0000-0000-000079030000}"/>
    <cellStyle name="Normal 2 7 3 2" xfId="890" xr:uid="{00000000-0005-0000-0000-00007A030000}"/>
    <cellStyle name="Normal 2 7 3 2 2" xfId="891" xr:uid="{00000000-0005-0000-0000-00007B030000}"/>
    <cellStyle name="Normal 2 7 3 2 2 2" xfId="892" xr:uid="{00000000-0005-0000-0000-00007C030000}"/>
    <cellStyle name="Normal 2 7 3 2 3" xfId="893" xr:uid="{00000000-0005-0000-0000-00007D030000}"/>
    <cellStyle name="Normal 2 7 3 3" xfId="894" xr:uid="{00000000-0005-0000-0000-00007E030000}"/>
    <cellStyle name="Normal 2 7 3 3 2" xfId="895" xr:uid="{00000000-0005-0000-0000-00007F030000}"/>
    <cellStyle name="Normal 2 7 3 4" xfId="896" xr:uid="{00000000-0005-0000-0000-000080030000}"/>
    <cellStyle name="Normal 2 7 4" xfId="897" xr:uid="{00000000-0005-0000-0000-000081030000}"/>
    <cellStyle name="Normal 2 7 4 2" xfId="898" xr:uid="{00000000-0005-0000-0000-000082030000}"/>
    <cellStyle name="Normal 2 7 4 2 2" xfId="899" xr:uid="{00000000-0005-0000-0000-000083030000}"/>
    <cellStyle name="Normal 2 7 4 3" xfId="900" xr:uid="{00000000-0005-0000-0000-000084030000}"/>
    <cellStyle name="Normal 2 7 5" xfId="901" xr:uid="{00000000-0005-0000-0000-000085030000}"/>
    <cellStyle name="Normal 2 7 5 2" xfId="902" xr:uid="{00000000-0005-0000-0000-000086030000}"/>
    <cellStyle name="Normal 2 7 6" xfId="903" xr:uid="{00000000-0005-0000-0000-000087030000}"/>
    <cellStyle name="Normal 2 8" xfId="904" xr:uid="{00000000-0005-0000-0000-000088030000}"/>
    <cellStyle name="Normal 2 8 2" xfId="905" xr:uid="{00000000-0005-0000-0000-000089030000}"/>
    <cellStyle name="Normal 2 8 2 2" xfId="906" xr:uid="{00000000-0005-0000-0000-00008A030000}"/>
    <cellStyle name="Normal 2 8 2 2 2" xfId="907" xr:uid="{00000000-0005-0000-0000-00008B030000}"/>
    <cellStyle name="Normal 2 8 2 2 2 2" xfId="908" xr:uid="{00000000-0005-0000-0000-00008C030000}"/>
    <cellStyle name="Normal 2 8 2 2 2 2 2" xfId="909" xr:uid="{00000000-0005-0000-0000-00008D030000}"/>
    <cellStyle name="Normal 2 8 2 2 2 3" xfId="910" xr:uid="{00000000-0005-0000-0000-00008E030000}"/>
    <cellStyle name="Normal 2 8 2 2 3" xfId="911" xr:uid="{00000000-0005-0000-0000-00008F030000}"/>
    <cellStyle name="Normal 2 8 2 2 3 2" xfId="912" xr:uid="{00000000-0005-0000-0000-000090030000}"/>
    <cellStyle name="Normal 2 8 2 2 4" xfId="913" xr:uid="{00000000-0005-0000-0000-000091030000}"/>
    <cellStyle name="Normal 2 8 2 3" xfId="914" xr:uid="{00000000-0005-0000-0000-000092030000}"/>
    <cellStyle name="Normal 2 8 2 3 2" xfId="915" xr:uid="{00000000-0005-0000-0000-000093030000}"/>
    <cellStyle name="Normal 2 8 2 3 2 2" xfId="916" xr:uid="{00000000-0005-0000-0000-000094030000}"/>
    <cellStyle name="Normal 2 8 2 3 3" xfId="917" xr:uid="{00000000-0005-0000-0000-000095030000}"/>
    <cellStyle name="Normal 2 8 2 4" xfId="918" xr:uid="{00000000-0005-0000-0000-000096030000}"/>
    <cellStyle name="Normal 2 8 2 4 2" xfId="919" xr:uid="{00000000-0005-0000-0000-000097030000}"/>
    <cellStyle name="Normal 2 8 2 5" xfId="920" xr:uid="{00000000-0005-0000-0000-000098030000}"/>
    <cellStyle name="Normal 2 8 3" xfId="921" xr:uid="{00000000-0005-0000-0000-000099030000}"/>
    <cellStyle name="Normal 2 8 3 2" xfId="922" xr:uid="{00000000-0005-0000-0000-00009A030000}"/>
    <cellStyle name="Normal 2 8 3 2 2" xfId="923" xr:uid="{00000000-0005-0000-0000-00009B030000}"/>
    <cellStyle name="Normal 2 8 3 2 2 2" xfId="924" xr:uid="{00000000-0005-0000-0000-00009C030000}"/>
    <cellStyle name="Normal 2 8 3 2 3" xfId="925" xr:uid="{00000000-0005-0000-0000-00009D030000}"/>
    <cellStyle name="Normal 2 8 3 3" xfId="926" xr:uid="{00000000-0005-0000-0000-00009E030000}"/>
    <cellStyle name="Normal 2 8 3 3 2" xfId="927" xr:uid="{00000000-0005-0000-0000-00009F030000}"/>
    <cellStyle name="Normal 2 8 3 4" xfId="928" xr:uid="{00000000-0005-0000-0000-0000A0030000}"/>
    <cellStyle name="Normal 2 8 4" xfId="929" xr:uid="{00000000-0005-0000-0000-0000A1030000}"/>
    <cellStyle name="Normal 2 8 4 2" xfId="930" xr:uid="{00000000-0005-0000-0000-0000A2030000}"/>
    <cellStyle name="Normal 2 8 4 2 2" xfId="931" xr:uid="{00000000-0005-0000-0000-0000A3030000}"/>
    <cellStyle name="Normal 2 8 4 3" xfId="932" xr:uid="{00000000-0005-0000-0000-0000A4030000}"/>
    <cellStyle name="Normal 2 8 5" xfId="933" xr:uid="{00000000-0005-0000-0000-0000A5030000}"/>
    <cellStyle name="Normal 2 8 5 2" xfId="934" xr:uid="{00000000-0005-0000-0000-0000A6030000}"/>
    <cellStyle name="Normal 2 8 6" xfId="935" xr:uid="{00000000-0005-0000-0000-0000A7030000}"/>
    <cellStyle name="Normal 2 9" xfId="936" xr:uid="{00000000-0005-0000-0000-0000A8030000}"/>
    <cellStyle name="Normal 2 9 2" xfId="937" xr:uid="{00000000-0005-0000-0000-0000A9030000}"/>
    <cellStyle name="Normal 2 9 2 2" xfId="938" xr:uid="{00000000-0005-0000-0000-0000AA030000}"/>
    <cellStyle name="Normal 2 9 2 2 2" xfId="939" xr:uid="{00000000-0005-0000-0000-0000AB030000}"/>
    <cellStyle name="Normal 2 9 2 2 2 2" xfId="940" xr:uid="{00000000-0005-0000-0000-0000AC030000}"/>
    <cellStyle name="Normal 2 9 2 2 2 2 2" xfId="941" xr:uid="{00000000-0005-0000-0000-0000AD030000}"/>
    <cellStyle name="Normal 2 9 2 2 2 3" xfId="942" xr:uid="{00000000-0005-0000-0000-0000AE030000}"/>
    <cellStyle name="Normal 2 9 2 2 3" xfId="943" xr:uid="{00000000-0005-0000-0000-0000AF030000}"/>
    <cellStyle name="Normal 2 9 2 2 3 2" xfId="944" xr:uid="{00000000-0005-0000-0000-0000B0030000}"/>
    <cellStyle name="Normal 2 9 2 2 4" xfId="945" xr:uid="{00000000-0005-0000-0000-0000B1030000}"/>
    <cellStyle name="Normal 2 9 2 3" xfId="946" xr:uid="{00000000-0005-0000-0000-0000B2030000}"/>
    <cellStyle name="Normal 2 9 2 3 2" xfId="947" xr:uid="{00000000-0005-0000-0000-0000B3030000}"/>
    <cellStyle name="Normal 2 9 2 3 2 2" xfId="948" xr:uid="{00000000-0005-0000-0000-0000B4030000}"/>
    <cellStyle name="Normal 2 9 2 3 3" xfId="949" xr:uid="{00000000-0005-0000-0000-0000B5030000}"/>
    <cellStyle name="Normal 2 9 2 4" xfId="950" xr:uid="{00000000-0005-0000-0000-0000B6030000}"/>
    <cellStyle name="Normal 2 9 2 4 2" xfId="951" xr:uid="{00000000-0005-0000-0000-0000B7030000}"/>
    <cellStyle name="Normal 2 9 2 5" xfId="952" xr:uid="{00000000-0005-0000-0000-0000B8030000}"/>
    <cellStyle name="Normal 2 9 3" xfId="953" xr:uid="{00000000-0005-0000-0000-0000B9030000}"/>
    <cellStyle name="Normal 2 9 3 2" xfId="954" xr:uid="{00000000-0005-0000-0000-0000BA030000}"/>
    <cellStyle name="Normal 2 9 3 2 2" xfId="955" xr:uid="{00000000-0005-0000-0000-0000BB030000}"/>
    <cellStyle name="Normal 2 9 3 2 2 2" xfId="956" xr:uid="{00000000-0005-0000-0000-0000BC030000}"/>
    <cellStyle name="Normal 2 9 3 2 3" xfId="957" xr:uid="{00000000-0005-0000-0000-0000BD030000}"/>
    <cellStyle name="Normal 2 9 3 3" xfId="958" xr:uid="{00000000-0005-0000-0000-0000BE030000}"/>
    <cellStyle name="Normal 2 9 3 3 2" xfId="959" xr:uid="{00000000-0005-0000-0000-0000BF030000}"/>
    <cellStyle name="Normal 2 9 3 4" xfId="960" xr:uid="{00000000-0005-0000-0000-0000C0030000}"/>
    <cellStyle name="Normal 2 9 4" xfId="961" xr:uid="{00000000-0005-0000-0000-0000C1030000}"/>
    <cellStyle name="Normal 2 9 4 2" xfId="962" xr:uid="{00000000-0005-0000-0000-0000C2030000}"/>
    <cellStyle name="Normal 2 9 4 2 2" xfId="963" xr:uid="{00000000-0005-0000-0000-0000C3030000}"/>
    <cellStyle name="Normal 2 9 4 3" xfId="964" xr:uid="{00000000-0005-0000-0000-0000C4030000}"/>
    <cellStyle name="Normal 2 9 5" xfId="965" xr:uid="{00000000-0005-0000-0000-0000C5030000}"/>
    <cellStyle name="Normal 2 9 5 2" xfId="966" xr:uid="{00000000-0005-0000-0000-0000C6030000}"/>
    <cellStyle name="Normal 2 9 6" xfId="967" xr:uid="{00000000-0005-0000-0000-0000C7030000}"/>
    <cellStyle name="Normal 27" xfId="11" xr:uid="{00000000-0005-0000-0000-00000B000000}"/>
    <cellStyle name="Normal 3" xfId="968" xr:uid="{00000000-0005-0000-0000-0000C8030000}"/>
    <cellStyle name="Normal 3 2" xfId="969" xr:uid="{00000000-0005-0000-0000-0000C9030000}"/>
    <cellStyle name="Normal 30" xfId="970" xr:uid="{00000000-0005-0000-0000-0000CA030000}"/>
    <cellStyle name="Normal 34 5 8" xfId="971" xr:uid="{00000000-0005-0000-0000-0000CB030000}"/>
    <cellStyle name="Normal 34 5 8 2" xfId="972" xr:uid="{00000000-0005-0000-0000-0000CC030000}"/>
    <cellStyle name="Normal 34 5 8 2 2" xfId="5" xr:uid="{00000000-0005-0000-0000-000005000000}"/>
    <cellStyle name="Normal 34 5 8 2 2 2" xfId="973" xr:uid="{00000000-0005-0000-0000-0000CD030000}"/>
    <cellStyle name="Normal 34 5 8 2 2 2 2" xfId="974" xr:uid="{00000000-0005-0000-0000-0000CE030000}"/>
    <cellStyle name="Normal 34 5 8 2 2 2 2 2" xfId="975" xr:uid="{00000000-0005-0000-0000-0000CF030000}"/>
    <cellStyle name="Normal 34 5 8 2 2 2 3" xfId="976" xr:uid="{00000000-0005-0000-0000-0000D0030000}"/>
    <cellStyle name="Normal 34 5 8 2 2 3" xfId="977" xr:uid="{00000000-0005-0000-0000-0000D1030000}"/>
    <cellStyle name="Normal 34 5 8 2 2 3 2" xfId="978" xr:uid="{00000000-0005-0000-0000-0000D2030000}"/>
    <cellStyle name="Normal 34 5 8 2 2 4" xfId="979" xr:uid="{00000000-0005-0000-0000-0000D3030000}"/>
    <cellStyle name="Normal 34 5 8 2 3" xfId="980" xr:uid="{00000000-0005-0000-0000-0000D4030000}"/>
    <cellStyle name="Normal 34 5 8 2 3 2" xfId="981" xr:uid="{00000000-0005-0000-0000-0000D5030000}"/>
    <cellStyle name="Normal 34 5 8 2 3 2 2" xfId="982" xr:uid="{00000000-0005-0000-0000-0000D6030000}"/>
    <cellStyle name="Normal 34 5 8 2 3 3" xfId="983" xr:uid="{00000000-0005-0000-0000-0000D7030000}"/>
    <cellStyle name="Normal 34 5 8 2 4" xfId="984" xr:uid="{00000000-0005-0000-0000-0000D8030000}"/>
    <cellStyle name="Normal 34 5 8 2 4 2" xfId="985" xr:uid="{00000000-0005-0000-0000-0000D9030000}"/>
    <cellStyle name="Normal 34 5 8 2 5" xfId="986" xr:uid="{00000000-0005-0000-0000-0000DA030000}"/>
    <cellStyle name="Normal 34 5 8 3" xfId="987" xr:uid="{00000000-0005-0000-0000-0000DB030000}"/>
    <cellStyle name="Normal 34 5 8 3 2" xfId="988" xr:uid="{00000000-0005-0000-0000-0000DC030000}"/>
    <cellStyle name="Normal 34 5 8 3 2 2" xfId="989" xr:uid="{00000000-0005-0000-0000-0000DD030000}"/>
    <cellStyle name="Normal 34 5 8 3 2 2 2" xfId="990" xr:uid="{00000000-0005-0000-0000-0000DE030000}"/>
    <cellStyle name="Normal 34 5 8 3 2 3" xfId="991" xr:uid="{00000000-0005-0000-0000-0000DF030000}"/>
    <cellStyle name="Normal 34 5 8 3 3" xfId="992" xr:uid="{00000000-0005-0000-0000-0000E0030000}"/>
    <cellStyle name="Normal 34 5 8 3 3 2" xfId="993" xr:uid="{00000000-0005-0000-0000-0000E1030000}"/>
    <cellStyle name="Normal 34 5 8 3 4" xfId="994" xr:uid="{00000000-0005-0000-0000-0000E2030000}"/>
    <cellStyle name="Normal 34 5 8 4" xfId="995" xr:uid="{00000000-0005-0000-0000-0000E3030000}"/>
    <cellStyle name="Normal 34 5 8 4 2" xfId="15" xr:uid="{00000000-0005-0000-0000-00000F000000}"/>
    <cellStyle name="Normal 34 5 8 4 2 2" xfId="996" xr:uid="{00000000-0005-0000-0000-0000E4030000}"/>
    <cellStyle name="Normal 34 5 8 4 2 5" xfId="4" xr:uid="{00000000-0005-0000-0000-000004000000}"/>
    <cellStyle name="Normal 34 5 8 4 3" xfId="997" xr:uid="{00000000-0005-0000-0000-0000E5030000}"/>
    <cellStyle name="Normal 34 5 8 5" xfId="9" xr:uid="{00000000-0005-0000-0000-000009000000}"/>
    <cellStyle name="Normal 34 5 8 5 2" xfId="998" xr:uid="{00000000-0005-0000-0000-0000E6030000}"/>
    <cellStyle name="Normal 34 5 8 5 2 2" xfId="12" xr:uid="{00000000-0005-0000-0000-00000C000000}"/>
    <cellStyle name="Normal 34 5 8 5 3" xfId="999" xr:uid="{00000000-0005-0000-0000-0000E7030000}"/>
    <cellStyle name="Normal 34 5 8 6" xfId="1000" xr:uid="{00000000-0005-0000-0000-0000E8030000}"/>
    <cellStyle name="Normal 38 16" xfId="1001" xr:uid="{00000000-0005-0000-0000-0000E9030000}"/>
    <cellStyle name="Normal 38 16 2" xfId="1002" xr:uid="{00000000-0005-0000-0000-0000EA030000}"/>
    <cellStyle name="Normal 38 4 4" xfId="1003" xr:uid="{00000000-0005-0000-0000-0000EB030000}"/>
    <cellStyle name="Normal 38 4 7" xfId="1004" xr:uid="{00000000-0005-0000-0000-0000EC030000}"/>
    <cellStyle name="Normal 38 4 7 7" xfId="2" xr:uid="{00000000-0005-0000-0000-000002000000}"/>
    <cellStyle name="Normal 4" xfId="1005" xr:uid="{00000000-0005-0000-0000-0000ED030000}"/>
    <cellStyle name="Normal 4 2" xfId="1006" xr:uid="{00000000-0005-0000-0000-0000EE030000}"/>
    <cellStyle name="Normal 4 2 2" xfId="10" xr:uid="{00000000-0005-0000-0000-00000A000000}"/>
    <cellStyle name="Normal 4 2 2 2" xfId="1007" xr:uid="{00000000-0005-0000-0000-0000EF030000}"/>
    <cellStyle name="Normal 4 3" xfId="1008" xr:uid="{00000000-0005-0000-0000-0000F0030000}"/>
    <cellStyle name="Normal 4 3 2" xfId="1009" xr:uid="{00000000-0005-0000-0000-0000F1030000}"/>
    <cellStyle name="Normal 4 4" xfId="1010" xr:uid="{00000000-0005-0000-0000-0000F2030000}"/>
    <cellStyle name="Normal 4 5" xfId="1011" xr:uid="{00000000-0005-0000-0000-0000F3030000}"/>
    <cellStyle name="Normal 5" xfId="1012" xr:uid="{00000000-0005-0000-0000-0000F4030000}"/>
    <cellStyle name="Normal 5 2" xfId="1013" xr:uid="{00000000-0005-0000-0000-0000F5030000}"/>
    <cellStyle name="Normal 5 2 2" xfId="1014" xr:uid="{00000000-0005-0000-0000-0000F6030000}"/>
    <cellStyle name="Normal 5 2 2 2" xfId="1015" xr:uid="{00000000-0005-0000-0000-0000F7030000}"/>
    <cellStyle name="Normal 5 2 2 2 2" xfId="1016" xr:uid="{00000000-0005-0000-0000-0000F8030000}"/>
    <cellStyle name="Normal 5 2 2 2 2 2" xfId="1017" xr:uid="{00000000-0005-0000-0000-0000F9030000}"/>
    <cellStyle name="Normal 5 2 2 2 3" xfId="1018" xr:uid="{00000000-0005-0000-0000-0000FA030000}"/>
    <cellStyle name="Normal 5 2 2 3" xfId="1019" xr:uid="{00000000-0005-0000-0000-0000FB030000}"/>
    <cellStyle name="Normal 5 2 2 3 2" xfId="1020" xr:uid="{00000000-0005-0000-0000-0000FC030000}"/>
    <cellStyle name="Normal 5 2 2 4" xfId="1021" xr:uid="{00000000-0005-0000-0000-0000FD030000}"/>
    <cellStyle name="Normal 5 2 3" xfId="1022" xr:uid="{00000000-0005-0000-0000-0000FE030000}"/>
    <cellStyle name="Normal 5 2 3 2" xfId="1023" xr:uid="{00000000-0005-0000-0000-0000FF030000}"/>
    <cellStyle name="Normal 5 2 3 2 2" xfId="1024" xr:uid="{00000000-0005-0000-0000-000000040000}"/>
    <cellStyle name="Normal 5 2 3 3" xfId="1025" xr:uid="{00000000-0005-0000-0000-000001040000}"/>
    <cellStyle name="Normal 5 2 4" xfId="1026" xr:uid="{00000000-0005-0000-0000-000002040000}"/>
    <cellStyle name="Normal 5 2 4 2" xfId="1027" xr:uid="{00000000-0005-0000-0000-000003040000}"/>
    <cellStyle name="Normal 5 2 5" xfId="1028" xr:uid="{00000000-0005-0000-0000-000004040000}"/>
    <cellStyle name="Normal 5 3" xfId="1029" xr:uid="{00000000-0005-0000-0000-000005040000}"/>
    <cellStyle name="Normal 5 3 2" xfId="1030" xr:uid="{00000000-0005-0000-0000-000006040000}"/>
    <cellStyle name="Normal 5 3 2 2" xfId="1031" xr:uid="{00000000-0005-0000-0000-000007040000}"/>
    <cellStyle name="Normal 5 3 2 2 2" xfId="1032" xr:uid="{00000000-0005-0000-0000-000008040000}"/>
    <cellStyle name="Normal 5 3 2 3" xfId="1033" xr:uid="{00000000-0005-0000-0000-000009040000}"/>
    <cellStyle name="Normal 5 3 3" xfId="1034" xr:uid="{00000000-0005-0000-0000-00000A040000}"/>
    <cellStyle name="Normal 5 3 3 2" xfId="1035" xr:uid="{00000000-0005-0000-0000-00000B040000}"/>
    <cellStyle name="Normal 5 3 4" xfId="1036" xr:uid="{00000000-0005-0000-0000-00000C040000}"/>
    <cellStyle name="Normal 5 4" xfId="1037" xr:uid="{00000000-0005-0000-0000-00000D040000}"/>
    <cellStyle name="Normal 5 4 2" xfId="1038" xr:uid="{00000000-0005-0000-0000-00000E040000}"/>
    <cellStyle name="Normal 5 4 2 2" xfId="1039" xr:uid="{00000000-0005-0000-0000-00000F040000}"/>
    <cellStyle name="Normal 5 4 3" xfId="1040" xr:uid="{00000000-0005-0000-0000-000010040000}"/>
    <cellStyle name="Normal 5 5" xfId="1041" xr:uid="{00000000-0005-0000-0000-000011040000}"/>
    <cellStyle name="Normal 5 5 2" xfId="1042" xr:uid="{00000000-0005-0000-0000-000012040000}"/>
    <cellStyle name="Normal 5 6" xfId="1043" xr:uid="{00000000-0005-0000-0000-000013040000}"/>
    <cellStyle name="Normal 6" xfId="1044" xr:uid="{00000000-0005-0000-0000-000014040000}"/>
    <cellStyle name="Normal 7" xfId="1045" xr:uid="{00000000-0005-0000-0000-000015040000}"/>
    <cellStyle name="Normal 7 2" xfId="1046" xr:uid="{00000000-0005-0000-0000-000016040000}"/>
    <cellStyle name="Normal 8" xfId="1047" xr:uid="{00000000-0005-0000-0000-000017040000}"/>
    <cellStyle name="Normal 8 2" xfId="1048" xr:uid="{00000000-0005-0000-0000-000018040000}"/>
    <cellStyle name="Normal 8 3" xfId="1049" xr:uid="{00000000-0005-0000-0000-000019040000}"/>
    <cellStyle name="Normal 9" xfId="1050" xr:uid="{00000000-0005-0000-0000-00001A040000}"/>
    <cellStyle name="Notas" xfId="1119" builtinId="10" customBuiltin="1"/>
    <cellStyle name="Notas 2" xfId="1051" xr:uid="{00000000-0005-0000-0000-00001B040000}"/>
    <cellStyle name="Notas 2 2" xfId="1052" xr:uid="{00000000-0005-0000-0000-00001C040000}"/>
    <cellStyle name="Notas 2 2 2" xfId="1053" xr:uid="{00000000-0005-0000-0000-00001D040000}"/>
    <cellStyle name="Notas 2 2 2 2" xfId="1054" xr:uid="{00000000-0005-0000-0000-00001E040000}"/>
    <cellStyle name="Notas 2 2 2 2 2" xfId="1055" xr:uid="{00000000-0005-0000-0000-00001F040000}"/>
    <cellStyle name="Notas 2 2 2 2 2 2" xfId="1056" xr:uid="{00000000-0005-0000-0000-000020040000}"/>
    <cellStyle name="Notas 2 2 2 2 3" xfId="1057" xr:uid="{00000000-0005-0000-0000-000021040000}"/>
    <cellStyle name="Notas 2 2 2 3" xfId="1058" xr:uid="{00000000-0005-0000-0000-000022040000}"/>
    <cellStyle name="Notas 2 2 2 3 2" xfId="1059" xr:uid="{00000000-0005-0000-0000-000023040000}"/>
    <cellStyle name="Notas 2 2 2 4" xfId="1060" xr:uid="{00000000-0005-0000-0000-000024040000}"/>
    <cellStyle name="Notas 2 2 3" xfId="1061" xr:uid="{00000000-0005-0000-0000-000025040000}"/>
    <cellStyle name="Notas 2 2 3 2" xfId="1062" xr:uid="{00000000-0005-0000-0000-000026040000}"/>
    <cellStyle name="Notas 2 2 3 2 2" xfId="1063" xr:uid="{00000000-0005-0000-0000-000027040000}"/>
    <cellStyle name="Notas 2 2 3 3" xfId="1064" xr:uid="{00000000-0005-0000-0000-000028040000}"/>
    <cellStyle name="Notas 2 2 4" xfId="1065" xr:uid="{00000000-0005-0000-0000-000029040000}"/>
    <cellStyle name="Notas 2 2 4 2" xfId="1066" xr:uid="{00000000-0005-0000-0000-00002A040000}"/>
    <cellStyle name="Notas 2 2 5" xfId="1067" xr:uid="{00000000-0005-0000-0000-00002B040000}"/>
    <cellStyle name="Notas 2 3" xfId="1068" xr:uid="{00000000-0005-0000-0000-00002C040000}"/>
    <cellStyle name="Notas 2 3 2" xfId="1069" xr:uid="{00000000-0005-0000-0000-00002D040000}"/>
    <cellStyle name="Notas 2 3 2 2" xfId="1070" xr:uid="{00000000-0005-0000-0000-00002E040000}"/>
    <cellStyle name="Notas 2 3 2 2 2" xfId="1071" xr:uid="{00000000-0005-0000-0000-00002F040000}"/>
    <cellStyle name="Notas 2 3 2 3" xfId="1072" xr:uid="{00000000-0005-0000-0000-000030040000}"/>
    <cellStyle name="Notas 2 3 3" xfId="1073" xr:uid="{00000000-0005-0000-0000-000031040000}"/>
    <cellStyle name="Notas 2 3 3 2" xfId="1074" xr:uid="{00000000-0005-0000-0000-000032040000}"/>
    <cellStyle name="Notas 2 3 4" xfId="1075" xr:uid="{00000000-0005-0000-0000-000033040000}"/>
    <cellStyle name="Notas 2 4" xfId="1076" xr:uid="{00000000-0005-0000-0000-000034040000}"/>
    <cellStyle name="Notas 2 4 2" xfId="1077" xr:uid="{00000000-0005-0000-0000-000035040000}"/>
    <cellStyle name="Notas 2 4 2 2" xfId="1078" xr:uid="{00000000-0005-0000-0000-000036040000}"/>
    <cellStyle name="Notas 2 4 3" xfId="1079" xr:uid="{00000000-0005-0000-0000-000037040000}"/>
    <cellStyle name="Notas 2 5" xfId="1080" xr:uid="{00000000-0005-0000-0000-000038040000}"/>
    <cellStyle name="Notas 2 5 2" xfId="1081" xr:uid="{00000000-0005-0000-0000-000039040000}"/>
    <cellStyle name="Notas 2 6" xfId="1082" xr:uid="{00000000-0005-0000-0000-00003A040000}"/>
    <cellStyle name="Salida" xfId="1120" builtinId="21" customBuiltin="1"/>
    <cellStyle name="Texto de advertencia" xfId="1121" builtinId="11" customBuiltin="1"/>
    <cellStyle name="Texto explicativo" xfId="1122" builtinId="53" customBuiltin="1"/>
    <cellStyle name="Título" xfId="1123" builtinId="15" customBuiltin="1"/>
    <cellStyle name="Título 2" xfId="1124" builtinId="17" customBuiltin="1"/>
    <cellStyle name="Título 3" xfId="1125" builtinId="18" customBuiltin="1"/>
    <cellStyle name="Total" xfId="1126" builtinId="25" customBuiltin="1"/>
    <cellStyle name="Обычный 2" xfId="1083" xr:uid="{00000000-0005-0000-0000-00003B040000}"/>
    <cellStyle name="Обычный 2 2 2" xfId="1084" xr:uid="{00000000-0005-0000-0000-00003C040000}"/>
    <cellStyle name="Обычный_12_06" xfId="1085" xr:uid="{00000000-0005-0000-0000-00003D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6" y="1004194636"/>
          <a:ext cx="541441" cy="431671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6" y="1004194636"/>
          <a:ext cx="541441" cy="431671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192520</xdr:colOff>
      <xdr:row>1</xdr:row>
      <xdr:rowOff>6350</xdr:rowOff>
    </xdr:from>
    <xdr:to>
      <xdr:col>1</xdr:col>
      <xdr:colOff>771640</xdr:colOff>
      <xdr:row>3</xdr:row>
      <xdr:rowOff>119784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08156" y="202623"/>
          <a:ext cx="579120" cy="57525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104775</xdr:rowOff>
    </xdr:from>
    <xdr:to>
      <xdr:col>1</xdr:col>
      <xdr:colOff>769620</xdr:colOff>
      <xdr:row>3</xdr:row>
      <xdr:rowOff>177800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47700" y="321659250"/>
          <a:ext cx="578870" cy="45430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180975</xdr:rowOff>
    </xdr:from>
    <xdr:to>
      <xdr:col>1</xdr:col>
      <xdr:colOff>683895</xdr:colOff>
      <xdr:row>3</xdr:row>
      <xdr:rowOff>177800</xdr:rowOff>
    </xdr:to>
    <xdr:pic>
      <xdr:nvPicPr>
        <xdr:cNvPr id="3" name="Imagen 2" descr="Logo-Teka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866775" y="180975"/>
          <a:ext cx="578870" cy="62575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76200</xdr:rowOff>
    </xdr:from>
    <xdr:to>
      <xdr:col>1</xdr:col>
      <xdr:colOff>676275</xdr:colOff>
      <xdr:row>4</xdr:row>
      <xdr:rowOff>111234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F2EAF20B-18A2-C141-9C66-4A894DD32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" y="45720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40"/>
  <sheetViews>
    <sheetView zoomScale="120" zoomScaleNormal="120" workbookViewId="0">
      <selection activeCell="F18" sqref="F18"/>
    </sheetView>
  </sheetViews>
  <sheetFormatPr baseColWidth="10" defaultRowHeight="15"/>
  <cols>
    <col min="1" max="1" width="6.1640625" customWidth="1"/>
    <col min="2" max="2" width="16.1640625" customWidth="1"/>
    <col min="3" max="3" width="13.1640625" customWidth="1"/>
    <col min="4" max="4" width="8" customWidth="1"/>
    <col min="5" max="5" width="15" customWidth="1"/>
    <col min="6" max="6" width="30.1640625" customWidth="1"/>
    <col min="7" max="7" width="12.33203125" customWidth="1"/>
    <col min="8" max="8" width="40.33203125" customWidth="1"/>
    <col min="9" max="9" width="17.33203125" customWidth="1"/>
    <col min="10" max="10" width="9.1640625" customWidth="1"/>
    <col min="11" max="11" width="10.6640625" customWidth="1"/>
    <col min="12" max="12" width="22.5" customWidth="1"/>
    <col min="13" max="13" width="32.6640625" customWidth="1"/>
    <col min="14" max="14" width="14.5" customWidth="1"/>
    <col min="15" max="15" width="22" style="2" customWidth="1"/>
    <col min="16" max="16" width="29.6640625" customWidth="1"/>
    <col min="17" max="17" width="19.33203125" customWidth="1"/>
    <col min="19" max="19" width="26.1640625" customWidth="1"/>
    <col min="20" max="20" width="21.6640625" customWidth="1"/>
  </cols>
  <sheetData>
    <row r="2" spans="1:28" ht="17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6"/>
      <c r="P2" s="3"/>
      <c r="Q2" s="3"/>
      <c r="R2" s="3"/>
    </row>
    <row r="3" spans="1:28" ht="18">
      <c r="B3" s="7"/>
      <c r="C3" s="8" t="s">
        <v>0</v>
      </c>
      <c r="D3" s="9"/>
      <c r="E3" s="10"/>
      <c r="F3" s="11"/>
      <c r="G3" s="12"/>
      <c r="H3" s="13"/>
      <c r="I3" s="13"/>
      <c r="J3" s="13"/>
      <c r="K3" s="13"/>
      <c r="L3" s="13"/>
      <c r="M3" s="14"/>
      <c r="N3" s="15"/>
      <c r="O3" s="16"/>
      <c r="P3" s="17"/>
      <c r="Q3" s="17"/>
      <c r="R3" s="17"/>
      <c r="S3" s="17"/>
    </row>
    <row r="4" spans="1:28" ht="18">
      <c r="B4" s="7"/>
      <c r="C4" s="18" t="s">
        <v>1</v>
      </c>
      <c r="D4" s="19"/>
      <c r="E4" s="20"/>
      <c r="F4" s="20"/>
      <c r="G4" s="12"/>
      <c r="H4" s="13"/>
      <c r="I4" s="13"/>
      <c r="J4" s="13"/>
      <c r="K4" s="13"/>
      <c r="L4" s="13"/>
      <c r="M4" s="14"/>
      <c r="N4" s="15"/>
      <c r="O4" s="16"/>
      <c r="P4" s="17"/>
      <c r="Q4" s="17"/>
      <c r="R4" s="17"/>
      <c r="S4" s="17"/>
    </row>
    <row r="5" spans="1:28" ht="24">
      <c r="B5" s="21" t="s">
        <v>2</v>
      </c>
      <c r="C5" s="22"/>
      <c r="D5" s="23"/>
      <c r="E5" s="24" t="s">
        <v>3</v>
      </c>
      <c r="F5" s="25"/>
      <c r="G5" s="26"/>
      <c r="H5" s="27"/>
      <c r="I5" s="28"/>
      <c r="J5" s="29"/>
      <c r="K5" s="29"/>
      <c r="L5" s="30"/>
      <c r="M5" s="31" t="s">
        <v>1047</v>
      </c>
      <c r="N5" s="32"/>
      <c r="O5" s="33"/>
    </row>
    <row r="6" spans="1:28" ht="17">
      <c r="B6" s="34" t="s">
        <v>4</v>
      </c>
      <c r="C6" s="35"/>
      <c r="D6" s="36"/>
      <c r="E6" s="36"/>
      <c r="F6" s="36"/>
      <c r="G6" s="36"/>
      <c r="H6" s="36"/>
      <c r="I6" s="36"/>
      <c r="J6" s="36"/>
      <c r="K6" s="36"/>
      <c r="L6" s="36"/>
      <c r="M6" s="37"/>
      <c r="N6" s="32"/>
      <c r="O6" s="33"/>
    </row>
    <row r="7" spans="1:28" ht="18">
      <c r="B7" s="38" t="s">
        <v>1046</v>
      </c>
      <c r="C7" s="39"/>
      <c r="D7" s="40"/>
      <c r="E7" s="40"/>
      <c r="F7" s="40"/>
      <c r="G7" s="40"/>
      <c r="H7" s="40" t="s">
        <v>5</v>
      </c>
      <c r="I7" s="40"/>
      <c r="J7" s="40"/>
      <c r="K7" s="40"/>
      <c r="L7" s="40"/>
      <c r="M7" s="41"/>
      <c r="N7" s="32"/>
      <c r="O7" s="33"/>
    </row>
    <row r="8" spans="1:28" ht="36">
      <c r="A8" s="42"/>
      <c r="B8" s="121" t="s">
        <v>6</v>
      </c>
      <c r="C8" s="121" t="s">
        <v>7</v>
      </c>
      <c r="D8" s="121" t="s">
        <v>8</v>
      </c>
      <c r="E8" s="121" t="s">
        <v>9</v>
      </c>
      <c r="F8" s="121" t="s">
        <v>10</v>
      </c>
      <c r="G8" s="121" t="s">
        <v>11</v>
      </c>
      <c r="H8" s="121" t="s">
        <v>12</v>
      </c>
      <c r="I8" s="121" t="s">
        <v>13</v>
      </c>
      <c r="J8" s="121" t="s">
        <v>14</v>
      </c>
      <c r="K8" s="121" t="s">
        <v>15</v>
      </c>
      <c r="L8" s="121" t="s">
        <v>16</v>
      </c>
      <c r="M8" s="122" t="s">
        <v>17</v>
      </c>
      <c r="N8" s="123" t="s">
        <v>18</v>
      </c>
      <c r="O8" s="124" t="s">
        <v>19</v>
      </c>
      <c r="P8" s="121" t="s">
        <v>20</v>
      </c>
      <c r="Q8" s="121" t="s">
        <v>21</v>
      </c>
      <c r="R8" s="125" t="s">
        <v>22</v>
      </c>
      <c r="S8" s="125" t="s">
        <v>23</v>
      </c>
      <c r="T8" s="43"/>
      <c r="U8" s="42"/>
      <c r="V8" s="42"/>
      <c r="W8" s="42"/>
      <c r="X8" s="42"/>
      <c r="Y8" s="42"/>
      <c r="Z8" s="42"/>
      <c r="AA8" s="42"/>
      <c r="AB8" s="42"/>
    </row>
    <row r="9" spans="1:28" s="102" customFormat="1" ht="19" customHeight="1">
      <c r="B9" s="103"/>
      <c r="C9" s="100"/>
      <c r="D9" s="99"/>
      <c r="E9" s="99"/>
      <c r="F9" s="99"/>
      <c r="G9" s="99"/>
      <c r="H9" s="112"/>
      <c r="I9" s="99"/>
      <c r="J9" s="99"/>
      <c r="K9" s="99"/>
      <c r="L9" s="99"/>
      <c r="M9" s="99"/>
      <c r="N9" s="99"/>
      <c r="O9" s="101"/>
      <c r="P9" s="114"/>
      <c r="Q9" s="99"/>
      <c r="S9" s="99"/>
    </row>
    <row r="10" spans="1:28" s="102" customFormat="1" ht="19" customHeight="1">
      <c r="B10" s="103"/>
      <c r="C10" s="100"/>
      <c r="D10" s="99"/>
      <c r="E10" s="99"/>
      <c r="F10" s="99"/>
      <c r="G10" s="99"/>
      <c r="H10" s="112"/>
      <c r="I10" s="99"/>
      <c r="J10" s="99"/>
      <c r="K10" s="99"/>
      <c r="L10" s="99"/>
      <c r="M10" s="99"/>
      <c r="N10" s="99"/>
      <c r="O10" s="101"/>
      <c r="P10" s="147"/>
      <c r="Q10" s="99"/>
      <c r="S10" s="99"/>
    </row>
    <row r="11" spans="1:28" s="102" customFormat="1" ht="19" customHeight="1">
      <c r="B11" s="103"/>
      <c r="C11" s="100"/>
      <c r="D11" s="99"/>
      <c r="E11" s="99"/>
      <c r="F11" s="99"/>
      <c r="G11" s="99"/>
      <c r="H11" s="112"/>
      <c r="I11" s="99"/>
      <c r="J11" s="99"/>
      <c r="K11" s="99"/>
      <c r="L11" s="99"/>
      <c r="M11" s="99"/>
      <c r="N11" s="99"/>
      <c r="O11" s="101"/>
      <c r="P11" s="114"/>
      <c r="Q11" s="99"/>
      <c r="S11" s="99"/>
    </row>
    <row r="12" spans="1:28" s="102" customFormat="1" ht="19" customHeight="1">
      <c r="B12" s="103"/>
      <c r="C12" s="100"/>
      <c r="D12" s="99"/>
      <c r="E12" s="99"/>
      <c r="F12" s="99"/>
      <c r="G12" s="99"/>
      <c r="H12" s="112"/>
      <c r="I12" s="99"/>
      <c r="J12" s="99"/>
      <c r="K12" s="99"/>
      <c r="L12" s="99"/>
      <c r="M12" s="99"/>
      <c r="N12" s="99"/>
      <c r="O12" s="101"/>
      <c r="P12" s="147"/>
      <c r="Q12" s="99"/>
      <c r="S12" s="99"/>
    </row>
    <row r="13" spans="1:28" s="102" customFormat="1" ht="19">
      <c r="B13" s="100"/>
      <c r="C13" s="100"/>
      <c r="D13" s="99"/>
      <c r="E13" s="99"/>
      <c r="F13" s="99"/>
      <c r="G13" s="99"/>
      <c r="H13" s="112"/>
      <c r="I13" s="99"/>
      <c r="J13" s="99"/>
      <c r="K13" s="99"/>
      <c r="L13" s="99"/>
      <c r="M13" s="99"/>
      <c r="N13" s="99"/>
      <c r="O13" s="101"/>
      <c r="P13" s="114"/>
      <c r="Q13" s="99"/>
      <c r="S13" s="99"/>
    </row>
    <row r="14" spans="1:28" s="102" customFormat="1" ht="19">
      <c r="B14" s="100"/>
      <c r="C14" s="100"/>
      <c r="D14" s="99"/>
      <c r="E14" s="99"/>
      <c r="F14" s="99"/>
      <c r="G14" s="99"/>
      <c r="H14" s="112"/>
      <c r="I14" s="99"/>
      <c r="J14" s="99"/>
      <c r="K14" s="99"/>
      <c r="L14" s="99"/>
      <c r="M14" s="99"/>
      <c r="N14" s="99"/>
      <c r="O14" s="101"/>
      <c r="P14" s="147"/>
      <c r="Q14" s="99"/>
      <c r="S14" s="99"/>
    </row>
    <row r="15" spans="1:28" s="102" customFormat="1" ht="19">
      <c r="B15" s="100"/>
      <c r="C15" s="100"/>
      <c r="D15" s="99"/>
      <c r="E15" s="99"/>
      <c r="F15" s="99"/>
      <c r="G15" s="99"/>
      <c r="H15" s="112"/>
      <c r="I15" s="99"/>
      <c r="J15" s="99"/>
      <c r="K15" s="99"/>
      <c r="L15" s="99"/>
      <c r="M15" s="99"/>
      <c r="N15" s="99"/>
      <c r="O15" s="101"/>
      <c r="P15" s="114"/>
      <c r="Q15" s="99"/>
      <c r="S15" s="99"/>
    </row>
    <row r="16" spans="1:28" s="102" customFormat="1" ht="19">
      <c r="B16" s="100"/>
      <c r="C16" s="100"/>
      <c r="D16" s="99"/>
      <c r="E16" s="99"/>
      <c r="F16" s="99"/>
      <c r="G16" s="99"/>
      <c r="H16" s="112"/>
      <c r="I16" s="99"/>
      <c r="J16" s="99"/>
      <c r="K16" s="99"/>
      <c r="L16" s="99"/>
      <c r="M16" s="99"/>
      <c r="N16" s="99"/>
      <c r="O16" s="101"/>
      <c r="P16" s="114"/>
      <c r="Q16" s="99"/>
      <c r="S16" s="99"/>
    </row>
    <row r="17" spans="2:19" s="102" customFormat="1" ht="19">
      <c r="B17" s="100"/>
      <c r="C17" s="100"/>
      <c r="D17" s="99"/>
      <c r="E17" s="99"/>
      <c r="F17" s="99"/>
      <c r="G17" s="99"/>
      <c r="H17" s="112"/>
      <c r="I17" s="99"/>
      <c r="J17" s="99"/>
      <c r="K17" s="99"/>
      <c r="L17" s="99"/>
      <c r="M17" s="99"/>
      <c r="N17" s="99"/>
      <c r="O17" s="101"/>
      <c r="P17" s="147"/>
      <c r="Q17" s="99"/>
      <c r="S17" s="99"/>
    </row>
    <row r="18" spans="2:19" s="102" customFormat="1" ht="19">
      <c r="B18" s="100"/>
      <c r="C18" s="100"/>
      <c r="D18" s="99"/>
      <c r="E18" s="99"/>
      <c r="F18" s="99"/>
      <c r="G18" s="99"/>
      <c r="H18" s="112"/>
      <c r="I18" s="99"/>
      <c r="J18" s="99"/>
      <c r="K18" s="99"/>
      <c r="L18" s="99"/>
      <c r="M18" s="99"/>
      <c r="N18" s="99"/>
      <c r="O18" s="101"/>
      <c r="P18" s="114"/>
      <c r="Q18" s="99"/>
      <c r="S18" s="99"/>
    </row>
    <row r="19" spans="2:19" s="102" customFormat="1" ht="19">
      <c r="B19" s="100"/>
      <c r="C19" s="100"/>
      <c r="D19" s="99"/>
      <c r="E19" s="99"/>
      <c r="F19" s="99"/>
      <c r="G19" s="99"/>
      <c r="H19" s="112"/>
      <c r="I19" s="99"/>
      <c r="J19" s="99"/>
      <c r="K19" s="99"/>
      <c r="L19" s="99"/>
      <c r="M19" s="99"/>
      <c r="N19" s="99"/>
      <c r="O19" s="101"/>
      <c r="P19" s="147"/>
      <c r="Q19" s="99"/>
      <c r="S19" s="99"/>
    </row>
    <row r="20" spans="2:19" s="102" customFormat="1" ht="19">
      <c r="B20" s="103"/>
      <c r="C20" s="103"/>
      <c r="D20" s="99"/>
      <c r="F20" s="99"/>
      <c r="G20" s="99"/>
      <c r="H20" s="112"/>
      <c r="I20" s="99"/>
      <c r="J20" s="99"/>
      <c r="K20" s="99"/>
      <c r="L20" s="99"/>
      <c r="M20" s="99"/>
      <c r="N20" s="99"/>
      <c r="O20" s="143"/>
      <c r="P20" s="114"/>
    </row>
    <row r="21" spans="2:19" s="102" customFormat="1" ht="19">
      <c r="B21" s="103"/>
      <c r="C21" s="103"/>
      <c r="D21" s="99"/>
      <c r="E21" s="99"/>
      <c r="G21" s="99"/>
      <c r="H21" s="112"/>
      <c r="I21" s="99"/>
      <c r="J21" s="99"/>
      <c r="K21" s="99"/>
      <c r="L21" s="99"/>
      <c r="M21" s="99"/>
      <c r="N21" s="99"/>
      <c r="O21" s="143"/>
    </row>
    <row r="22" spans="2:19" s="102" customFormat="1" ht="19">
      <c r="B22" s="103"/>
      <c r="C22" s="103"/>
      <c r="D22" s="99"/>
      <c r="E22" s="99"/>
      <c r="G22" s="99"/>
      <c r="H22" s="112"/>
      <c r="I22" s="99"/>
      <c r="J22" s="99"/>
      <c r="K22" s="99"/>
      <c r="L22" s="99"/>
      <c r="M22" s="99"/>
      <c r="N22" s="99"/>
      <c r="O22" s="143"/>
    </row>
    <row r="23" spans="2:19" s="102" customFormat="1" ht="19">
      <c r="B23" s="103"/>
      <c r="C23" s="103"/>
      <c r="D23" s="99"/>
      <c r="E23" s="99"/>
      <c r="G23" s="99"/>
      <c r="H23" s="112"/>
      <c r="I23" s="99"/>
      <c r="J23" s="99"/>
      <c r="K23" s="99"/>
      <c r="L23" s="99"/>
      <c r="M23" s="99"/>
      <c r="N23" s="99"/>
      <c r="O23" s="143"/>
    </row>
    <row r="24" spans="2:19" s="102" customFormat="1" ht="19">
      <c r="B24" s="103"/>
      <c r="C24" s="103"/>
      <c r="D24" s="99"/>
      <c r="E24" s="99"/>
      <c r="G24" s="99"/>
      <c r="H24" s="112"/>
      <c r="I24" s="99"/>
      <c r="J24" s="99"/>
      <c r="K24" s="99"/>
      <c r="L24" s="99"/>
      <c r="M24" s="99"/>
      <c r="N24" s="99"/>
      <c r="O24" s="143"/>
    </row>
    <row r="25" spans="2:19" s="102" customFormat="1" ht="19">
      <c r="B25" s="103"/>
      <c r="C25" s="103"/>
      <c r="D25" s="99"/>
      <c r="E25" s="99"/>
      <c r="G25" s="99"/>
      <c r="H25" s="112"/>
      <c r="I25" s="99"/>
      <c r="J25" s="99"/>
      <c r="K25" s="99"/>
      <c r="L25" s="99"/>
      <c r="M25" s="99"/>
      <c r="N25" s="99"/>
      <c r="O25" s="143"/>
    </row>
    <row r="26" spans="2:19" s="102" customFormat="1" ht="19">
      <c r="B26" s="103"/>
      <c r="C26" s="103"/>
      <c r="D26" s="99"/>
      <c r="E26" s="99"/>
      <c r="G26" s="99"/>
      <c r="H26" s="112"/>
      <c r="I26" s="99"/>
      <c r="J26" s="99"/>
      <c r="K26" s="99"/>
      <c r="L26" s="99"/>
      <c r="M26" s="99"/>
      <c r="N26" s="99"/>
      <c r="O26" s="143"/>
    </row>
    <row r="27" spans="2:19" s="102" customFormat="1" ht="19">
      <c r="B27" s="103"/>
      <c r="C27" s="103"/>
      <c r="D27" s="99"/>
      <c r="G27" s="99"/>
      <c r="H27" s="112"/>
      <c r="I27" s="99"/>
      <c r="J27" s="99"/>
      <c r="K27" s="99"/>
      <c r="L27" s="99"/>
      <c r="O27" s="143"/>
      <c r="P27" s="114"/>
      <c r="Q27" s="99"/>
      <c r="S27" s="99"/>
    </row>
    <row r="28" spans="2:19" s="102" customFormat="1" ht="19">
      <c r="B28" s="103"/>
      <c r="C28" s="103"/>
      <c r="D28" s="99"/>
      <c r="G28" s="99"/>
      <c r="H28" s="112"/>
      <c r="I28" s="99"/>
      <c r="J28" s="99"/>
      <c r="K28" s="99"/>
      <c r="L28" s="99"/>
      <c r="M28" s="99"/>
      <c r="N28" s="99"/>
      <c r="O28" s="143"/>
      <c r="P28" s="114"/>
    </row>
    <row r="29" spans="2:19" s="102" customFormat="1" ht="19">
      <c r="B29" s="103"/>
      <c r="C29" s="103"/>
      <c r="D29" s="99"/>
      <c r="G29" s="99"/>
      <c r="H29" s="112"/>
      <c r="I29" s="99"/>
      <c r="J29" s="99"/>
      <c r="K29" s="99"/>
      <c r="L29" s="99"/>
      <c r="M29" s="99"/>
      <c r="N29" s="99"/>
      <c r="O29" s="143"/>
      <c r="P29" s="147"/>
    </row>
    <row r="30" spans="2:19" ht="19">
      <c r="B30" s="154"/>
      <c r="C30" s="154"/>
      <c r="D30" s="99"/>
      <c r="H30" s="155"/>
      <c r="N30">
        <f>SUM(N9:N29)</f>
        <v>0</v>
      </c>
    </row>
    <row r="31" spans="2:19" ht="19">
      <c r="B31" s="154"/>
      <c r="C31" s="154"/>
      <c r="D31" s="99"/>
      <c r="H31" t="s">
        <v>1019</v>
      </c>
      <c r="I31" s="156">
        <v>15</v>
      </c>
      <c r="J31" s="1">
        <f t="shared" ref="J31:J37" si="0">G31*I31</f>
        <v>0</v>
      </c>
    </row>
    <row r="32" spans="2:19" ht="19">
      <c r="B32" s="154"/>
      <c r="C32" s="154"/>
      <c r="D32" s="99"/>
      <c r="H32" t="s">
        <v>1043</v>
      </c>
      <c r="I32" s="156">
        <v>15</v>
      </c>
      <c r="J32" s="1">
        <f t="shared" si="0"/>
        <v>0</v>
      </c>
    </row>
    <row r="33" spans="2:10" ht="19">
      <c r="B33" s="154"/>
      <c r="C33" s="154"/>
      <c r="D33" s="99"/>
      <c r="H33" t="s">
        <v>1042</v>
      </c>
      <c r="I33" s="156">
        <v>18.75</v>
      </c>
      <c r="J33" s="1">
        <f t="shared" si="0"/>
        <v>0</v>
      </c>
    </row>
    <row r="34" spans="2:10" ht="16">
      <c r="H34" t="s">
        <v>1041</v>
      </c>
      <c r="I34" s="157">
        <v>18.75</v>
      </c>
      <c r="J34" s="1">
        <f t="shared" si="0"/>
        <v>0</v>
      </c>
    </row>
    <row r="35" spans="2:10" ht="16">
      <c r="H35" s="1" t="s">
        <v>24</v>
      </c>
      <c r="I35" s="157">
        <v>12.5</v>
      </c>
      <c r="J35" s="1">
        <f t="shared" ref="J35" si="1">G35*I35</f>
        <v>0</v>
      </c>
    </row>
    <row r="36" spans="2:10" ht="16">
      <c r="H36" s="1" t="s">
        <v>1040</v>
      </c>
      <c r="I36" s="157">
        <v>15</v>
      </c>
      <c r="J36" s="1">
        <f t="shared" si="0"/>
        <v>0</v>
      </c>
    </row>
    <row r="37" spans="2:10" ht="16">
      <c r="H37" s="1" t="s">
        <v>1031</v>
      </c>
      <c r="I37" s="157">
        <v>12.5</v>
      </c>
      <c r="J37" s="1">
        <f t="shared" si="0"/>
        <v>0</v>
      </c>
    </row>
    <row r="38" spans="2:10" ht="16">
      <c r="H38" s="1" t="s">
        <v>1044</v>
      </c>
      <c r="I38" s="157">
        <v>18.75</v>
      </c>
      <c r="J38" s="1">
        <v>18.75</v>
      </c>
    </row>
    <row r="39" spans="2:10">
      <c r="G39">
        <f>SUM(G31:G38)</f>
        <v>0</v>
      </c>
    </row>
    <row r="40" spans="2:10">
      <c r="J40">
        <f>SUM(J31:J39)</f>
        <v>18.75</v>
      </c>
    </row>
  </sheetData>
  <phoneticPr fontId="68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135"/>
  <sheetViews>
    <sheetView topLeftCell="D1" zoomScale="140" zoomScaleNormal="140" workbookViewId="0">
      <selection activeCell="F1" sqref="F1"/>
    </sheetView>
  </sheetViews>
  <sheetFormatPr baseColWidth="10" defaultRowHeight="15"/>
  <cols>
    <col min="1" max="1" width="5.5" customWidth="1"/>
    <col min="2" max="2" width="13.6640625" customWidth="1"/>
    <col min="3" max="3" width="22.6640625" customWidth="1"/>
    <col min="4" max="4" width="22" customWidth="1"/>
    <col min="5" max="5" width="17.1640625" customWidth="1"/>
    <col min="6" max="6" width="56.1640625" customWidth="1"/>
    <col min="7" max="7" width="22.83203125" customWidth="1"/>
    <col min="8" max="8" width="7.6640625" customWidth="1"/>
    <col min="9" max="9" width="14.1640625" customWidth="1"/>
    <col min="10" max="10" width="15.33203125" customWidth="1"/>
    <col min="11" max="11" width="13.83203125" customWidth="1"/>
    <col min="12" max="12" width="34.5" customWidth="1"/>
    <col min="13" max="13" width="39.83203125" customWidth="1"/>
    <col min="14" max="14" width="21.5" customWidth="1"/>
    <col min="15" max="15" width="12.1640625" style="106" customWidth="1"/>
    <col min="16" max="16" width="16" customWidth="1"/>
    <col min="18" max="18" width="7.6640625" customWidth="1"/>
    <col min="19" max="19" width="22.83203125" customWidth="1"/>
    <col min="20" max="20" width="22.1640625" style="2" customWidth="1"/>
    <col min="21" max="21" width="51.1640625" customWidth="1"/>
  </cols>
  <sheetData>
    <row r="2" spans="1:21" ht="18">
      <c r="C2" s="44"/>
      <c r="D2" s="44"/>
      <c r="E2" s="44"/>
      <c r="F2" s="44"/>
      <c r="G2" s="44"/>
      <c r="H2" s="44"/>
      <c r="I2" s="44"/>
      <c r="J2" s="44"/>
      <c r="K2" s="45"/>
      <c r="L2" s="44"/>
      <c r="M2" s="44"/>
      <c r="N2" s="44"/>
      <c r="O2" s="104"/>
      <c r="P2" s="44"/>
      <c r="Q2" s="44"/>
      <c r="R2" s="44"/>
      <c r="S2" s="44"/>
    </row>
    <row r="3" spans="1:21" ht="18">
      <c r="A3" s="46"/>
      <c r="C3" s="47" t="s">
        <v>0</v>
      </c>
      <c r="D3" s="44"/>
      <c r="E3" s="48"/>
      <c r="F3" s="44"/>
      <c r="G3" s="49"/>
      <c r="H3" s="45"/>
      <c r="I3" s="50"/>
      <c r="J3" s="51"/>
      <c r="K3" s="45"/>
      <c r="L3" s="52"/>
      <c r="M3" s="52"/>
      <c r="N3" s="45"/>
      <c r="O3" s="105"/>
      <c r="P3" s="44"/>
      <c r="Q3" s="44"/>
      <c r="R3" s="44"/>
      <c r="S3" s="44"/>
    </row>
    <row r="4" spans="1:21" ht="18">
      <c r="A4" s="46"/>
      <c r="C4" s="53" t="s">
        <v>1</v>
      </c>
      <c r="D4" s="44"/>
      <c r="E4" s="45"/>
      <c r="F4" s="44"/>
      <c r="G4" s="54"/>
      <c r="H4" s="55"/>
      <c r="I4" s="56"/>
      <c r="J4" s="57" t="s">
        <v>25</v>
      </c>
      <c r="K4" s="55"/>
      <c r="L4" s="58"/>
      <c r="M4" s="59"/>
      <c r="N4" s="45" t="s">
        <v>1048</v>
      </c>
      <c r="O4" s="105"/>
      <c r="P4" s="60"/>
      <c r="Q4" s="44"/>
      <c r="R4" s="44"/>
      <c r="S4" s="44"/>
    </row>
    <row r="5" spans="1:21" s="1" customFormat="1" ht="51">
      <c r="A5" s="61"/>
      <c r="B5" s="62" t="s">
        <v>26</v>
      </c>
      <c r="C5" s="62" t="s">
        <v>27</v>
      </c>
      <c r="D5" s="62" t="s">
        <v>28</v>
      </c>
      <c r="E5" s="62" t="s">
        <v>29</v>
      </c>
      <c r="F5" s="63" t="s">
        <v>30</v>
      </c>
      <c r="G5" s="62" t="s">
        <v>31</v>
      </c>
      <c r="H5" s="62" t="s">
        <v>32</v>
      </c>
      <c r="I5" s="62" t="s">
        <v>33</v>
      </c>
      <c r="J5" s="62" t="s">
        <v>34</v>
      </c>
      <c r="K5" s="62" t="s">
        <v>35</v>
      </c>
      <c r="L5" s="64" t="s">
        <v>36</v>
      </c>
      <c r="M5" s="64" t="s">
        <v>37</v>
      </c>
      <c r="N5" s="62" t="s">
        <v>38</v>
      </c>
      <c r="O5" s="127" t="s">
        <v>39</v>
      </c>
      <c r="P5" s="62" t="s">
        <v>40</v>
      </c>
      <c r="Q5" s="62" t="s">
        <v>41</v>
      </c>
      <c r="R5" s="62" t="s">
        <v>22</v>
      </c>
      <c r="S5" s="62" t="s">
        <v>23</v>
      </c>
      <c r="T5" s="64" t="s">
        <v>42</v>
      </c>
      <c r="U5" s="62" t="s">
        <v>43</v>
      </c>
    </row>
    <row r="6" spans="1:21" s="102" customFormat="1" ht="19">
      <c r="A6" s="113"/>
      <c r="B6" s="100"/>
      <c r="C6" s="99"/>
      <c r="D6" s="99"/>
      <c r="E6" s="99"/>
      <c r="F6" s="112" t="e">
        <f t="shared" ref="F6:F25" si="0">VLOOKUP(E6,PROD,2,FALSE)</f>
        <v>#N/A</v>
      </c>
      <c r="G6" s="99"/>
      <c r="H6" s="99" t="s">
        <v>1034</v>
      </c>
      <c r="I6" s="99" t="s">
        <v>1035</v>
      </c>
      <c r="J6" s="99" t="s">
        <v>1036</v>
      </c>
      <c r="K6" s="100"/>
      <c r="L6" s="99"/>
      <c r="M6" s="99"/>
      <c r="N6" s="99"/>
      <c r="O6" s="128"/>
      <c r="P6" s="99" t="s">
        <v>1037</v>
      </c>
      <c r="Q6" s="99" t="s">
        <v>1035</v>
      </c>
      <c r="S6" s="99"/>
      <c r="T6" s="99"/>
      <c r="U6" s="114"/>
    </row>
    <row r="7" spans="1:21" s="102" customFormat="1" ht="19">
      <c r="A7" s="113"/>
      <c r="B7" s="100"/>
      <c r="C7" s="99"/>
      <c r="D7" s="99"/>
      <c r="E7" s="99"/>
      <c r="F7" s="112"/>
      <c r="G7" s="99"/>
      <c r="H7" s="99"/>
      <c r="I7" s="99"/>
      <c r="J7" s="99"/>
      <c r="K7" s="100"/>
      <c r="L7" s="99"/>
      <c r="M7" s="99"/>
      <c r="N7" s="99"/>
      <c r="O7" s="128"/>
      <c r="P7" s="99"/>
      <c r="Q7" s="99"/>
      <c r="S7" s="99"/>
      <c r="T7" s="99"/>
      <c r="U7" s="114"/>
    </row>
    <row r="8" spans="1:21" s="102" customFormat="1" ht="19">
      <c r="A8" s="113"/>
      <c r="B8" s="100"/>
      <c r="C8" s="99"/>
      <c r="D8" s="99"/>
      <c r="E8" s="99"/>
      <c r="F8" s="112"/>
      <c r="G8" s="99"/>
      <c r="H8" s="99"/>
      <c r="I8" s="99"/>
      <c r="J8" s="99"/>
      <c r="K8" s="100"/>
      <c r="L8" s="99"/>
      <c r="M8" s="99"/>
      <c r="N8" s="99"/>
      <c r="O8" s="128"/>
      <c r="P8" s="99"/>
      <c r="Q8" s="99"/>
      <c r="S8" s="99"/>
      <c r="T8" s="99"/>
      <c r="U8" s="114"/>
    </row>
    <row r="9" spans="1:21" s="102" customFormat="1" ht="19">
      <c r="A9" s="113"/>
      <c r="B9" s="100"/>
      <c r="C9" s="99"/>
      <c r="D9" s="99"/>
      <c r="E9" s="99"/>
      <c r="F9" s="112"/>
      <c r="G9" s="99"/>
      <c r="H9" s="99"/>
      <c r="I9" s="99"/>
      <c r="J9" s="99"/>
      <c r="K9" s="100"/>
      <c r="L9" s="99"/>
      <c r="M9" s="99"/>
      <c r="N9" s="99"/>
      <c r="O9" s="128"/>
      <c r="P9" s="99"/>
      <c r="Q9" s="99"/>
      <c r="S9" s="99"/>
      <c r="T9" s="99"/>
      <c r="U9" s="114"/>
    </row>
    <row r="10" spans="1:21" s="102" customFormat="1" ht="19">
      <c r="A10" s="113"/>
      <c r="B10" s="100"/>
      <c r="C10" s="99"/>
      <c r="D10" s="99"/>
      <c r="E10" s="99"/>
      <c r="F10" s="112"/>
      <c r="G10" s="99"/>
      <c r="H10" s="99"/>
      <c r="I10" s="99"/>
      <c r="J10" s="99"/>
      <c r="K10" s="100"/>
      <c r="L10" s="99"/>
      <c r="M10" s="99"/>
      <c r="N10" s="99"/>
      <c r="O10" s="128"/>
      <c r="P10" s="99"/>
      <c r="Q10" s="99"/>
      <c r="S10" s="99"/>
      <c r="T10" s="99"/>
      <c r="U10" s="114"/>
    </row>
    <row r="11" spans="1:21" s="102" customFormat="1" ht="19">
      <c r="A11" s="113"/>
      <c r="B11" s="100"/>
      <c r="C11" s="99"/>
      <c r="D11" s="99"/>
      <c r="E11" s="99"/>
      <c r="F11" s="112"/>
      <c r="G11" s="99"/>
      <c r="H11" s="99"/>
      <c r="I11" s="99"/>
      <c r="J11" s="99"/>
      <c r="K11" s="100"/>
      <c r="L11" s="99"/>
      <c r="M11" s="99"/>
      <c r="N11" s="99"/>
      <c r="O11" s="128"/>
      <c r="P11" s="99"/>
      <c r="Q11" s="99"/>
      <c r="S11" s="99"/>
      <c r="T11" s="99"/>
      <c r="U11" s="114"/>
    </row>
    <row r="12" spans="1:21" s="102" customFormat="1" ht="19">
      <c r="A12" s="113"/>
      <c r="B12" s="100"/>
      <c r="C12" s="99"/>
      <c r="D12" s="99"/>
      <c r="E12" s="99"/>
      <c r="F12" s="112"/>
      <c r="G12" s="99"/>
      <c r="H12" s="99"/>
      <c r="I12" s="99"/>
      <c r="J12" s="99"/>
      <c r="K12" s="100"/>
      <c r="L12" s="99"/>
      <c r="M12" s="99"/>
      <c r="N12" s="99"/>
      <c r="O12" s="128"/>
      <c r="P12" s="99"/>
      <c r="Q12" s="99"/>
      <c r="S12" s="99"/>
      <c r="T12" s="99"/>
      <c r="U12" s="114"/>
    </row>
    <row r="13" spans="1:21" s="102" customFormat="1" ht="19">
      <c r="A13" s="113"/>
      <c r="B13" s="100"/>
      <c r="C13" s="99"/>
      <c r="D13" s="99"/>
      <c r="E13" s="99"/>
      <c r="F13" s="112"/>
      <c r="G13" s="99"/>
      <c r="H13" s="99"/>
      <c r="I13" s="99"/>
      <c r="J13" s="99"/>
      <c r="K13" s="100"/>
      <c r="L13" s="99"/>
      <c r="M13" s="99"/>
      <c r="N13" s="99"/>
      <c r="O13" s="128"/>
      <c r="P13" s="99"/>
      <c r="Q13" s="99"/>
      <c r="S13" s="99"/>
      <c r="T13" s="99"/>
      <c r="U13" s="114"/>
    </row>
    <row r="14" spans="1:21" s="102" customFormat="1" ht="19">
      <c r="A14" s="113"/>
      <c r="B14" s="100"/>
      <c r="C14" s="99"/>
      <c r="D14" s="99"/>
      <c r="E14" s="99"/>
      <c r="F14" s="112"/>
      <c r="G14" s="99"/>
      <c r="H14" s="99"/>
      <c r="I14" s="99"/>
      <c r="J14" s="99"/>
      <c r="K14" s="100"/>
      <c r="L14" s="99"/>
      <c r="M14" s="99"/>
      <c r="N14" s="99"/>
      <c r="O14" s="128"/>
      <c r="P14" s="99"/>
      <c r="Q14" s="99"/>
      <c r="S14" s="99"/>
      <c r="T14" s="101"/>
      <c r="U14" s="114"/>
    </row>
    <row r="15" spans="1:21" s="102" customFormat="1" ht="19">
      <c r="A15" s="113"/>
      <c r="B15" s="100"/>
      <c r="C15" s="99"/>
      <c r="D15" s="99"/>
      <c r="E15" s="99"/>
      <c r="F15" s="112"/>
      <c r="G15" s="99"/>
      <c r="H15" s="99"/>
      <c r="I15" s="99"/>
      <c r="J15" s="99"/>
      <c r="K15" s="100"/>
      <c r="L15" s="99"/>
      <c r="M15" s="99"/>
      <c r="N15" s="99"/>
      <c r="O15" s="128"/>
      <c r="P15" s="99"/>
      <c r="Q15" s="99"/>
      <c r="S15" s="99"/>
      <c r="T15" s="101"/>
      <c r="U15" s="114"/>
    </row>
    <row r="16" spans="1:21" s="102" customFormat="1" ht="19">
      <c r="A16" s="113"/>
      <c r="B16" s="100"/>
      <c r="C16" s="99"/>
      <c r="D16" s="99"/>
      <c r="E16" s="99"/>
      <c r="F16" s="112"/>
      <c r="G16" s="99"/>
      <c r="H16" s="99"/>
      <c r="I16" s="99"/>
      <c r="J16" s="99"/>
      <c r="K16" s="100"/>
      <c r="L16" s="99"/>
      <c r="M16" s="99"/>
      <c r="N16" s="99"/>
      <c r="O16" s="128"/>
      <c r="P16" s="99"/>
      <c r="Q16" s="99"/>
      <c r="S16" s="99"/>
      <c r="T16" s="101"/>
      <c r="U16" s="114"/>
    </row>
    <row r="17" spans="1:21" s="102" customFormat="1" ht="19">
      <c r="A17" s="113"/>
      <c r="B17" s="100"/>
      <c r="C17" s="99"/>
      <c r="D17" s="99"/>
      <c r="E17" s="99"/>
      <c r="F17" s="112"/>
      <c r="G17" s="99"/>
      <c r="H17" s="99"/>
      <c r="I17" s="99"/>
      <c r="J17" s="99"/>
      <c r="K17" s="100"/>
      <c r="L17" s="99"/>
      <c r="M17" s="99"/>
      <c r="N17" s="99"/>
      <c r="O17" s="128"/>
      <c r="P17" s="99"/>
      <c r="Q17" s="99"/>
      <c r="S17" s="99"/>
      <c r="T17" s="101"/>
      <c r="U17" s="114"/>
    </row>
    <row r="18" spans="1:21" s="102" customFormat="1" ht="19">
      <c r="A18" s="113"/>
      <c r="B18" s="100"/>
      <c r="C18" s="99"/>
      <c r="D18" s="99"/>
      <c r="E18" s="99"/>
      <c r="F18" s="112"/>
      <c r="G18" s="99"/>
      <c r="H18" s="99"/>
      <c r="I18" s="99"/>
      <c r="J18" s="99"/>
      <c r="K18" s="100"/>
      <c r="L18" s="99"/>
      <c r="M18" s="99"/>
      <c r="N18" s="99"/>
      <c r="O18" s="128"/>
      <c r="P18" s="99"/>
      <c r="Q18" s="99"/>
      <c r="S18" s="99"/>
      <c r="T18" s="101"/>
      <c r="U18" s="114"/>
    </row>
    <row r="19" spans="1:21" s="102" customFormat="1" ht="19">
      <c r="A19" s="113"/>
      <c r="B19" s="100"/>
      <c r="C19" s="99"/>
      <c r="D19" s="99"/>
      <c r="E19" s="99"/>
      <c r="F19" s="112"/>
      <c r="G19" s="99"/>
      <c r="H19" s="99"/>
      <c r="I19" s="99"/>
      <c r="J19" s="99"/>
      <c r="K19" s="100"/>
      <c r="L19" s="99"/>
      <c r="M19" s="99"/>
      <c r="N19" s="99"/>
      <c r="O19" s="128"/>
      <c r="P19" s="99"/>
      <c r="Q19" s="99"/>
      <c r="S19" s="99"/>
      <c r="T19" s="101"/>
      <c r="U19" s="114"/>
    </row>
    <row r="20" spans="1:21" s="102" customFormat="1" ht="19">
      <c r="A20" s="113"/>
      <c r="B20" s="100"/>
      <c r="C20" s="99"/>
      <c r="D20" s="99"/>
      <c r="E20" s="99"/>
      <c r="F20" s="112"/>
      <c r="G20" s="99"/>
      <c r="H20" s="99"/>
      <c r="I20" s="99"/>
      <c r="J20" s="99"/>
      <c r="K20" s="100"/>
      <c r="L20" s="99"/>
      <c r="M20" s="99"/>
      <c r="N20" s="99"/>
      <c r="O20" s="128"/>
      <c r="P20" s="99"/>
      <c r="Q20" s="99"/>
      <c r="S20" s="99"/>
      <c r="T20" s="101"/>
      <c r="U20" s="114"/>
    </row>
    <row r="21" spans="1:21" s="102" customFormat="1" ht="19">
      <c r="A21" s="113"/>
      <c r="B21" s="100"/>
      <c r="C21" s="99"/>
      <c r="D21" s="99"/>
      <c r="E21" s="99"/>
      <c r="F21" s="112"/>
      <c r="G21" s="99"/>
      <c r="H21" s="99"/>
      <c r="I21" s="99"/>
      <c r="J21" s="99"/>
      <c r="K21" s="100"/>
      <c r="L21" s="99"/>
      <c r="M21" s="99"/>
      <c r="N21" s="99"/>
      <c r="O21" s="128"/>
      <c r="P21" s="99"/>
      <c r="Q21" s="99"/>
      <c r="S21" s="99"/>
      <c r="T21" s="101"/>
      <c r="U21" s="114"/>
    </row>
    <row r="22" spans="1:21" s="102" customFormat="1" ht="19">
      <c r="A22" s="113"/>
      <c r="B22" s="100"/>
      <c r="C22" s="99"/>
      <c r="D22" s="99"/>
      <c r="E22" s="99"/>
      <c r="F22" s="112"/>
      <c r="G22" s="99"/>
      <c r="H22" s="99"/>
      <c r="I22" s="99"/>
      <c r="J22" s="99"/>
      <c r="K22" s="100"/>
      <c r="L22" s="99"/>
      <c r="M22" s="99"/>
      <c r="N22" s="99"/>
      <c r="O22" s="128"/>
      <c r="P22" s="99"/>
      <c r="Q22" s="99"/>
      <c r="S22" s="99"/>
      <c r="T22" s="101"/>
      <c r="U22" s="114"/>
    </row>
    <row r="23" spans="1:21" s="102" customFormat="1" ht="19">
      <c r="A23" s="113"/>
      <c r="B23" s="100"/>
      <c r="C23" s="99"/>
      <c r="D23" s="99"/>
      <c r="E23" s="99"/>
      <c r="F23" s="112"/>
      <c r="G23" s="99"/>
      <c r="H23" s="99"/>
      <c r="I23" s="99"/>
      <c r="J23" s="99"/>
      <c r="K23" s="100"/>
      <c r="L23" s="99"/>
      <c r="M23" s="99"/>
      <c r="N23" s="99"/>
      <c r="O23" s="128"/>
      <c r="P23" s="99"/>
      <c r="Q23" s="99"/>
      <c r="S23" s="99"/>
      <c r="T23" s="101"/>
      <c r="U23" s="114"/>
    </row>
    <row r="24" spans="1:21" s="102" customFormat="1" ht="19">
      <c r="A24" s="113"/>
      <c r="B24" s="100"/>
      <c r="C24" s="99"/>
      <c r="D24" s="99"/>
      <c r="E24" s="99"/>
      <c r="F24" s="112"/>
      <c r="G24" s="99"/>
      <c r="H24" s="99"/>
      <c r="I24" s="99"/>
      <c r="J24" s="99"/>
      <c r="K24" s="100"/>
      <c r="L24" s="99"/>
      <c r="M24" s="99"/>
      <c r="N24" s="99"/>
      <c r="O24" s="128"/>
      <c r="P24" s="99"/>
      <c r="Q24" s="99"/>
      <c r="S24" s="99"/>
      <c r="T24" s="101"/>
      <c r="U24" s="114"/>
    </row>
    <row r="25" spans="1:21" s="102" customFormat="1" ht="19">
      <c r="A25" s="113"/>
      <c r="B25" s="100"/>
      <c r="C25" s="99"/>
      <c r="D25" s="99"/>
      <c r="E25" s="99"/>
      <c r="F25" s="112"/>
      <c r="G25" s="99"/>
      <c r="H25" s="99"/>
      <c r="I25" s="99"/>
      <c r="J25" s="99"/>
      <c r="K25" s="100"/>
      <c r="L25" s="99"/>
      <c r="M25" s="99"/>
      <c r="N25" s="99"/>
      <c r="O25" s="128"/>
      <c r="P25" s="99"/>
      <c r="Q25" s="99"/>
      <c r="S25" s="99"/>
      <c r="T25" s="101"/>
      <c r="U25" s="114"/>
    </row>
    <row r="26" spans="1:21" s="102" customFormat="1" ht="19">
      <c r="A26" s="113"/>
      <c r="B26" s="100"/>
      <c r="C26" s="99"/>
      <c r="D26" s="99"/>
      <c r="E26" s="99"/>
      <c r="F26" s="112"/>
      <c r="G26" s="99"/>
      <c r="H26" s="99"/>
      <c r="I26" s="99"/>
      <c r="J26" s="99"/>
      <c r="K26" s="100"/>
      <c r="L26" s="99"/>
      <c r="M26" s="99"/>
      <c r="N26" s="99"/>
      <c r="O26" s="128"/>
      <c r="P26" s="99"/>
      <c r="Q26" s="99"/>
      <c r="S26" s="99"/>
      <c r="T26" s="101"/>
      <c r="U26" s="114"/>
    </row>
    <row r="27" spans="1:21" s="102" customFormat="1" ht="19">
      <c r="A27" s="113"/>
      <c r="B27" s="100"/>
      <c r="C27" s="99"/>
      <c r="D27" s="99"/>
      <c r="E27" s="99"/>
      <c r="F27" s="112"/>
      <c r="G27" s="99"/>
      <c r="H27" s="99"/>
      <c r="I27" s="99"/>
      <c r="J27" s="99"/>
      <c r="K27" s="100"/>
      <c r="L27" s="99"/>
      <c r="M27" s="99"/>
      <c r="N27" s="99"/>
      <c r="O27" s="128"/>
      <c r="P27" s="99"/>
      <c r="Q27" s="99"/>
      <c r="S27" s="99"/>
      <c r="T27" s="101"/>
      <c r="U27" s="114"/>
    </row>
    <row r="28" spans="1:21" s="102" customFormat="1" ht="19">
      <c r="A28" s="113"/>
      <c r="B28" s="100"/>
      <c r="C28" s="99"/>
      <c r="D28" s="99"/>
      <c r="E28" s="99"/>
      <c r="F28" s="112"/>
      <c r="G28" s="99"/>
      <c r="H28" s="99"/>
      <c r="I28" s="99"/>
      <c r="J28" s="99"/>
      <c r="K28" s="100"/>
      <c r="L28" s="99"/>
      <c r="M28" s="99"/>
      <c r="N28" s="99"/>
      <c r="O28" s="128"/>
      <c r="P28" s="99"/>
      <c r="Q28" s="99"/>
      <c r="S28" s="99"/>
      <c r="T28" s="101"/>
      <c r="U28" s="114"/>
    </row>
    <row r="29" spans="1:21" s="102" customFormat="1" ht="19">
      <c r="A29" s="113"/>
      <c r="B29" s="100"/>
      <c r="C29" s="99"/>
      <c r="D29" s="99"/>
      <c r="E29" s="99"/>
      <c r="F29" s="112"/>
      <c r="G29" s="99"/>
      <c r="H29" s="99"/>
      <c r="I29" s="99"/>
      <c r="J29" s="99"/>
      <c r="K29" s="100"/>
      <c r="L29" s="99"/>
      <c r="M29" s="99"/>
      <c r="N29" s="99"/>
      <c r="O29" s="128"/>
      <c r="P29" s="99"/>
      <c r="Q29" s="99"/>
      <c r="S29" s="99"/>
      <c r="T29" s="101"/>
      <c r="U29" s="114"/>
    </row>
    <row r="30" spans="1:21" s="102" customFormat="1" ht="19">
      <c r="A30" s="113"/>
      <c r="B30" s="100"/>
      <c r="C30" s="99"/>
      <c r="D30" s="99"/>
      <c r="E30" s="99"/>
      <c r="F30" s="112"/>
      <c r="G30" s="99"/>
      <c r="H30" s="99"/>
      <c r="I30" s="99"/>
      <c r="J30" s="99"/>
      <c r="K30" s="100"/>
      <c r="L30" s="99"/>
      <c r="M30" s="99"/>
      <c r="N30" s="99"/>
      <c r="O30" s="128"/>
      <c r="P30" s="99"/>
      <c r="Q30" s="99"/>
      <c r="S30" s="99"/>
      <c r="T30" s="101"/>
      <c r="U30" s="114"/>
    </row>
    <row r="31" spans="1:21" s="102" customFormat="1" ht="19">
      <c r="A31" s="113"/>
      <c r="B31" s="100"/>
      <c r="C31" s="99"/>
      <c r="D31" s="99"/>
      <c r="E31" s="99"/>
      <c r="F31" s="112"/>
      <c r="G31" s="99"/>
      <c r="H31" s="99"/>
      <c r="I31" s="99"/>
      <c r="J31" s="99"/>
      <c r="K31" s="100"/>
      <c r="L31" s="99"/>
      <c r="M31" s="99"/>
      <c r="N31" s="99"/>
      <c r="O31" s="128"/>
      <c r="P31" s="99"/>
      <c r="Q31" s="99"/>
      <c r="S31" s="99"/>
      <c r="T31" s="101"/>
      <c r="U31" s="114"/>
    </row>
    <row r="32" spans="1:21" s="102" customFormat="1" ht="19">
      <c r="A32" s="113"/>
      <c r="B32" s="100"/>
      <c r="C32" s="99"/>
      <c r="D32" s="99"/>
      <c r="E32" s="99"/>
      <c r="F32" s="112"/>
      <c r="G32" s="99"/>
      <c r="H32" s="99"/>
      <c r="I32" s="99"/>
      <c r="J32" s="99"/>
      <c r="K32" s="100"/>
      <c r="L32" s="99"/>
      <c r="M32" s="99"/>
      <c r="N32" s="99"/>
      <c r="O32" s="128"/>
      <c r="P32" s="99"/>
      <c r="Q32" s="99"/>
      <c r="S32" s="99"/>
      <c r="T32" s="101"/>
      <c r="U32" s="114"/>
    </row>
    <row r="33" spans="1:21" s="102" customFormat="1" ht="19">
      <c r="A33" s="113"/>
      <c r="B33" s="100"/>
      <c r="C33" s="99"/>
      <c r="D33" s="99"/>
      <c r="E33" s="99"/>
      <c r="F33" s="112"/>
      <c r="G33" s="99"/>
      <c r="H33" s="99"/>
      <c r="I33" s="99"/>
      <c r="J33" s="99"/>
      <c r="K33" s="100"/>
      <c r="L33" s="99"/>
      <c r="M33" s="99"/>
      <c r="N33" s="99"/>
      <c r="O33" s="128"/>
      <c r="P33" s="99"/>
      <c r="Q33" s="99"/>
      <c r="S33" s="99"/>
      <c r="T33" s="101"/>
      <c r="U33" s="114"/>
    </row>
    <row r="34" spans="1:21" s="102" customFormat="1" ht="19">
      <c r="A34" s="113"/>
      <c r="B34" s="100"/>
      <c r="C34" s="99"/>
      <c r="D34" s="99"/>
      <c r="E34" s="99"/>
      <c r="F34" s="112"/>
      <c r="G34" s="99"/>
      <c r="H34" s="99"/>
      <c r="I34" s="99"/>
      <c r="J34" s="99"/>
      <c r="K34" s="100"/>
      <c r="L34" s="99"/>
      <c r="M34" s="99"/>
      <c r="N34" s="99"/>
      <c r="O34" s="128"/>
      <c r="P34" s="99"/>
      <c r="Q34" s="99"/>
      <c r="S34" s="99"/>
      <c r="T34" s="101"/>
      <c r="U34" s="114"/>
    </row>
    <row r="35" spans="1:21" s="102" customFormat="1" ht="19">
      <c r="A35" s="113"/>
      <c r="B35" s="100"/>
      <c r="C35" s="99"/>
      <c r="D35" s="99"/>
      <c r="E35" s="99"/>
      <c r="F35" s="112"/>
      <c r="G35" s="99"/>
      <c r="H35" s="99"/>
      <c r="I35" s="99"/>
      <c r="J35" s="99"/>
      <c r="K35" s="100"/>
      <c r="L35" s="99"/>
      <c r="M35" s="99"/>
      <c r="N35" s="99"/>
      <c r="O35" s="128"/>
      <c r="P35" s="99"/>
      <c r="Q35" s="99"/>
      <c r="S35" s="99"/>
      <c r="T35" s="101"/>
      <c r="U35" s="114"/>
    </row>
    <row r="36" spans="1:21" s="102" customFormat="1" ht="19">
      <c r="A36" s="113"/>
      <c r="B36" s="100"/>
      <c r="C36" s="99"/>
      <c r="D36" s="99"/>
      <c r="E36" s="99"/>
      <c r="F36" s="112"/>
      <c r="G36" s="99"/>
      <c r="H36" s="99"/>
      <c r="I36" s="99"/>
      <c r="J36" s="99"/>
      <c r="K36" s="100"/>
      <c r="L36" s="99"/>
      <c r="M36" s="99"/>
      <c r="N36" s="99"/>
      <c r="O36" s="128"/>
      <c r="P36" s="99"/>
      <c r="Q36" s="99"/>
      <c r="S36" s="99"/>
      <c r="T36" s="99"/>
      <c r="U36" s="114"/>
    </row>
    <row r="37" spans="1:21" s="102" customFormat="1" ht="19">
      <c r="A37" s="113"/>
      <c r="B37" s="100"/>
      <c r="C37" s="99"/>
      <c r="D37" s="99"/>
      <c r="E37" s="99"/>
      <c r="F37" s="112"/>
      <c r="G37" s="99"/>
      <c r="H37" s="99"/>
      <c r="I37" s="99"/>
      <c r="J37" s="99"/>
      <c r="K37" s="100"/>
      <c r="L37" s="99"/>
      <c r="M37" s="99"/>
      <c r="N37" s="99"/>
      <c r="O37" s="128"/>
      <c r="P37" s="99"/>
      <c r="Q37" s="99"/>
      <c r="S37" s="99"/>
      <c r="T37" s="99"/>
      <c r="U37" s="114"/>
    </row>
    <row r="38" spans="1:21" s="102" customFormat="1" ht="19">
      <c r="A38" s="113"/>
      <c r="B38" s="100"/>
      <c r="C38" s="99"/>
      <c r="D38" s="99"/>
      <c r="E38" s="99"/>
      <c r="F38" s="112"/>
      <c r="G38" s="99"/>
      <c r="H38" s="99"/>
      <c r="I38" s="99"/>
      <c r="J38" s="99"/>
      <c r="K38" s="100"/>
      <c r="L38" s="99"/>
      <c r="M38" s="99"/>
      <c r="N38" s="99"/>
      <c r="O38" s="128"/>
      <c r="P38" s="99"/>
      <c r="Q38" s="99"/>
      <c r="S38" s="99"/>
      <c r="T38" s="99"/>
      <c r="U38" s="114"/>
    </row>
    <row r="39" spans="1:21" s="102" customFormat="1" ht="19">
      <c r="A39" s="113"/>
      <c r="B39" s="100"/>
      <c r="C39" s="99"/>
      <c r="D39" s="99"/>
      <c r="E39" s="99"/>
      <c r="F39" s="112"/>
      <c r="G39" s="99"/>
      <c r="H39" s="99"/>
      <c r="I39" s="99"/>
      <c r="J39" s="99"/>
      <c r="K39" s="100"/>
      <c r="L39" s="99"/>
      <c r="M39" s="99"/>
      <c r="N39" s="99"/>
      <c r="O39" s="128"/>
      <c r="P39" s="99"/>
      <c r="Q39" s="99"/>
      <c r="S39" s="99"/>
      <c r="T39" s="99"/>
      <c r="U39" s="114"/>
    </row>
    <row r="40" spans="1:21" s="102" customFormat="1" ht="19">
      <c r="A40" s="113"/>
      <c r="B40" s="100"/>
      <c r="C40" s="99"/>
      <c r="D40" s="99"/>
      <c r="E40" s="99"/>
      <c r="F40" s="112"/>
      <c r="G40" s="99"/>
      <c r="H40" s="99"/>
      <c r="I40" s="99"/>
      <c r="J40" s="99"/>
      <c r="K40" s="100"/>
      <c r="L40" s="99"/>
      <c r="M40" s="99"/>
      <c r="N40" s="99"/>
      <c r="O40" s="128"/>
      <c r="P40" s="99"/>
      <c r="Q40" s="99"/>
      <c r="S40" s="99"/>
      <c r="T40" s="99"/>
      <c r="U40" s="114"/>
    </row>
    <row r="41" spans="1:21" s="102" customFormat="1" ht="19">
      <c r="A41" s="113"/>
      <c r="B41" s="100"/>
      <c r="C41" s="99"/>
      <c r="D41" s="99"/>
      <c r="E41" s="99"/>
      <c r="F41" s="112"/>
      <c r="G41" s="99"/>
      <c r="H41" s="99"/>
      <c r="I41" s="99"/>
      <c r="J41" s="99"/>
      <c r="K41" s="100"/>
      <c r="L41" s="99"/>
      <c r="M41" s="99"/>
      <c r="N41" s="99"/>
      <c r="O41" s="128"/>
      <c r="P41" s="99"/>
      <c r="Q41" s="99"/>
      <c r="S41" s="99"/>
      <c r="T41" s="99"/>
      <c r="U41" s="114"/>
    </row>
    <row r="42" spans="1:21" s="102" customFormat="1" ht="19">
      <c r="A42" s="113"/>
      <c r="B42" s="100"/>
      <c r="C42" s="99"/>
      <c r="D42" s="99"/>
      <c r="E42" s="99"/>
      <c r="F42" s="112"/>
      <c r="G42" s="99"/>
      <c r="H42" s="99"/>
      <c r="I42" s="99"/>
      <c r="J42" s="99"/>
      <c r="K42" s="100"/>
      <c r="L42" s="99"/>
      <c r="M42" s="99"/>
      <c r="N42" s="99"/>
      <c r="O42" s="128"/>
      <c r="P42" s="99"/>
      <c r="Q42" s="99"/>
      <c r="S42" s="99"/>
      <c r="T42" s="99"/>
      <c r="U42" s="114"/>
    </row>
    <row r="43" spans="1:21" s="102" customFormat="1" ht="19">
      <c r="A43" s="113"/>
      <c r="B43" s="100"/>
      <c r="C43" s="99"/>
      <c r="D43" s="99"/>
      <c r="E43" s="99"/>
      <c r="F43" s="112"/>
      <c r="G43" s="99"/>
      <c r="H43" s="99"/>
      <c r="I43" s="99"/>
      <c r="J43" s="99"/>
      <c r="K43" s="100"/>
      <c r="L43" s="99"/>
      <c r="M43" s="99"/>
      <c r="N43" s="99"/>
      <c r="O43" s="128"/>
      <c r="P43" s="99"/>
      <c r="Q43" s="99"/>
      <c r="S43" s="99"/>
      <c r="T43" s="99"/>
      <c r="U43" s="114"/>
    </row>
    <row r="44" spans="1:21" s="102" customFormat="1" ht="19">
      <c r="A44" s="113"/>
      <c r="B44" s="100"/>
      <c r="C44" s="99"/>
      <c r="D44" s="99"/>
      <c r="E44" s="99"/>
      <c r="F44" s="112"/>
      <c r="G44" s="99"/>
      <c r="H44" s="99"/>
      <c r="I44" s="99"/>
      <c r="J44" s="99"/>
      <c r="K44" s="100"/>
      <c r="L44" s="99"/>
      <c r="M44" s="99"/>
      <c r="N44" s="99"/>
      <c r="O44" s="128"/>
      <c r="P44" s="99"/>
      <c r="Q44" s="99"/>
      <c r="S44" s="99"/>
      <c r="T44" s="99"/>
      <c r="U44" s="114"/>
    </row>
    <row r="45" spans="1:21" s="102" customFormat="1" ht="19">
      <c r="A45" s="113"/>
      <c r="B45" s="100"/>
      <c r="C45" s="99"/>
      <c r="D45" s="99"/>
      <c r="E45" s="99"/>
      <c r="F45" s="112"/>
      <c r="G45" s="99"/>
      <c r="H45" s="99"/>
      <c r="I45" s="99"/>
      <c r="J45" s="99"/>
      <c r="K45" s="100"/>
      <c r="L45" s="99"/>
      <c r="M45" s="99"/>
      <c r="N45" s="99"/>
      <c r="O45" s="128"/>
      <c r="P45" s="99"/>
      <c r="Q45" s="99"/>
      <c r="S45" s="99"/>
      <c r="T45" s="99"/>
      <c r="U45" s="114"/>
    </row>
    <row r="46" spans="1:21" s="102" customFormat="1" ht="19">
      <c r="A46" s="113"/>
      <c r="B46" s="100"/>
      <c r="C46" s="99"/>
      <c r="D46" s="99"/>
      <c r="E46" s="99"/>
      <c r="F46" s="112"/>
      <c r="G46" s="99"/>
      <c r="H46" s="99"/>
      <c r="I46" s="99"/>
      <c r="J46" s="99"/>
      <c r="K46" s="100"/>
      <c r="L46" s="99"/>
      <c r="M46" s="99"/>
      <c r="N46" s="99"/>
      <c r="O46" s="128"/>
      <c r="P46" s="99"/>
      <c r="Q46" s="99"/>
      <c r="S46" s="99"/>
      <c r="T46" s="99"/>
      <c r="U46" s="114"/>
    </row>
    <row r="47" spans="1:21" s="102" customFormat="1" ht="19">
      <c r="A47" s="113"/>
      <c r="B47" s="100"/>
      <c r="C47" s="99"/>
      <c r="D47" s="99"/>
      <c r="E47" s="99"/>
      <c r="F47" s="112"/>
      <c r="G47" s="99"/>
      <c r="H47" s="99"/>
      <c r="I47" s="99"/>
      <c r="J47" s="99"/>
      <c r="K47" s="100"/>
      <c r="L47" s="99"/>
      <c r="M47" s="99"/>
      <c r="N47" s="99"/>
      <c r="O47" s="128"/>
      <c r="P47" s="99"/>
      <c r="Q47" s="99"/>
      <c r="S47" s="99"/>
      <c r="T47" s="99"/>
      <c r="U47" s="114"/>
    </row>
    <row r="48" spans="1:21" s="102" customFormat="1" ht="19">
      <c r="A48" s="113"/>
      <c r="B48" s="100"/>
      <c r="C48" s="99"/>
      <c r="D48" s="99"/>
      <c r="E48" s="99"/>
      <c r="F48" s="112"/>
      <c r="G48" s="99"/>
      <c r="H48" s="99"/>
      <c r="I48" s="99"/>
      <c r="J48" s="99"/>
      <c r="K48" s="100"/>
      <c r="L48" s="99"/>
      <c r="M48" s="99"/>
      <c r="N48" s="99"/>
      <c r="O48" s="128"/>
      <c r="P48" s="99"/>
      <c r="Q48" s="99"/>
      <c r="S48" s="99"/>
      <c r="T48" s="99"/>
      <c r="U48" s="114"/>
    </row>
    <row r="49" spans="1:21" s="102" customFormat="1" ht="19">
      <c r="A49" s="113"/>
      <c r="B49" s="100"/>
      <c r="C49" s="99"/>
      <c r="D49" s="99"/>
      <c r="E49" s="99"/>
      <c r="F49" s="112"/>
      <c r="G49" s="99"/>
      <c r="H49" s="99"/>
      <c r="I49" s="99"/>
      <c r="J49" s="99"/>
      <c r="K49" s="100"/>
      <c r="L49" s="99"/>
      <c r="M49" s="99"/>
      <c r="N49" s="99"/>
      <c r="O49" s="128"/>
      <c r="P49" s="99"/>
      <c r="Q49" s="99"/>
      <c r="S49" s="99"/>
      <c r="T49" s="99"/>
      <c r="U49" s="114"/>
    </row>
    <row r="50" spans="1:21" s="102" customFormat="1" ht="19">
      <c r="A50" s="113"/>
      <c r="B50" s="100"/>
      <c r="C50" s="99"/>
      <c r="D50" s="99"/>
      <c r="E50" s="99"/>
      <c r="F50" s="112"/>
      <c r="G50" s="99"/>
      <c r="H50" s="99"/>
      <c r="I50" s="99"/>
      <c r="J50" s="99"/>
      <c r="K50" s="100"/>
      <c r="L50" s="99"/>
      <c r="M50" s="99"/>
      <c r="N50" s="99"/>
      <c r="O50" s="128"/>
      <c r="P50" s="99"/>
      <c r="Q50" s="99"/>
      <c r="S50" s="99"/>
      <c r="T50" s="101"/>
      <c r="U50" s="114"/>
    </row>
    <row r="51" spans="1:21" s="102" customFormat="1" ht="19">
      <c r="A51" s="113"/>
      <c r="B51" s="100"/>
      <c r="C51" s="99"/>
      <c r="D51" s="99"/>
      <c r="E51" s="99"/>
      <c r="F51" s="112"/>
      <c r="G51" s="99"/>
      <c r="H51" s="99"/>
      <c r="I51" s="99"/>
      <c r="J51" s="99"/>
      <c r="K51" s="100"/>
      <c r="L51" s="99"/>
      <c r="M51" s="99"/>
      <c r="N51" s="99"/>
      <c r="O51" s="128"/>
      <c r="P51" s="99"/>
      <c r="Q51" s="99"/>
      <c r="S51" s="99"/>
      <c r="T51" s="101"/>
      <c r="U51" s="114"/>
    </row>
    <row r="52" spans="1:21" s="102" customFormat="1" ht="19">
      <c r="A52" s="113"/>
      <c r="B52" s="100"/>
      <c r="C52" s="99"/>
      <c r="D52" s="99"/>
      <c r="E52" s="99"/>
      <c r="F52" s="112"/>
      <c r="G52" s="99"/>
      <c r="H52" s="99"/>
      <c r="I52" s="99"/>
      <c r="J52" s="99"/>
      <c r="K52" s="100"/>
      <c r="L52" s="99"/>
      <c r="M52" s="99"/>
      <c r="N52" s="99"/>
      <c r="O52" s="128"/>
      <c r="P52" s="99"/>
      <c r="Q52" s="99"/>
      <c r="S52" s="99"/>
      <c r="T52" s="101"/>
      <c r="U52" s="114"/>
    </row>
    <row r="53" spans="1:21" s="102" customFormat="1" ht="19">
      <c r="A53" s="113"/>
      <c r="B53" s="100"/>
      <c r="C53" s="99"/>
      <c r="D53" s="99"/>
      <c r="E53" s="99"/>
      <c r="F53" s="112"/>
      <c r="G53" s="99"/>
      <c r="H53" s="99"/>
      <c r="I53" s="99"/>
      <c r="J53" s="99"/>
      <c r="K53" s="100"/>
      <c r="L53" s="99"/>
      <c r="M53" s="99"/>
      <c r="N53" s="99"/>
      <c r="O53" s="128"/>
      <c r="P53" s="99"/>
      <c r="Q53" s="99"/>
      <c r="S53" s="99"/>
      <c r="T53" s="101"/>
      <c r="U53" s="114"/>
    </row>
    <row r="54" spans="1:21" s="102" customFormat="1" ht="19">
      <c r="A54" s="113"/>
      <c r="B54" s="100"/>
      <c r="C54" s="99"/>
      <c r="D54" s="99"/>
      <c r="E54" s="99"/>
      <c r="F54" s="112"/>
      <c r="G54" s="99"/>
      <c r="H54" s="99"/>
      <c r="I54" s="99"/>
      <c r="J54" s="99"/>
      <c r="K54" s="100"/>
      <c r="L54" s="99"/>
      <c r="M54" s="99"/>
      <c r="N54" s="99"/>
      <c r="O54" s="128"/>
      <c r="P54" s="99"/>
      <c r="Q54" s="99"/>
      <c r="S54" s="99"/>
      <c r="T54" s="101"/>
      <c r="U54" s="114"/>
    </row>
    <row r="55" spans="1:21" s="102" customFormat="1" ht="19">
      <c r="A55" s="113"/>
      <c r="B55" s="100"/>
      <c r="C55" s="99"/>
      <c r="D55" s="99"/>
      <c r="E55" s="99"/>
      <c r="F55" s="112"/>
      <c r="G55" s="99"/>
      <c r="H55" s="99"/>
      <c r="I55" s="99"/>
      <c r="J55" s="99"/>
      <c r="K55" s="100"/>
      <c r="L55" s="99"/>
      <c r="M55" s="99"/>
      <c r="N55" s="99"/>
      <c r="O55" s="128"/>
      <c r="P55" s="99"/>
      <c r="Q55" s="99"/>
      <c r="S55" s="99"/>
      <c r="T55" s="101"/>
      <c r="U55" s="114"/>
    </row>
    <row r="56" spans="1:21" s="102" customFormat="1" ht="19">
      <c r="A56" s="113"/>
      <c r="B56" s="100"/>
      <c r="C56" s="99"/>
      <c r="D56" s="99"/>
      <c r="E56" s="99"/>
      <c r="F56" s="112"/>
      <c r="G56" s="99"/>
      <c r="H56" s="99"/>
      <c r="I56" s="99"/>
      <c r="J56" s="99"/>
      <c r="K56" s="100"/>
      <c r="L56" s="99"/>
      <c r="M56" s="99"/>
      <c r="N56" s="99"/>
      <c r="O56" s="128"/>
      <c r="P56" s="99"/>
      <c r="Q56" s="99"/>
      <c r="S56" s="99"/>
      <c r="T56" s="101"/>
      <c r="U56" s="114"/>
    </row>
    <row r="57" spans="1:21" s="102" customFormat="1" ht="19">
      <c r="A57" s="113"/>
      <c r="B57" s="100"/>
      <c r="C57" s="99"/>
      <c r="D57" s="99"/>
      <c r="E57" s="99"/>
      <c r="F57" s="112"/>
      <c r="G57" s="99"/>
      <c r="H57" s="99"/>
      <c r="I57" s="99"/>
      <c r="J57" s="99"/>
      <c r="K57" s="100"/>
      <c r="L57" s="99"/>
      <c r="M57" s="99"/>
      <c r="N57" s="99"/>
      <c r="O57" s="128"/>
      <c r="P57" s="99"/>
      <c r="Q57" s="99"/>
      <c r="S57" s="99"/>
      <c r="T57" s="99"/>
      <c r="U57" s="114"/>
    </row>
    <row r="58" spans="1:21" s="102" customFormat="1" ht="19">
      <c r="A58" s="113"/>
      <c r="B58" s="100"/>
      <c r="C58" s="99"/>
      <c r="D58" s="99"/>
      <c r="E58" s="99"/>
      <c r="F58" s="112"/>
      <c r="G58" s="99"/>
      <c r="H58" s="99"/>
      <c r="I58" s="99"/>
      <c r="J58" s="99"/>
      <c r="K58" s="100"/>
      <c r="L58" s="99"/>
      <c r="M58" s="99"/>
      <c r="N58" s="99"/>
      <c r="O58" s="128"/>
      <c r="P58" s="99"/>
      <c r="Q58" s="99"/>
      <c r="S58" s="99"/>
      <c r="T58" s="99"/>
      <c r="U58" s="114"/>
    </row>
    <row r="59" spans="1:21" s="102" customFormat="1" ht="19">
      <c r="A59" s="113"/>
      <c r="B59" s="100"/>
      <c r="C59" s="99"/>
      <c r="D59" s="99"/>
      <c r="E59" s="99"/>
      <c r="F59" s="112"/>
      <c r="G59" s="99"/>
      <c r="H59" s="99"/>
      <c r="I59" s="99"/>
      <c r="J59" s="99"/>
      <c r="K59" s="100"/>
      <c r="L59" s="99"/>
      <c r="M59" s="99"/>
      <c r="N59" s="99"/>
      <c r="O59" s="128"/>
      <c r="P59" s="99"/>
      <c r="Q59" s="99"/>
      <c r="S59" s="99"/>
      <c r="T59" s="99"/>
      <c r="U59" s="114"/>
    </row>
    <row r="60" spans="1:21" s="102" customFormat="1" ht="19">
      <c r="A60" s="113"/>
      <c r="B60" s="100"/>
      <c r="C60" s="99"/>
      <c r="D60" s="99"/>
      <c r="E60" s="99"/>
      <c r="F60" s="112"/>
      <c r="G60" s="99"/>
      <c r="H60" s="99"/>
      <c r="I60" s="99"/>
      <c r="J60" s="99"/>
      <c r="K60" s="100"/>
      <c r="L60" s="99"/>
      <c r="M60" s="99"/>
      <c r="N60" s="99"/>
      <c r="O60" s="128"/>
      <c r="P60" s="99"/>
      <c r="Q60" s="99"/>
      <c r="S60" s="99"/>
      <c r="T60" s="99"/>
      <c r="U60" s="114"/>
    </row>
    <row r="61" spans="1:21" s="102" customFormat="1" ht="19">
      <c r="A61" s="113"/>
      <c r="B61" s="100"/>
      <c r="C61" s="99"/>
      <c r="D61" s="99"/>
      <c r="E61" s="99"/>
      <c r="F61" s="112"/>
      <c r="G61" s="99"/>
      <c r="H61" s="99"/>
      <c r="I61" s="99"/>
      <c r="J61" s="99"/>
      <c r="K61" s="100"/>
      <c r="L61" s="99"/>
      <c r="M61" s="99"/>
      <c r="N61" s="99"/>
      <c r="O61" s="128"/>
      <c r="P61" s="99"/>
      <c r="Q61" s="99"/>
      <c r="S61" s="99"/>
      <c r="T61" s="99"/>
      <c r="U61" s="114"/>
    </row>
    <row r="62" spans="1:21" s="102" customFormat="1" ht="19">
      <c r="A62" s="113"/>
      <c r="B62" s="100"/>
      <c r="C62" s="99"/>
      <c r="D62" s="99"/>
      <c r="E62" s="99"/>
      <c r="F62" s="112"/>
      <c r="G62" s="99"/>
      <c r="H62" s="99"/>
      <c r="I62" s="99"/>
      <c r="J62" s="99"/>
      <c r="K62" s="100"/>
      <c r="L62" s="99"/>
      <c r="M62" s="99"/>
      <c r="N62" s="99"/>
      <c r="O62" s="128"/>
      <c r="P62" s="99"/>
      <c r="Q62" s="99"/>
      <c r="S62" s="99"/>
      <c r="T62" s="99"/>
      <c r="U62" s="114"/>
    </row>
    <row r="63" spans="1:21" s="102" customFormat="1" ht="19">
      <c r="A63" s="113"/>
      <c r="B63" s="100"/>
      <c r="C63" s="99"/>
      <c r="D63" s="99"/>
      <c r="E63" s="99"/>
      <c r="F63" s="112"/>
      <c r="G63" s="99"/>
      <c r="H63" s="99"/>
      <c r="I63" s="99"/>
      <c r="J63" s="99"/>
      <c r="K63" s="100"/>
      <c r="L63" s="99"/>
      <c r="M63" s="99"/>
      <c r="N63" s="99"/>
      <c r="O63" s="128"/>
      <c r="P63" s="99"/>
      <c r="Q63" s="99"/>
      <c r="S63" s="99"/>
      <c r="T63" s="99"/>
      <c r="U63" s="114"/>
    </row>
    <row r="64" spans="1:21" s="102" customFormat="1" ht="19">
      <c r="A64" s="113"/>
      <c r="B64" s="100"/>
      <c r="C64" s="99"/>
      <c r="D64" s="99"/>
      <c r="E64" s="99"/>
      <c r="F64" s="112"/>
      <c r="G64" s="99"/>
      <c r="H64" s="99"/>
      <c r="I64" s="99"/>
      <c r="J64" s="99"/>
      <c r="K64" s="100"/>
      <c r="L64" s="99"/>
      <c r="M64" s="99"/>
      <c r="N64" s="99"/>
      <c r="O64" s="128"/>
      <c r="P64" s="99"/>
      <c r="Q64" s="99"/>
      <c r="S64" s="99"/>
      <c r="T64" s="99"/>
      <c r="U64" s="114"/>
    </row>
    <row r="65" spans="1:21" s="102" customFormat="1" ht="19">
      <c r="A65" s="113"/>
      <c r="B65" s="100"/>
      <c r="C65" s="99"/>
      <c r="D65" s="99"/>
      <c r="E65" s="99"/>
      <c r="F65" s="112"/>
      <c r="G65" s="99"/>
      <c r="H65" s="99"/>
      <c r="I65" s="99"/>
      <c r="J65" s="99"/>
      <c r="K65" s="100"/>
      <c r="L65" s="99"/>
      <c r="M65" s="99"/>
      <c r="N65" s="99"/>
      <c r="O65" s="128"/>
      <c r="P65" s="99"/>
      <c r="Q65" s="99"/>
      <c r="S65" s="99"/>
      <c r="T65" s="99"/>
      <c r="U65" s="114"/>
    </row>
    <row r="66" spans="1:21" s="102" customFormat="1" ht="19">
      <c r="A66" s="113"/>
      <c r="B66" s="100"/>
      <c r="C66" s="99"/>
      <c r="D66" s="99"/>
      <c r="E66" s="99"/>
      <c r="F66" s="112"/>
      <c r="G66" s="99"/>
      <c r="H66" s="99"/>
      <c r="I66" s="99"/>
      <c r="J66" s="99"/>
      <c r="K66" s="100"/>
      <c r="L66" s="99"/>
      <c r="M66" s="99"/>
      <c r="N66" s="99"/>
      <c r="O66" s="128"/>
      <c r="P66" s="99"/>
      <c r="Q66" s="99"/>
      <c r="S66" s="99"/>
      <c r="T66" s="99"/>
      <c r="U66" s="114"/>
    </row>
    <row r="67" spans="1:21" s="102" customFormat="1" ht="19">
      <c r="A67" s="113"/>
      <c r="B67" s="100"/>
      <c r="C67" s="99"/>
      <c r="D67" s="99"/>
      <c r="E67" s="99"/>
      <c r="F67" s="112"/>
      <c r="G67" s="99"/>
      <c r="H67" s="99"/>
      <c r="I67" s="99"/>
      <c r="J67" s="99"/>
      <c r="K67" s="100"/>
      <c r="L67" s="99"/>
      <c r="M67" s="99"/>
      <c r="N67" s="99"/>
      <c r="O67" s="128"/>
      <c r="P67" s="99"/>
      <c r="Q67" s="99"/>
      <c r="S67" s="99"/>
      <c r="T67" s="99"/>
      <c r="U67" s="114"/>
    </row>
    <row r="68" spans="1:21" s="102" customFormat="1" ht="19">
      <c r="A68" s="113"/>
      <c r="B68" s="100"/>
      <c r="C68" s="99"/>
      <c r="D68" s="99"/>
      <c r="E68" s="99"/>
      <c r="F68" s="112"/>
      <c r="G68" s="99"/>
      <c r="H68" s="99"/>
      <c r="I68" s="99"/>
      <c r="J68" s="99"/>
      <c r="K68" s="100"/>
      <c r="L68" s="99"/>
      <c r="M68" s="99"/>
      <c r="N68" s="99"/>
      <c r="O68" s="128"/>
      <c r="P68" s="99"/>
      <c r="Q68" s="99"/>
      <c r="S68" s="99"/>
      <c r="T68" s="99"/>
      <c r="U68" s="114"/>
    </row>
    <row r="69" spans="1:21" s="102" customFormat="1" ht="19">
      <c r="A69" s="113"/>
      <c r="B69" s="100"/>
      <c r="C69" s="99"/>
      <c r="D69" s="99"/>
      <c r="E69" s="99"/>
      <c r="F69" s="112"/>
      <c r="G69" s="99"/>
      <c r="H69" s="99"/>
      <c r="I69" s="99"/>
      <c r="J69" s="99"/>
      <c r="K69" s="100"/>
      <c r="L69" s="99"/>
      <c r="M69" s="99"/>
      <c r="N69" s="99"/>
      <c r="O69" s="128"/>
      <c r="P69" s="99"/>
      <c r="Q69" s="99"/>
      <c r="S69" s="99"/>
      <c r="T69" s="99"/>
      <c r="U69" s="114"/>
    </row>
    <row r="70" spans="1:21" s="102" customFormat="1" ht="19">
      <c r="A70" s="113"/>
      <c r="B70" s="100"/>
      <c r="C70" s="99"/>
      <c r="D70" s="99"/>
      <c r="E70" s="99"/>
      <c r="F70" s="112"/>
      <c r="G70" s="99"/>
      <c r="H70" s="99"/>
      <c r="I70" s="99"/>
      <c r="J70" s="99"/>
      <c r="K70" s="100"/>
      <c r="L70" s="99"/>
      <c r="M70" s="99"/>
      <c r="N70" s="99"/>
      <c r="O70" s="128"/>
      <c r="P70" s="99"/>
      <c r="Q70" s="99"/>
      <c r="S70" s="99"/>
      <c r="T70" s="99"/>
      <c r="U70" s="114"/>
    </row>
    <row r="71" spans="1:21" s="102" customFormat="1" ht="19">
      <c r="A71" s="113"/>
      <c r="B71" s="100"/>
      <c r="C71" s="99"/>
      <c r="D71" s="99"/>
      <c r="E71" s="99"/>
      <c r="F71" s="112"/>
      <c r="G71" s="99"/>
      <c r="H71" s="99"/>
      <c r="I71" s="99"/>
      <c r="J71" s="99"/>
      <c r="K71" s="100"/>
      <c r="L71" s="99"/>
      <c r="M71" s="99"/>
      <c r="N71" s="99"/>
      <c r="O71" s="128"/>
      <c r="P71" s="99"/>
      <c r="Q71" s="99"/>
      <c r="S71" s="99"/>
      <c r="T71" s="99"/>
      <c r="U71" s="114"/>
    </row>
    <row r="72" spans="1:21" s="102" customFormat="1" ht="19">
      <c r="A72" s="113"/>
      <c r="B72" s="100"/>
      <c r="C72" s="99"/>
      <c r="D72" s="99"/>
      <c r="E72" s="99"/>
      <c r="F72" s="112"/>
      <c r="G72" s="99"/>
      <c r="H72" s="99"/>
      <c r="I72" s="99"/>
      <c r="J72" s="99"/>
      <c r="K72" s="100"/>
      <c r="L72" s="99"/>
      <c r="M72" s="99"/>
      <c r="N72" s="99"/>
      <c r="O72" s="128"/>
      <c r="P72" s="99"/>
      <c r="Q72" s="99"/>
      <c r="S72" s="99"/>
      <c r="T72" s="101"/>
      <c r="U72" s="114"/>
    </row>
    <row r="73" spans="1:21" s="102" customFormat="1" ht="19">
      <c r="A73" s="113"/>
      <c r="B73" s="100"/>
      <c r="C73" s="99"/>
      <c r="D73" s="99"/>
      <c r="E73" s="99"/>
      <c r="F73" s="112"/>
      <c r="G73" s="99"/>
      <c r="H73" s="99"/>
      <c r="I73" s="99"/>
      <c r="J73" s="99"/>
      <c r="K73" s="100"/>
      <c r="L73" s="99"/>
      <c r="M73" s="99"/>
      <c r="N73" s="99"/>
      <c r="O73" s="128"/>
      <c r="P73" s="99"/>
      <c r="Q73" s="99"/>
      <c r="S73" s="99"/>
      <c r="T73" s="101"/>
      <c r="U73" s="114"/>
    </row>
    <row r="74" spans="1:21" s="102" customFormat="1" ht="19">
      <c r="A74" s="113"/>
      <c r="B74" s="100"/>
      <c r="C74" s="99"/>
      <c r="D74" s="99"/>
      <c r="E74" s="99"/>
      <c r="F74" s="112"/>
      <c r="G74" s="99"/>
      <c r="H74" s="99"/>
      <c r="I74" s="99"/>
      <c r="J74" s="99"/>
      <c r="K74" s="100"/>
      <c r="L74" s="99"/>
      <c r="M74" s="99"/>
      <c r="N74" s="99"/>
      <c r="O74" s="128"/>
      <c r="P74" s="99"/>
      <c r="Q74" s="99"/>
      <c r="S74" s="99"/>
      <c r="T74" s="101"/>
      <c r="U74" s="114"/>
    </row>
    <row r="75" spans="1:21" s="102" customFormat="1" ht="19">
      <c r="A75" s="113"/>
      <c r="B75" s="100"/>
      <c r="C75" s="99"/>
      <c r="D75" s="99"/>
      <c r="E75" s="99"/>
      <c r="F75" s="112"/>
      <c r="G75" s="99"/>
      <c r="H75" s="99"/>
      <c r="I75" s="99"/>
      <c r="J75" s="99"/>
      <c r="K75" s="100"/>
      <c r="L75" s="99"/>
      <c r="M75" s="99"/>
      <c r="N75" s="99"/>
      <c r="O75" s="128"/>
      <c r="P75" s="99"/>
      <c r="Q75" s="99"/>
      <c r="S75" s="99"/>
      <c r="T75" s="101"/>
      <c r="U75" s="114"/>
    </row>
    <row r="76" spans="1:21" s="102" customFormat="1" ht="19">
      <c r="A76" s="113"/>
      <c r="B76" s="100"/>
      <c r="C76" s="99"/>
      <c r="D76" s="99"/>
      <c r="E76" s="99"/>
      <c r="F76" s="112"/>
      <c r="G76" s="99"/>
      <c r="H76" s="99"/>
      <c r="I76" s="99"/>
      <c r="J76" s="99"/>
      <c r="K76" s="100"/>
      <c r="L76" s="99"/>
      <c r="M76" s="99"/>
      <c r="N76" s="99"/>
      <c r="O76" s="128"/>
      <c r="P76" s="99"/>
      <c r="Q76" s="99"/>
      <c r="S76" s="99"/>
      <c r="T76" s="101"/>
      <c r="U76" s="114"/>
    </row>
    <row r="77" spans="1:21" s="102" customFormat="1" ht="19">
      <c r="A77" s="113"/>
      <c r="B77" s="100"/>
      <c r="C77" s="99"/>
      <c r="D77" s="99"/>
      <c r="E77" s="99"/>
      <c r="F77" s="112"/>
      <c r="G77" s="99"/>
      <c r="H77" s="99"/>
      <c r="I77" s="99"/>
      <c r="J77" s="99"/>
      <c r="K77" s="100"/>
      <c r="L77" s="99"/>
      <c r="M77" s="99"/>
      <c r="N77" s="99"/>
      <c r="O77" s="128"/>
      <c r="P77" s="99"/>
      <c r="Q77" s="99"/>
      <c r="S77" s="99"/>
      <c r="T77" s="101"/>
      <c r="U77" s="114"/>
    </row>
    <row r="78" spans="1:21" s="102" customFormat="1" ht="19">
      <c r="A78" s="113"/>
      <c r="B78" s="100"/>
      <c r="C78" s="99"/>
      <c r="D78" s="99"/>
      <c r="E78" s="99"/>
      <c r="F78" s="112"/>
      <c r="G78" s="99"/>
      <c r="H78" s="99"/>
      <c r="I78" s="99"/>
      <c r="J78" s="99"/>
      <c r="K78" s="100"/>
      <c r="L78" s="99"/>
      <c r="M78" s="99"/>
      <c r="N78" s="99"/>
      <c r="O78" s="128"/>
      <c r="P78" s="99"/>
      <c r="Q78" s="99"/>
      <c r="S78" s="99"/>
      <c r="T78" s="101"/>
      <c r="U78" s="114"/>
    </row>
    <row r="79" spans="1:21" s="102" customFormat="1" ht="19">
      <c r="A79" s="113"/>
      <c r="B79" s="100"/>
      <c r="C79" s="99"/>
      <c r="D79" s="99"/>
      <c r="E79" s="99"/>
      <c r="F79" s="112"/>
      <c r="G79" s="99"/>
      <c r="H79" s="99"/>
      <c r="I79" s="99"/>
      <c r="J79" s="99"/>
      <c r="K79" s="100"/>
      <c r="L79" s="99"/>
      <c r="M79" s="99"/>
      <c r="N79" s="99"/>
      <c r="O79" s="128"/>
      <c r="P79" s="99"/>
      <c r="Q79" s="99"/>
      <c r="S79" s="99"/>
      <c r="T79" s="101"/>
      <c r="U79" s="114"/>
    </row>
    <row r="80" spans="1:21" s="102" customFormat="1" ht="19">
      <c r="A80" s="113"/>
      <c r="B80" s="100"/>
      <c r="C80" s="99"/>
      <c r="D80" s="99"/>
      <c r="E80" s="99"/>
      <c r="F80" s="112"/>
      <c r="G80" s="99"/>
      <c r="H80" s="99"/>
      <c r="I80" s="99"/>
      <c r="J80" s="99"/>
      <c r="K80" s="100"/>
      <c r="L80" s="99"/>
      <c r="M80" s="99"/>
      <c r="N80" s="99"/>
      <c r="O80" s="128"/>
      <c r="P80" s="99"/>
      <c r="Q80" s="99"/>
      <c r="S80" s="99"/>
      <c r="T80" s="101"/>
      <c r="U80" s="114"/>
    </row>
    <row r="81" spans="1:21" s="102" customFormat="1" ht="19">
      <c r="A81" s="113"/>
      <c r="B81" s="100"/>
      <c r="C81" s="99"/>
      <c r="D81" s="99"/>
      <c r="E81" s="99"/>
      <c r="F81" s="112"/>
      <c r="G81" s="99"/>
      <c r="H81" s="99"/>
      <c r="I81" s="99"/>
      <c r="J81" s="99"/>
      <c r="K81" s="100"/>
      <c r="L81" s="99"/>
      <c r="M81" s="99"/>
      <c r="N81" s="99"/>
      <c r="O81" s="128"/>
      <c r="P81" s="99"/>
      <c r="Q81" s="99"/>
      <c r="S81" s="99"/>
      <c r="T81" s="101"/>
      <c r="U81" s="114"/>
    </row>
    <row r="82" spans="1:21" s="102" customFormat="1" ht="19">
      <c r="A82" s="113"/>
      <c r="B82" s="100"/>
      <c r="C82" s="99"/>
      <c r="D82" s="99"/>
      <c r="E82" s="99"/>
      <c r="F82" s="112"/>
      <c r="G82" s="99"/>
      <c r="H82" s="99"/>
      <c r="I82" s="99"/>
      <c r="J82" s="99"/>
      <c r="K82" s="100"/>
      <c r="L82" s="99"/>
      <c r="M82" s="99"/>
      <c r="N82" s="99"/>
      <c r="O82" s="128"/>
      <c r="P82" s="99"/>
      <c r="Q82" s="99"/>
      <c r="S82" s="99"/>
      <c r="T82" s="101"/>
      <c r="U82" s="114"/>
    </row>
    <row r="83" spans="1:21" s="102" customFormat="1" ht="19">
      <c r="A83" s="113"/>
      <c r="B83" s="100"/>
      <c r="C83" s="99"/>
      <c r="D83" s="99"/>
      <c r="E83" s="99"/>
      <c r="F83" s="112"/>
      <c r="G83" s="99"/>
      <c r="H83" s="99"/>
      <c r="I83" s="99"/>
      <c r="J83" s="99"/>
      <c r="K83" s="100"/>
      <c r="L83" s="99"/>
      <c r="M83" s="99"/>
      <c r="N83" s="99"/>
      <c r="O83" s="128"/>
      <c r="P83" s="99"/>
      <c r="Q83" s="99"/>
      <c r="S83" s="99"/>
      <c r="T83" s="101"/>
      <c r="U83" s="114"/>
    </row>
    <row r="84" spans="1:21" s="102" customFormat="1" ht="19">
      <c r="A84" s="113"/>
      <c r="B84" s="100"/>
      <c r="C84" s="99"/>
      <c r="D84" s="99"/>
      <c r="E84" s="99"/>
      <c r="F84" s="112"/>
      <c r="G84" s="99"/>
      <c r="H84" s="99"/>
      <c r="I84" s="99"/>
      <c r="J84" s="99"/>
      <c r="K84" s="100"/>
      <c r="L84" s="99"/>
      <c r="M84" s="99"/>
      <c r="N84" s="99"/>
      <c r="O84" s="128"/>
      <c r="P84" s="99"/>
      <c r="Q84" s="99"/>
      <c r="S84" s="99"/>
      <c r="T84" s="101"/>
      <c r="U84" s="114"/>
    </row>
    <row r="85" spans="1:21" s="102" customFormat="1" ht="19">
      <c r="A85" s="113"/>
      <c r="B85" s="100"/>
      <c r="C85" s="99"/>
      <c r="D85" s="99"/>
      <c r="E85" s="99"/>
      <c r="F85" s="112"/>
      <c r="G85" s="99"/>
      <c r="H85" s="99"/>
      <c r="I85" s="99"/>
      <c r="J85" s="99"/>
      <c r="K85" s="100"/>
      <c r="L85" s="99"/>
      <c r="M85" s="99"/>
      <c r="N85" s="99"/>
      <c r="O85" s="128"/>
      <c r="P85" s="99"/>
      <c r="Q85" s="99"/>
      <c r="S85" s="99"/>
      <c r="T85" s="101"/>
      <c r="U85" s="114"/>
    </row>
    <row r="86" spans="1:21" s="102" customFormat="1" ht="19">
      <c r="A86" s="113"/>
      <c r="B86" s="100"/>
      <c r="C86" s="99"/>
      <c r="D86" s="99"/>
      <c r="E86" s="99"/>
      <c r="F86" s="112"/>
      <c r="G86" s="99"/>
      <c r="H86" s="99"/>
      <c r="I86" s="99"/>
      <c r="J86" s="99"/>
      <c r="K86" s="100"/>
      <c r="L86" s="99"/>
      <c r="M86" s="99"/>
      <c r="N86" s="99"/>
      <c r="O86" s="128"/>
      <c r="P86" s="99"/>
      <c r="Q86" s="99"/>
      <c r="S86" s="99"/>
      <c r="T86" s="101"/>
      <c r="U86" s="114"/>
    </row>
    <row r="87" spans="1:21" s="102" customFormat="1" ht="19">
      <c r="A87" s="113"/>
      <c r="B87" s="100"/>
      <c r="C87" s="99"/>
      <c r="D87" s="99"/>
      <c r="E87" s="99"/>
      <c r="F87" s="112"/>
      <c r="G87" s="99"/>
      <c r="H87" s="99"/>
      <c r="I87" s="99"/>
      <c r="J87" s="99"/>
      <c r="K87" s="100"/>
      <c r="L87" s="99"/>
      <c r="M87" s="99"/>
      <c r="N87" s="99"/>
      <c r="O87" s="128"/>
      <c r="P87" s="99"/>
      <c r="Q87" s="99"/>
      <c r="S87" s="99"/>
      <c r="T87" s="101"/>
      <c r="U87" s="114"/>
    </row>
    <row r="88" spans="1:21" s="102" customFormat="1" ht="19">
      <c r="A88" s="113"/>
      <c r="B88" s="100"/>
      <c r="C88" s="99"/>
      <c r="D88" s="99"/>
      <c r="E88" s="99"/>
      <c r="F88" s="112"/>
      <c r="G88" s="99"/>
      <c r="H88" s="99"/>
      <c r="I88" s="99"/>
      <c r="J88" s="99"/>
      <c r="K88" s="100"/>
      <c r="L88" s="99"/>
      <c r="M88" s="99"/>
      <c r="N88" s="99"/>
      <c r="O88" s="128"/>
      <c r="P88" s="99"/>
      <c r="Q88" s="99"/>
      <c r="S88" s="99"/>
      <c r="T88" s="101"/>
      <c r="U88" s="114"/>
    </row>
    <row r="89" spans="1:21" s="102" customFormat="1" ht="19">
      <c r="A89" s="113"/>
      <c r="B89" s="100"/>
      <c r="C89" s="99"/>
      <c r="D89" s="99"/>
      <c r="E89" s="99"/>
      <c r="F89" s="112"/>
      <c r="G89" s="99"/>
      <c r="H89" s="99"/>
      <c r="I89" s="99"/>
      <c r="J89" s="99"/>
      <c r="K89" s="100"/>
      <c r="L89" s="99"/>
      <c r="M89" s="99"/>
      <c r="N89" s="99"/>
      <c r="O89" s="128"/>
      <c r="P89" s="99"/>
      <c r="Q89" s="99"/>
      <c r="S89" s="99"/>
      <c r="T89" s="101"/>
      <c r="U89" s="114"/>
    </row>
    <row r="90" spans="1:21" s="102" customFormat="1" ht="19">
      <c r="A90" s="113"/>
      <c r="B90" s="100"/>
      <c r="C90" s="99"/>
      <c r="D90" s="99"/>
      <c r="E90" s="99"/>
      <c r="F90" s="112"/>
      <c r="G90" s="99"/>
      <c r="H90" s="99"/>
      <c r="I90" s="99"/>
      <c r="J90" s="99"/>
      <c r="K90" s="100"/>
      <c r="L90" s="99"/>
      <c r="M90" s="99"/>
      <c r="N90" s="99"/>
      <c r="O90" s="128"/>
      <c r="P90" s="99"/>
      <c r="Q90" s="99"/>
      <c r="S90" s="99"/>
      <c r="T90" s="101"/>
      <c r="U90" s="114"/>
    </row>
    <row r="91" spans="1:21" s="102" customFormat="1" ht="19">
      <c r="A91" s="113"/>
      <c r="B91" s="100"/>
      <c r="C91" s="99"/>
      <c r="D91" s="99"/>
      <c r="E91" s="99"/>
      <c r="F91" s="112"/>
      <c r="G91" s="99"/>
      <c r="H91" s="99"/>
      <c r="I91" s="99"/>
      <c r="J91" s="99"/>
      <c r="K91" s="100"/>
      <c r="L91" s="99"/>
      <c r="M91" s="99"/>
      <c r="N91" s="99"/>
      <c r="O91" s="128"/>
      <c r="P91" s="99"/>
      <c r="Q91" s="99"/>
      <c r="S91" s="99"/>
      <c r="T91" s="101"/>
      <c r="U91" s="114"/>
    </row>
    <row r="92" spans="1:21" s="102" customFormat="1" ht="19">
      <c r="A92" s="113"/>
      <c r="B92" s="100"/>
      <c r="C92" s="99"/>
      <c r="D92" s="99"/>
      <c r="E92" s="99"/>
      <c r="F92" s="112"/>
      <c r="G92" s="99"/>
      <c r="H92" s="99"/>
      <c r="I92" s="99"/>
      <c r="J92" s="99"/>
      <c r="K92" s="100"/>
      <c r="L92" s="99"/>
      <c r="M92" s="99"/>
      <c r="N92" s="99"/>
      <c r="O92" s="128"/>
      <c r="P92" s="99"/>
      <c r="Q92" s="99"/>
      <c r="S92" s="99"/>
      <c r="T92" s="101"/>
      <c r="U92" s="114"/>
    </row>
    <row r="93" spans="1:21" s="102" customFormat="1" ht="19">
      <c r="A93" s="113"/>
      <c r="B93" s="100"/>
      <c r="C93" s="99"/>
      <c r="D93" s="99"/>
      <c r="E93" s="99"/>
      <c r="F93" s="112"/>
      <c r="G93" s="99"/>
      <c r="H93" s="99"/>
      <c r="I93" s="99"/>
      <c r="J93" s="99"/>
      <c r="K93" s="100"/>
      <c r="L93" s="99"/>
      <c r="M93" s="99"/>
      <c r="N93" s="99"/>
      <c r="O93" s="128"/>
      <c r="P93" s="99"/>
      <c r="Q93" s="99"/>
      <c r="S93" s="99"/>
      <c r="T93" s="101"/>
      <c r="U93" s="114"/>
    </row>
    <row r="94" spans="1:21" s="102" customFormat="1" ht="19">
      <c r="A94" s="113"/>
      <c r="B94" s="100"/>
      <c r="C94" s="99"/>
      <c r="D94" s="99"/>
      <c r="E94" s="99"/>
      <c r="F94" s="112"/>
      <c r="G94" s="99"/>
      <c r="H94" s="99"/>
      <c r="I94" s="99"/>
      <c r="J94" s="99"/>
      <c r="K94" s="100"/>
      <c r="L94" s="99"/>
      <c r="M94" s="99"/>
      <c r="N94" s="99"/>
      <c r="O94" s="128"/>
      <c r="P94" s="99"/>
      <c r="Q94" s="99"/>
      <c r="S94" s="99"/>
      <c r="T94" s="101"/>
      <c r="U94" s="114"/>
    </row>
    <row r="95" spans="1:21" s="102" customFormat="1" ht="19">
      <c r="A95" s="113"/>
      <c r="B95" s="100"/>
      <c r="C95" s="99"/>
      <c r="D95" s="99"/>
      <c r="E95" s="99"/>
      <c r="F95" s="112"/>
      <c r="G95" s="99"/>
      <c r="H95" s="99"/>
      <c r="I95" s="99"/>
      <c r="J95" s="99"/>
      <c r="K95" s="100"/>
      <c r="L95" s="99"/>
      <c r="M95" s="99"/>
      <c r="N95" s="99"/>
      <c r="O95" s="128"/>
      <c r="P95" s="99"/>
      <c r="Q95" s="99"/>
      <c r="S95" s="99"/>
      <c r="T95" s="101"/>
      <c r="U95" s="114"/>
    </row>
    <row r="96" spans="1:21" s="102" customFormat="1" ht="19">
      <c r="A96" s="113"/>
      <c r="B96" s="100"/>
      <c r="C96" s="99"/>
      <c r="D96" s="99"/>
      <c r="E96" s="99"/>
      <c r="F96" s="112"/>
      <c r="G96" s="99"/>
      <c r="H96" s="99"/>
      <c r="I96" s="99"/>
      <c r="J96" s="99"/>
      <c r="K96" s="100"/>
      <c r="L96" s="99"/>
      <c r="M96" s="99"/>
      <c r="N96" s="99"/>
      <c r="O96" s="128"/>
      <c r="P96" s="99"/>
      <c r="Q96" s="99"/>
      <c r="S96" s="99"/>
      <c r="T96" s="101"/>
      <c r="U96" s="114"/>
    </row>
    <row r="97" spans="1:21" s="102" customFormat="1" ht="19">
      <c r="A97" s="113"/>
      <c r="B97" s="100"/>
      <c r="C97" s="99"/>
      <c r="D97" s="99"/>
      <c r="E97" s="99"/>
      <c r="F97" s="112"/>
      <c r="G97" s="99"/>
      <c r="H97" s="99"/>
      <c r="I97" s="99"/>
      <c r="J97" s="99"/>
      <c r="K97" s="100"/>
      <c r="L97" s="99"/>
      <c r="M97" s="99"/>
      <c r="N97" s="99"/>
      <c r="O97" s="128"/>
      <c r="P97" s="99"/>
      <c r="Q97" s="99"/>
      <c r="S97" s="99"/>
      <c r="T97" s="101"/>
      <c r="U97" s="114"/>
    </row>
    <row r="98" spans="1:21" s="102" customFormat="1" ht="19">
      <c r="A98" s="113"/>
      <c r="B98" s="100"/>
      <c r="C98" s="99"/>
      <c r="D98" s="99"/>
      <c r="E98" s="99"/>
      <c r="F98" s="112"/>
      <c r="G98" s="99"/>
      <c r="H98" s="99"/>
      <c r="I98" s="99"/>
      <c r="J98" s="99"/>
      <c r="K98" s="100"/>
      <c r="L98" s="99"/>
      <c r="M98" s="99"/>
      <c r="N98" s="99"/>
      <c r="O98" s="128"/>
      <c r="P98" s="99"/>
      <c r="Q98" s="99"/>
      <c r="S98" s="99"/>
      <c r="T98" s="101"/>
      <c r="U98" s="114"/>
    </row>
    <row r="99" spans="1:21" s="102" customFormat="1" ht="19">
      <c r="A99" s="113"/>
      <c r="B99" s="100"/>
      <c r="C99" s="99"/>
      <c r="D99" s="99"/>
      <c r="E99" s="99"/>
      <c r="F99" s="112"/>
      <c r="G99" s="99"/>
      <c r="H99" s="99"/>
      <c r="I99" s="99"/>
      <c r="J99" s="99"/>
      <c r="K99" s="100"/>
      <c r="L99" s="99"/>
      <c r="M99" s="99"/>
      <c r="N99" s="99"/>
      <c r="O99" s="128"/>
      <c r="P99" s="99"/>
      <c r="Q99" s="99"/>
      <c r="S99" s="99"/>
      <c r="T99" s="101"/>
      <c r="U99" s="114"/>
    </row>
    <row r="100" spans="1:21" s="102" customFormat="1" ht="19">
      <c r="A100" s="113"/>
      <c r="B100" s="100"/>
      <c r="C100" s="99"/>
      <c r="D100" s="99"/>
      <c r="E100" s="99"/>
      <c r="F100" s="112"/>
      <c r="G100" s="99"/>
      <c r="H100" s="99"/>
      <c r="I100" s="99"/>
      <c r="J100" s="99"/>
      <c r="K100" s="100"/>
      <c r="L100" s="99"/>
      <c r="M100" s="99"/>
      <c r="N100" s="99"/>
      <c r="O100" s="128"/>
      <c r="P100" s="99"/>
      <c r="Q100" s="99"/>
      <c r="S100" s="99"/>
      <c r="T100" s="99"/>
      <c r="U100" s="114"/>
    </row>
    <row r="101" spans="1:21" s="102" customFormat="1" ht="19">
      <c r="A101" s="113"/>
      <c r="B101" s="100"/>
      <c r="C101" s="99"/>
      <c r="D101" s="99"/>
      <c r="E101" s="99"/>
      <c r="F101" s="112"/>
      <c r="G101" s="99"/>
      <c r="H101" s="99"/>
      <c r="I101" s="99"/>
      <c r="J101" s="99"/>
      <c r="K101" s="100"/>
      <c r="L101" s="99"/>
      <c r="M101" s="99"/>
      <c r="N101" s="99"/>
      <c r="O101" s="128"/>
      <c r="P101" s="99"/>
      <c r="Q101" s="99"/>
      <c r="S101" s="99"/>
      <c r="T101" s="99"/>
      <c r="U101" s="114"/>
    </row>
    <row r="102" spans="1:21" s="102" customFormat="1" ht="19">
      <c r="A102" s="113"/>
      <c r="B102" s="100"/>
      <c r="C102" s="99"/>
      <c r="D102" s="99"/>
      <c r="E102" s="99"/>
      <c r="F102" s="112"/>
      <c r="G102" s="99"/>
      <c r="H102" s="99"/>
      <c r="I102" s="99"/>
      <c r="J102" s="99"/>
      <c r="K102" s="100"/>
      <c r="L102" s="99"/>
      <c r="M102" s="99"/>
      <c r="N102" s="99"/>
      <c r="O102" s="128"/>
      <c r="P102" s="99"/>
      <c r="Q102" s="99"/>
      <c r="S102" s="99"/>
      <c r="T102" s="99"/>
      <c r="U102" s="114"/>
    </row>
    <row r="103" spans="1:21" s="102" customFormat="1" ht="19">
      <c r="A103" s="113"/>
      <c r="B103" s="100"/>
      <c r="C103" s="99"/>
      <c r="D103" s="99"/>
      <c r="E103" s="99"/>
      <c r="F103" s="112"/>
      <c r="G103" s="99"/>
      <c r="H103" s="99"/>
      <c r="I103" s="99"/>
      <c r="J103" s="99"/>
      <c r="K103" s="100"/>
      <c r="L103" s="99"/>
      <c r="M103" s="99"/>
      <c r="N103" s="99"/>
      <c r="O103" s="128"/>
      <c r="P103" s="99"/>
      <c r="Q103" s="99"/>
      <c r="S103" s="99"/>
      <c r="T103" s="99"/>
      <c r="U103" s="114"/>
    </row>
    <row r="104" spans="1:21" s="102" customFormat="1" ht="19">
      <c r="A104" s="113"/>
      <c r="B104" s="100"/>
      <c r="C104" s="99"/>
      <c r="D104" s="99"/>
      <c r="E104" s="99"/>
      <c r="F104" s="112"/>
      <c r="G104" s="99"/>
      <c r="H104" s="99"/>
      <c r="I104" s="99"/>
      <c r="J104" s="99"/>
      <c r="K104" s="100"/>
      <c r="L104" s="99"/>
      <c r="M104" s="99"/>
      <c r="N104" s="99"/>
      <c r="O104" s="128"/>
      <c r="P104" s="99"/>
      <c r="Q104" s="99"/>
      <c r="S104" s="99"/>
      <c r="T104" s="99"/>
      <c r="U104" s="114"/>
    </row>
    <row r="105" spans="1:21" s="102" customFormat="1" ht="19">
      <c r="A105" s="113"/>
      <c r="B105" s="100"/>
      <c r="C105" s="99"/>
      <c r="D105" s="99"/>
      <c r="E105" s="99"/>
      <c r="F105" s="112"/>
      <c r="G105" s="99"/>
      <c r="H105" s="99"/>
      <c r="I105" s="99"/>
      <c r="J105" s="99"/>
      <c r="K105" s="100"/>
      <c r="L105" s="99"/>
      <c r="M105" s="99"/>
      <c r="N105" s="99"/>
      <c r="O105" s="128"/>
      <c r="P105" s="99"/>
      <c r="Q105" s="99"/>
      <c r="S105" s="99"/>
      <c r="T105" s="99"/>
      <c r="U105" s="114"/>
    </row>
    <row r="106" spans="1:21" s="102" customFormat="1" ht="19">
      <c r="A106" s="113"/>
      <c r="B106" s="100"/>
      <c r="C106" s="99"/>
      <c r="D106" s="99"/>
      <c r="E106" s="99"/>
      <c r="F106" s="112"/>
      <c r="G106" s="99"/>
      <c r="H106" s="99"/>
      <c r="I106" s="99"/>
      <c r="J106" s="99"/>
      <c r="K106" s="100"/>
      <c r="L106" s="99"/>
      <c r="M106" s="99"/>
      <c r="N106" s="99"/>
      <c r="O106" s="128"/>
      <c r="P106" s="99"/>
      <c r="Q106" s="99"/>
      <c r="S106" s="99"/>
      <c r="T106" s="99"/>
      <c r="U106" s="114"/>
    </row>
    <row r="107" spans="1:21" s="102" customFormat="1" ht="19">
      <c r="A107" s="113"/>
      <c r="B107" s="100"/>
      <c r="C107" s="99"/>
      <c r="D107" s="99"/>
      <c r="E107" s="99"/>
      <c r="F107" s="112"/>
      <c r="G107" s="99"/>
      <c r="H107" s="99"/>
      <c r="I107" s="99"/>
      <c r="J107" s="99"/>
      <c r="K107" s="100"/>
      <c r="L107" s="99"/>
      <c r="M107" s="99"/>
      <c r="N107" s="99"/>
      <c r="O107" s="128"/>
      <c r="P107" s="99"/>
      <c r="Q107" s="99"/>
      <c r="S107" s="99"/>
      <c r="T107" s="99"/>
      <c r="U107" s="114"/>
    </row>
    <row r="108" spans="1:21" s="102" customFormat="1" ht="19">
      <c r="A108" s="113"/>
      <c r="B108" s="100"/>
      <c r="C108" s="99"/>
      <c r="D108" s="99"/>
      <c r="E108" s="99"/>
      <c r="F108" s="112"/>
      <c r="G108" s="99"/>
      <c r="H108" s="99"/>
      <c r="I108" s="99"/>
      <c r="J108" s="99"/>
      <c r="K108" s="100"/>
      <c r="L108" s="99"/>
      <c r="M108" s="99"/>
      <c r="N108" s="99"/>
      <c r="O108" s="128"/>
      <c r="P108" s="99"/>
      <c r="Q108" s="99"/>
      <c r="S108" s="99"/>
      <c r="T108" s="99"/>
      <c r="U108" s="114"/>
    </row>
    <row r="109" spans="1:21" s="102" customFormat="1" ht="19">
      <c r="A109" s="113"/>
      <c r="B109" s="100"/>
      <c r="C109" s="99"/>
      <c r="D109" s="99"/>
      <c r="E109" s="99"/>
      <c r="F109" s="112"/>
      <c r="G109" s="99"/>
      <c r="H109" s="99"/>
      <c r="I109" s="99"/>
      <c r="J109" s="99"/>
      <c r="K109" s="100"/>
      <c r="L109" s="99"/>
      <c r="M109" s="99"/>
      <c r="N109" s="99"/>
      <c r="O109" s="128"/>
      <c r="P109" s="99"/>
      <c r="Q109" s="99"/>
      <c r="S109" s="99"/>
      <c r="T109" s="99"/>
      <c r="U109" s="114"/>
    </row>
    <row r="110" spans="1:21" s="102" customFormat="1" ht="19">
      <c r="A110" s="113"/>
      <c r="B110" s="100"/>
      <c r="C110" s="99"/>
      <c r="D110" s="99"/>
      <c r="E110" s="99"/>
      <c r="F110" s="112"/>
      <c r="G110" s="99"/>
      <c r="H110" s="99"/>
      <c r="I110" s="99"/>
      <c r="J110" s="99"/>
      <c r="K110" s="100"/>
      <c r="L110" s="99"/>
      <c r="M110" s="99"/>
      <c r="N110" s="99"/>
      <c r="O110" s="128"/>
      <c r="P110" s="99"/>
      <c r="Q110" s="99"/>
      <c r="S110" s="99"/>
      <c r="T110" s="99"/>
      <c r="U110" s="114"/>
    </row>
    <row r="111" spans="1:21" s="102" customFormat="1" ht="19">
      <c r="A111" s="113"/>
      <c r="B111" s="100"/>
      <c r="C111" s="99"/>
      <c r="D111" s="99"/>
      <c r="E111" s="99"/>
      <c r="F111" s="112"/>
      <c r="G111" s="99"/>
      <c r="H111" s="99"/>
      <c r="I111" s="99"/>
      <c r="J111" s="99"/>
      <c r="K111" s="100"/>
      <c r="L111" s="99"/>
      <c r="M111" s="99"/>
      <c r="N111" s="99"/>
      <c r="O111" s="128"/>
      <c r="P111" s="99"/>
      <c r="Q111" s="99"/>
      <c r="S111" s="99"/>
      <c r="T111" s="99"/>
      <c r="U111" s="114"/>
    </row>
    <row r="112" spans="1:21" s="102" customFormat="1" ht="19">
      <c r="A112" s="113"/>
      <c r="B112" s="100"/>
      <c r="C112" s="99"/>
      <c r="D112" s="99"/>
      <c r="E112" s="99"/>
      <c r="F112" s="112"/>
      <c r="G112" s="99"/>
      <c r="H112" s="99"/>
      <c r="I112" s="99"/>
      <c r="J112" s="99"/>
      <c r="K112" s="100"/>
      <c r="L112" s="99"/>
      <c r="M112" s="99"/>
      <c r="N112" s="99"/>
      <c r="O112" s="128"/>
      <c r="P112" s="99"/>
      <c r="Q112" s="99"/>
      <c r="S112" s="99"/>
      <c r="T112" s="99"/>
      <c r="U112" s="114"/>
    </row>
    <row r="113" spans="1:21" s="102" customFormat="1" ht="19">
      <c r="A113" s="113"/>
      <c r="B113" s="100"/>
      <c r="C113" s="99"/>
      <c r="D113" s="99"/>
      <c r="E113" s="99"/>
      <c r="F113" s="112"/>
      <c r="G113" s="99"/>
      <c r="H113" s="99"/>
      <c r="I113" s="99"/>
      <c r="J113" s="99"/>
      <c r="K113" s="100"/>
      <c r="L113" s="99"/>
      <c r="M113" s="99"/>
      <c r="N113" s="99"/>
      <c r="O113" s="128"/>
      <c r="P113" s="99"/>
      <c r="Q113" s="99"/>
      <c r="S113" s="99"/>
      <c r="T113" s="99"/>
      <c r="U113" s="114"/>
    </row>
    <row r="114" spans="1:21" s="102" customFormat="1" ht="19">
      <c r="A114" s="113"/>
      <c r="B114" s="100"/>
      <c r="C114" s="99"/>
      <c r="D114" s="99"/>
      <c r="E114" s="99"/>
      <c r="F114" s="112"/>
      <c r="G114" s="99"/>
      <c r="H114" s="99"/>
      <c r="I114" s="99"/>
      <c r="J114" s="99"/>
      <c r="K114" s="100"/>
      <c r="L114" s="99"/>
      <c r="M114" s="99"/>
      <c r="N114" s="99"/>
      <c r="O114" s="128"/>
      <c r="P114" s="99"/>
      <c r="Q114" s="99"/>
      <c r="S114" s="99"/>
      <c r="T114" s="99"/>
      <c r="U114" s="114"/>
    </row>
    <row r="115" spans="1:21" s="102" customFormat="1" ht="19">
      <c r="A115" s="113"/>
      <c r="B115" s="100"/>
      <c r="C115" s="99"/>
      <c r="D115" s="99"/>
      <c r="E115" s="99"/>
      <c r="F115" s="112"/>
      <c r="G115" s="99"/>
      <c r="H115" s="99"/>
      <c r="I115" s="99"/>
      <c r="J115" s="99"/>
      <c r="K115" s="100"/>
      <c r="L115" s="99"/>
      <c r="M115" s="99"/>
      <c r="N115" s="99"/>
      <c r="O115" s="128"/>
      <c r="P115" s="99"/>
      <c r="Q115" s="99"/>
      <c r="S115" s="99"/>
      <c r="T115" s="99"/>
      <c r="U115" s="114"/>
    </row>
    <row r="116" spans="1:21" s="102" customFormat="1" ht="19">
      <c r="A116" s="113"/>
      <c r="B116" s="100"/>
      <c r="C116" s="99"/>
      <c r="D116" s="99"/>
      <c r="E116" s="99"/>
      <c r="F116" s="112"/>
      <c r="G116" s="99"/>
      <c r="H116" s="99"/>
      <c r="I116" s="99"/>
      <c r="J116" s="99"/>
      <c r="K116" s="100"/>
      <c r="L116" s="99"/>
      <c r="M116" s="99"/>
      <c r="N116" s="99"/>
      <c r="O116" s="128"/>
      <c r="P116" s="99"/>
      <c r="Q116" s="99"/>
      <c r="S116" s="99"/>
      <c r="T116" s="99"/>
      <c r="U116" s="114"/>
    </row>
    <row r="117" spans="1:21" s="102" customFormat="1" ht="19">
      <c r="A117" s="113"/>
      <c r="B117" s="100"/>
      <c r="C117" s="99"/>
      <c r="D117" s="99"/>
      <c r="E117" s="99"/>
      <c r="F117" s="112"/>
      <c r="G117" s="99"/>
      <c r="H117" s="99"/>
      <c r="I117" s="99"/>
      <c r="J117" s="99"/>
      <c r="K117" s="100"/>
      <c r="L117" s="99"/>
      <c r="M117" s="99"/>
      <c r="N117" s="99"/>
      <c r="O117" s="128"/>
      <c r="P117" s="99"/>
      <c r="Q117" s="99"/>
      <c r="S117" s="99"/>
      <c r="T117" s="99"/>
      <c r="U117" s="114"/>
    </row>
    <row r="118" spans="1:21" s="102" customFormat="1" ht="19">
      <c r="A118" s="113"/>
      <c r="B118" s="100"/>
      <c r="C118" s="99"/>
      <c r="D118" s="99"/>
      <c r="E118" s="99"/>
      <c r="F118" s="112"/>
      <c r="G118" s="99"/>
      <c r="H118" s="99"/>
      <c r="I118" s="99"/>
      <c r="J118" s="99"/>
      <c r="K118" s="100"/>
      <c r="L118" s="99"/>
      <c r="M118" s="99"/>
      <c r="N118" s="99"/>
      <c r="O118" s="128"/>
      <c r="P118" s="99"/>
      <c r="Q118" s="99"/>
      <c r="S118" s="99"/>
      <c r="T118" s="99"/>
      <c r="U118" s="114"/>
    </row>
    <row r="119" spans="1:21" s="102" customFormat="1" ht="19">
      <c r="A119" s="113"/>
      <c r="B119" s="100"/>
      <c r="C119" s="99"/>
      <c r="D119" s="99"/>
      <c r="E119" s="99"/>
      <c r="F119" s="112"/>
      <c r="G119" s="99"/>
      <c r="H119" s="99"/>
      <c r="I119" s="99"/>
      <c r="J119" s="99"/>
      <c r="K119" s="100"/>
      <c r="L119" s="99"/>
      <c r="M119" s="99"/>
      <c r="N119" s="99"/>
      <c r="O119" s="128"/>
      <c r="P119" s="99"/>
      <c r="Q119" s="99"/>
      <c r="S119" s="99"/>
      <c r="T119" s="99"/>
      <c r="U119" s="114"/>
    </row>
    <row r="120" spans="1:21" s="102" customFormat="1" ht="19">
      <c r="A120" s="113"/>
      <c r="B120" s="100"/>
      <c r="C120" s="99"/>
      <c r="D120" s="99"/>
      <c r="E120" s="99"/>
      <c r="F120" s="112"/>
      <c r="G120" s="99"/>
      <c r="H120" s="99"/>
      <c r="I120" s="99"/>
      <c r="J120" s="99"/>
      <c r="K120" s="100"/>
      <c r="L120" s="99"/>
      <c r="M120" s="99"/>
      <c r="N120" s="99"/>
      <c r="O120" s="128"/>
      <c r="P120" s="99"/>
      <c r="Q120" s="99"/>
      <c r="S120" s="99"/>
      <c r="T120" s="99"/>
      <c r="U120" s="114"/>
    </row>
    <row r="121" spans="1:21" s="102" customFormat="1" ht="19">
      <c r="A121" s="113"/>
      <c r="B121" s="100"/>
      <c r="C121" s="99"/>
      <c r="D121" s="99"/>
      <c r="E121" s="99"/>
      <c r="F121" s="112"/>
      <c r="G121" s="99"/>
      <c r="H121" s="99"/>
      <c r="I121" s="99"/>
      <c r="J121" s="99"/>
      <c r="K121" s="100"/>
      <c r="L121" s="99"/>
      <c r="M121" s="99"/>
      <c r="N121" s="99"/>
      <c r="O121" s="128"/>
      <c r="P121" s="99"/>
      <c r="Q121" s="99"/>
      <c r="S121" s="99"/>
      <c r="T121" s="99"/>
      <c r="U121" s="114"/>
    </row>
    <row r="122" spans="1:21" s="102" customFormat="1" ht="19">
      <c r="A122" s="113"/>
      <c r="B122" s="100"/>
      <c r="C122" s="99"/>
      <c r="D122" s="99"/>
      <c r="E122" s="99"/>
      <c r="F122" s="112"/>
      <c r="G122" s="99"/>
      <c r="H122" s="99"/>
      <c r="I122" s="99"/>
      <c r="J122" s="99"/>
      <c r="K122" s="100"/>
      <c r="L122" s="99"/>
      <c r="M122" s="99"/>
      <c r="N122" s="99"/>
      <c r="O122" s="128"/>
      <c r="P122" s="99"/>
      <c r="Q122" s="99"/>
      <c r="S122" s="99"/>
      <c r="T122" s="99"/>
      <c r="U122" s="114"/>
    </row>
    <row r="123" spans="1:21" s="102" customFormat="1" ht="19">
      <c r="A123" s="113"/>
      <c r="B123" s="100"/>
      <c r="C123" s="99"/>
      <c r="D123" s="99"/>
      <c r="E123" s="99"/>
      <c r="F123" s="112"/>
      <c r="G123" s="99"/>
      <c r="H123" s="99"/>
      <c r="I123" s="99"/>
      <c r="J123" s="99"/>
      <c r="K123" s="100"/>
      <c r="L123" s="99"/>
      <c r="M123" s="99"/>
      <c r="N123" s="99"/>
      <c r="O123" s="128"/>
      <c r="P123" s="99"/>
      <c r="Q123" s="99"/>
      <c r="S123" s="99"/>
      <c r="T123" s="99"/>
      <c r="U123" s="114"/>
    </row>
    <row r="124" spans="1:21" s="102" customFormat="1" ht="19">
      <c r="A124" s="113"/>
      <c r="B124" s="100"/>
      <c r="C124" s="99"/>
      <c r="D124" s="99"/>
      <c r="E124" s="99"/>
      <c r="F124" s="112"/>
      <c r="G124" s="99"/>
      <c r="H124" s="99"/>
      <c r="I124" s="99"/>
      <c r="J124" s="99"/>
      <c r="K124" s="100"/>
      <c r="L124" s="99"/>
      <c r="M124" s="99"/>
      <c r="N124" s="99"/>
      <c r="O124" s="128"/>
      <c r="P124" s="99"/>
      <c r="Q124" s="99"/>
      <c r="S124" s="99"/>
      <c r="T124" s="99"/>
      <c r="U124" s="114"/>
    </row>
    <row r="125" spans="1:21" s="102" customFormat="1" ht="19">
      <c r="A125" s="113"/>
      <c r="B125" s="100"/>
      <c r="C125" s="99"/>
      <c r="D125" s="99"/>
      <c r="E125" s="99"/>
      <c r="F125" s="112"/>
      <c r="G125" s="99"/>
      <c r="H125" s="99"/>
      <c r="I125" s="99"/>
      <c r="J125" s="99"/>
      <c r="K125" s="100"/>
      <c r="L125" s="99"/>
      <c r="M125" s="99"/>
      <c r="N125" s="99"/>
      <c r="O125" s="128"/>
      <c r="P125" s="99"/>
      <c r="Q125" s="99"/>
      <c r="S125" s="99"/>
      <c r="T125" s="99"/>
      <c r="U125" s="114"/>
    </row>
    <row r="126" spans="1:21" s="102" customFormat="1" ht="19">
      <c r="A126" s="113"/>
      <c r="B126" s="100"/>
      <c r="C126" s="99"/>
      <c r="D126" s="99"/>
      <c r="E126" s="99"/>
      <c r="F126" s="112"/>
      <c r="G126" s="99"/>
      <c r="H126" s="99"/>
      <c r="I126" s="99"/>
      <c r="J126" s="99"/>
      <c r="K126" s="100"/>
      <c r="L126" s="99"/>
      <c r="M126" s="99"/>
      <c r="N126" s="99"/>
      <c r="O126" s="128"/>
      <c r="P126" s="99"/>
      <c r="Q126" s="99"/>
      <c r="S126" s="99"/>
      <c r="T126" s="101"/>
      <c r="U126" s="114"/>
    </row>
    <row r="127" spans="1:21" s="102" customFormat="1" ht="19">
      <c r="A127" s="113"/>
      <c r="B127" s="100"/>
      <c r="C127" s="99"/>
      <c r="D127" s="99"/>
      <c r="E127" s="99"/>
      <c r="F127" s="112"/>
      <c r="G127" s="99"/>
      <c r="H127" s="99"/>
      <c r="I127" s="99"/>
      <c r="J127" s="99"/>
      <c r="K127" s="100"/>
      <c r="L127" s="99"/>
      <c r="M127" s="99"/>
      <c r="N127" s="99"/>
      <c r="O127" s="128"/>
      <c r="P127" s="99"/>
      <c r="Q127" s="99"/>
      <c r="S127" s="99"/>
      <c r="T127" s="101"/>
      <c r="U127" s="114"/>
    </row>
    <row r="128" spans="1:21" s="102" customFormat="1" ht="19">
      <c r="A128" s="113"/>
      <c r="B128" s="100"/>
      <c r="C128" s="99"/>
      <c r="D128" s="99"/>
      <c r="E128" s="99"/>
      <c r="F128" s="112"/>
      <c r="G128" s="99"/>
      <c r="H128" s="99"/>
      <c r="I128" s="99"/>
      <c r="J128" s="99"/>
      <c r="K128" s="100"/>
      <c r="L128" s="99"/>
      <c r="M128" s="99"/>
      <c r="N128" s="99"/>
      <c r="O128" s="128"/>
      <c r="P128" s="99"/>
      <c r="Q128" s="99"/>
      <c r="S128" s="99"/>
      <c r="T128" s="101"/>
      <c r="U128" s="114"/>
    </row>
    <row r="129" spans="1:21" s="102" customFormat="1" ht="19">
      <c r="A129" s="113"/>
      <c r="B129" s="100"/>
      <c r="C129" s="99"/>
      <c r="D129" s="99"/>
      <c r="E129" s="99"/>
      <c r="F129" s="162"/>
      <c r="G129" s="99"/>
      <c r="H129" s="99"/>
      <c r="I129" s="99"/>
      <c r="J129" s="99"/>
      <c r="K129" s="100"/>
      <c r="L129" s="99"/>
      <c r="M129" s="99"/>
      <c r="N129" s="99"/>
      <c r="O129" s="128"/>
      <c r="P129" s="99"/>
      <c r="Q129" s="99"/>
      <c r="S129" s="99"/>
      <c r="T129" s="101"/>
      <c r="U129" s="114"/>
    </row>
    <row r="131" spans="1:21" ht="19">
      <c r="H131">
        <v>93</v>
      </c>
      <c r="I131" s="94" t="s">
        <v>1018</v>
      </c>
      <c r="J131" s="94">
        <v>15</v>
      </c>
      <c r="K131" s="94">
        <f>H131*J131</f>
        <v>1395</v>
      </c>
    </row>
    <row r="132" spans="1:21" ht="19">
      <c r="H132">
        <v>29</v>
      </c>
      <c r="I132" s="94" t="s">
        <v>1018</v>
      </c>
      <c r="J132" s="94">
        <v>20</v>
      </c>
      <c r="K132" s="94">
        <f t="shared" ref="K132:K133" si="1">H132*J132</f>
        <v>580</v>
      </c>
    </row>
    <row r="133" spans="1:21" ht="19">
      <c r="H133">
        <v>2</v>
      </c>
      <c r="I133" s="94" t="s">
        <v>1019</v>
      </c>
      <c r="J133" s="94">
        <v>30</v>
      </c>
      <c r="K133" s="94">
        <f t="shared" si="1"/>
        <v>60</v>
      </c>
    </row>
    <row r="134" spans="1:21">
      <c r="H134">
        <f>SUM(H131:H133)</f>
        <v>124</v>
      </c>
    </row>
    <row r="135" spans="1:21" ht="19">
      <c r="K135" s="119">
        <f>SUM(K131:K134)</f>
        <v>2035</v>
      </c>
    </row>
  </sheetData>
  <phoneticPr fontId="6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U21"/>
  <sheetViews>
    <sheetView zoomScale="120" zoomScaleNormal="120" workbookViewId="0">
      <selection activeCell="U12" sqref="U12"/>
    </sheetView>
  </sheetViews>
  <sheetFormatPr baseColWidth="10" defaultRowHeight="15"/>
  <cols>
    <col min="1" max="1" width="4.5" customWidth="1"/>
    <col min="2" max="2" width="11" customWidth="1"/>
    <col min="3" max="3" width="19" customWidth="1"/>
    <col min="4" max="4" width="20.1640625" customWidth="1"/>
    <col min="5" max="5" width="12.83203125" customWidth="1"/>
    <col min="6" max="6" width="38.1640625" customWidth="1"/>
    <col min="7" max="7" width="18" customWidth="1"/>
    <col min="8" max="8" width="9.6640625" customWidth="1"/>
    <col min="9" max="9" width="8.6640625" customWidth="1"/>
    <col min="10" max="10" width="9.5" customWidth="1"/>
    <col min="11" max="11" width="12" customWidth="1"/>
    <col min="12" max="12" width="23" customWidth="1"/>
    <col min="13" max="13" width="27.33203125" customWidth="1"/>
    <col min="14" max="14" width="17.1640625" customWidth="1"/>
    <col min="15" max="15" width="11.83203125" style="118" customWidth="1"/>
    <col min="16" max="16" width="20.1640625" customWidth="1"/>
    <col min="17" max="17" width="12.33203125" customWidth="1"/>
    <col min="18" max="18" width="6.1640625" customWidth="1"/>
    <col min="19" max="19" width="19.83203125" customWidth="1"/>
    <col min="20" max="20" width="18.5" customWidth="1"/>
    <col min="21" max="21" width="37.83203125" customWidth="1"/>
  </cols>
  <sheetData>
    <row r="2" spans="1:21" ht="18"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115"/>
      <c r="P2" s="44"/>
      <c r="Q2" s="44"/>
      <c r="R2" s="44"/>
      <c r="S2" s="44"/>
      <c r="T2" s="44"/>
    </row>
    <row r="3" spans="1:21" ht="18">
      <c r="A3" s="65"/>
      <c r="B3" s="66"/>
      <c r="C3" s="67" t="s">
        <v>44</v>
      </c>
      <c r="D3" s="68"/>
      <c r="E3" s="69"/>
      <c r="F3" s="68"/>
      <c r="G3" s="70"/>
      <c r="H3" s="68"/>
      <c r="I3" s="68"/>
      <c r="J3" s="68"/>
      <c r="K3" s="71"/>
      <c r="L3" s="71"/>
      <c r="M3" s="68"/>
      <c r="N3" s="68"/>
      <c r="O3" s="116"/>
      <c r="P3" s="68"/>
      <c r="Q3" s="68"/>
      <c r="R3" s="68"/>
      <c r="S3" s="68"/>
      <c r="T3" s="68"/>
      <c r="U3" s="72"/>
    </row>
    <row r="4" spans="1:21" ht="16" customHeight="1">
      <c r="A4" s="65"/>
      <c r="B4" s="66"/>
      <c r="C4" s="73" t="s">
        <v>45</v>
      </c>
      <c r="D4" s="68"/>
      <c r="E4" s="68"/>
      <c r="F4" s="68"/>
      <c r="G4" s="70"/>
      <c r="H4" s="68"/>
      <c r="I4" s="68" t="s">
        <v>46</v>
      </c>
      <c r="J4" s="68"/>
      <c r="K4" s="71"/>
      <c r="L4" s="71"/>
      <c r="M4" s="68" t="s">
        <v>1033</v>
      </c>
      <c r="N4" s="68"/>
      <c r="O4" s="116"/>
      <c r="P4" s="68"/>
      <c r="Q4" s="74"/>
      <c r="R4" s="68"/>
      <c r="S4" s="68"/>
      <c r="T4" s="75"/>
      <c r="U4" s="76">
        <v>46054</v>
      </c>
    </row>
    <row r="5" spans="1:21" s="1" customFormat="1" ht="53" customHeight="1">
      <c r="A5" s="77"/>
      <c r="B5" s="78" t="s">
        <v>26</v>
      </c>
      <c r="C5" s="78" t="s">
        <v>27</v>
      </c>
      <c r="D5" s="78" t="s">
        <v>28</v>
      </c>
      <c r="E5" s="78" t="s">
        <v>29</v>
      </c>
      <c r="F5" s="78" t="s">
        <v>30</v>
      </c>
      <c r="G5" s="78" t="s">
        <v>31</v>
      </c>
      <c r="H5" s="78" t="s">
        <v>32</v>
      </c>
      <c r="I5" s="78" t="s">
        <v>33</v>
      </c>
      <c r="J5" s="78" t="s">
        <v>34</v>
      </c>
      <c r="K5" s="79" t="s">
        <v>47</v>
      </c>
      <c r="L5" s="79" t="s">
        <v>36</v>
      </c>
      <c r="M5" s="79" t="s">
        <v>37</v>
      </c>
      <c r="N5" s="79" t="s">
        <v>38</v>
      </c>
      <c r="O5" s="117" t="s">
        <v>39</v>
      </c>
      <c r="P5" s="79" t="s">
        <v>48</v>
      </c>
      <c r="Q5" s="79" t="s">
        <v>49</v>
      </c>
      <c r="R5" s="80" t="s">
        <v>50</v>
      </c>
      <c r="S5" s="80" t="s">
        <v>23</v>
      </c>
      <c r="T5" s="81" t="s">
        <v>42</v>
      </c>
      <c r="U5" s="79" t="s">
        <v>51</v>
      </c>
    </row>
    <row r="6" spans="1:21" s="102" customFormat="1" ht="19">
      <c r="A6" s="113"/>
      <c r="B6" s="100"/>
      <c r="C6" s="99"/>
      <c r="D6" s="99"/>
      <c r="E6" s="99"/>
      <c r="F6" s="112" t="e">
        <f t="shared" ref="F6:F11" si="0">VLOOKUP(E6,PROD,2,FALSE)</f>
        <v>#N/A</v>
      </c>
      <c r="G6" s="99"/>
      <c r="H6" s="99" t="s">
        <v>1034</v>
      </c>
      <c r="I6" s="99" t="s">
        <v>1035</v>
      </c>
      <c r="J6" s="99" t="s">
        <v>1036</v>
      </c>
      <c r="K6" s="100"/>
      <c r="L6" s="99"/>
      <c r="M6" s="99"/>
      <c r="N6" s="99"/>
      <c r="O6" s="128">
        <v>29</v>
      </c>
      <c r="P6" s="99" t="s">
        <v>1037</v>
      </c>
      <c r="Q6" s="99" t="s">
        <v>1035</v>
      </c>
      <c r="S6" s="99"/>
      <c r="T6" s="99"/>
      <c r="U6" s="114"/>
    </row>
    <row r="7" spans="1:21" s="102" customFormat="1" ht="19">
      <c r="A7" s="113"/>
      <c r="B7" s="100"/>
      <c r="C7" s="99"/>
      <c r="D7" s="99"/>
      <c r="E7" s="99"/>
      <c r="F7" s="112"/>
      <c r="G7" s="99"/>
      <c r="H7" s="99"/>
      <c r="I7" s="99"/>
      <c r="J7" s="99"/>
      <c r="K7" s="100"/>
      <c r="L7" s="99"/>
      <c r="M7" s="99"/>
      <c r="N7" s="99"/>
      <c r="O7" s="128"/>
      <c r="P7" s="99"/>
      <c r="Q7" s="99"/>
      <c r="S7" s="99"/>
      <c r="T7" s="99"/>
      <c r="U7" s="114"/>
    </row>
    <row r="8" spans="1:21" s="102" customFormat="1" ht="19">
      <c r="A8" s="113"/>
      <c r="B8" s="100"/>
      <c r="C8" s="99"/>
      <c r="D8" s="99"/>
      <c r="E8" s="99"/>
      <c r="F8" s="112"/>
      <c r="G8" s="99"/>
      <c r="H8" s="99"/>
      <c r="I8" s="99"/>
      <c r="J8" s="99"/>
      <c r="K8" s="100"/>
      <c r="L8" s="99"/>
      <c r="M8" s="99"/>
      <c r="N8" s="99"/>
      <c r="O8" s="128"/>
      <c r="P8" s="99"/>
      <c r="Q8" s="99"/>
      <c r="S8" s="99"/>
      <c r="T8" s="101"/>
      <c r="U8" s="114"/>
    </row>
    <row r="9" spans="1:21" s="102" customFormat="1" ht="19">
      <c r="A9" s="113"/>
      <c r="B9" s="100"/>
      <c r="C9" s="99"/>
      <c r="D9" s="99"/>
      <c r="E9" s="99"/>
      <c r="F9" s="112"/>
      <c r="G9" s="99"/>
      <c r="H9" s="99"/>
      <c r="I9" s="99"/>
      <c r="J9" s="99"/>
      <c r="K9" s="100"/>
      <c r="L9" s="99"/>
      <c r="M9" s="99"/>
      <c r="N9" s="99"/>
      <c r="O9" s="128"/>
      <c r="P9" s="99"/>
      <c r="Q9" s="99"/>
      <c r="S9" s="99"/>
      <c r="T9" s="101"/>
      <c r="U9" s="114"/>
    </row>
    <row r="10" spans="1:21" s="102" customFormat="1" ht="19">
      <c r="A10" s="113"/>
      <c r="B10" s="100"/>
      <c r="C10" s="99"/>
      <c r="D10" s="99"/>
      <c r="E10" s="99"/>
      <c r="F10" s="112"/>
      <c r="G10" s="99"/>
      <c r="H10" s="99"/>
      <c r="I10" s="99"/>
      <c r="J10" s="99"/>
      <c r="K10" s="100"/>
      <c r="L10" s="99"/>
      <c r="M10" s="99"/>
      <c r="N10" s="99"/>
      <c r="O10" s="128"/>
      <c r="P10" s="99"/>
      <c r="Q10" s="99"/>
      <c r="S10" s="99"/>
      <c r="T10" s="99"/>
      <c r="U10" s="114"/>
    </row>
    <row r="11" spans="1:21" s="102" customFormat="1" ht="19">
      <c r="A11" s="113"/>
      <c r="B11" s="100"/>
      <c r="C11" s="99"/>
      <c r="D11" s="99"/>
      <c r="E11" s="99"/>
      <c r="F11" s="112"/>
      <c r="G11" s="99"/>
      <c r="H11" s="99"/>
      <c r="I11" s="99"/>
      <c r="J11" s="99"/>
      <c r="K11" s="100"/>
      <c r="L11" s="99"/>
      <c r="M11" s="99"/>
      <c r="N11" s="99"/>
      <c r="O11" s="128"/>
      <c r="P11" s="99"/>
      <c r="Q11" s="99"/>
      <c r="S11" s="99"/>
      <c r="T11" s="101"/>
      <c r="U11" s="114"/>
    </row>
    <row r="12" spans="1:21">
      <c r="O12" s="118">
        <f>SUM(O6:O11)</f>
        <v>29</v>
      </c>
    </row>
    <row r="13" spans="1:21" ht="19">
      <c r="E13" s="108"/>
      <c r="J13" t="s">
        <v>46</v>
      </c>
      <c r="K13">
        <v>29</v>
      </c>
      <c r="L13">
        <v>174</v>
      </c>
    </row>
    <row r="21" spans="13:13">
      <c r="M21" t="s">
        <v>1045</v>
      </c>
    </row>
  </sheetData>
  <phoneticPr fontId="6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6" tint="-0.249977111117893"/>
  </sheetPr>
  <dimension ref="A1:B907"/>
  <sheetViews>
    <sheetView workbookViewId="0">
      <selection activeCell="A643" sqref="A1:B907"/>
    </sheetView>
  </sheetViews>
  <sheetFormatPr baseColWidth="10" defaultRowHeight="15"/>
  <cols>
    <col min="2" max="2" width="81.5" bestFit="1" customWidth="1"/>
  </cols>
  <sheetData>
    <row r="1" spans="1:2">
      <c r="A1" t="s">
        <v>52</v>
      </c>
      <c r="B1" t="s">
        <v>53</v>
      </c>
    </row>
    <row r="2" spans="1:2" hidden="1">
      <c r="A2" t="s">
        <v>54</v>
      </c>
      <c r="B2" t="s">
        <v>55</v>
      </c>
    </row>
    <row r="3" spans="1:2" hidden="1">
      <c r="A3">
        <v>915061</v>
      </c>
      <c r="B3" t="s">
        <v>56</v>
      </c>
    </row>
    <row r="4" spans="1:2" hidden="1">
      <c r="A4">
        <v>981061</v>
      </c>
      <c r="B4" t="s">
        <v>57</v>
      </c>
    </row>
    <row r="5" spans="1:2" hidden="1">
      <c r="A5">
        <v>982061</v>
      </c>
      <c r="B5" t="s">
        <v>58</v>
      </c>
    </row>
    <row r="6" spans="1:2" hidden="1">
      <c r="A6">
        <v>1010061</v>
      </c>
      <c r="B6" t="s">
        <v>59</v>
      </c>
    </row>
    <row r="7" spans="1:2" hidden="1">
      <c r="A7">
        <v>1070061</v>
      </c>
      <c r="B7" t="s">
        <v>60</v>
      </c>
    </row>
    <row r="8" spans="1:2" hidden="1">
      <c r="A8">
        <v>1080061</v>
      </c>
      <c r="B8" t="s">
        <v>61</v>
      </c>
    </row>
    <row r="9" spans="1:2" hidden="1">
      <c r="A9">
        <v>8731112</v>
      </c>
      <c r="B9" t="s">
        <v>62</v>
      </c>
    </row>
    <row r="10" spans="1:2" hidden="1">
      <c r="A10">
        <v>10101003</v>
      </c>
      <c r="B10" t="s">
        <v>63</v>
      </c>
    </row>
    <row r="11" spans="1:2" hidden="1">
      <c r="A11">
        <v>10101102</v>
      </c>
      <c r="B11" t="s">
        <v>64</v>
      </c>
    </row>
    <row r="12" spans="1:2" hidden="1">
      <c r="A12">
        <v>10101103</v>
      </c>
      <c r="B12" t="s">
        <v>65</v>
      </c>
    </row>
    <row r="13" spans="1:2" hidden="1">
      <c r="A13">
        <v>10103001</v>
      </c>
      <c r="B13" t="s">
        <v>66</v>
      </c>
    </row>
    <row r="14" spans="1:2" hidden="1">
      <c r="A14">
        <v>10104078</v>
      </c>
      <c r="B14" t="s">
        <v>67</v>
      </c>
    </row>
    <row r="15" spans="1:2" hidden="1">
      <c r="A15">
        <v>10104309</v>
      </c>
      <c r="B15" t="s">
        <v>68</v>
      </c>
    </row>
    <row r="16" spans="1:2" hidden="1">
      <c r="A16">
        <v>10104310</v>
      </c>
      <c r="B16" t="s">
        <v>69</v>
      </c>
    </row>
    <row r="17" spans="1:2" hidden="1">
      <c r="A17">
        <v>10105252</v>
      </c>
      <c r="B17" t="s">
        <v>70</v>
      </c>
    </row>
    <row r="18" spans="1:2" hidden="1">
      <c r="A18">
        <v>10107004</v>
      </c>
      <c r="B18" t="s">
        <v>71</v>
      </c>
    </row>
    <row r="19" spans="1:2" hidden="1">
      <c r="A19">
        <v>10107015</v>
      </c>
      <c r="B19" t="s">
        <v>72</v>
      </c>
    </row>
    <row r="20" spans="1:2" hidden="1">
      <c r="A20">
        <v>10107017</v>
      </c>
      <c r="B20" t="s">
        <v>73</v>
      </c>
    </row>
    <row r="21" spans="1:2" hidden="1">
      <c r="A21">
        <v>10108009</v>
      </c>
      <c r="B21" t="s">
        <v>74</v>
      </c>
    </row>
    <row r="22" spans="1:2" hidden="1">
      <c r="A22">
        <v>10108035</v>
      </c>
      <c r="B22" t="s">
        <v>75</v>
      </c>
    </row>
    <row r="23" spans="1:2" hidden="1">
      <c r="A23">
        <v>10110004</v>
      </c>
      <c r="B23" t="s">
        <v>76</v>
      </c>
    </row>
    <row r="24" spans="1:2" hidden="1">
      <c r="A24">
        <v>10111005</v>
      </c>
      <c r="B24" t="s">
        <v>77</v>
      </c>
    </row>
    <row r="25" spans="1:2" hidden="1">
      <c r="A25">
        <v>10118002</v>
      </c>
      <c r="B25" t="s">
        <v>78</v>
      </c>
    </row>
    <row r="26" spans="1:2" hidden="1">
      <c r="A26">
        <v>10118004</v>
      </c>
      <c r="B26" t="s">
        <v>79</v>
      </c>
    </row>
    <row r="27" spans="1:2" hidden="1">
      <c r="A27">
        <v>10118005</v>
      </c>
      <c r="B27" t="s">
        <v>80</v>
      </c>
    </row>
    <row r="28" spans="1:2" hidden="1">
      <c r="A28">
        <v>10119007</v>
      </c>
      <c r="B28" t="s">
        <v>81</v>
      </c>
    </row>
    <row r="29" spans="1:2" hidden="1">
      <c r="A29">
        <v>10119011</v>
      </c>
      <c r="B29" t="s">
        <v>82</v>
      </c>
    </row>
    <row r="30" spans="1:2" hidden="1">
      <c r="A30">
        <v>10119013</v>
      </c>
      <c r="B30" t="s">
        <v>83</v>
      </c>
    </row>
    <row r="31" spans="1:2" hidden="1">
      <c r="A31">
        <v>10119021</v>
      </c>
      <c r="B31" t="s">
        <v>84</v>
      </c>
    </row>
    <row r="32" spans="1:2" hidden="1">
      <c r="A32">
        <v>10119038</v>
      </c>
      <c r="B32" t="s">
        <v>85</v>
      </c>
    </row>
    <row r="33" spans="1:2" hidden="1">
      <c r="A33">
        <v>10119080</v>
      </c>
      <c r="B33" t="s">
        <v>86</v>
      </c>
    </row>
    <row r="34" spans="1:2" hidden="1">
      <c r="A34">
        <v>10119081</v>
      </c>
      <c r="B34" t="s">
        <v>87</v>
      </c>
    </row>
    <row r="35" spans="1:2" hidden="1">
      <c r="A35">
        <v>10120025</v>
      </c>
      <c r="B35" t="s">
        <v>88</v>
      </c>
    </row>
    <row r="36" spans="1:2" hidden="1">
      <c r="A36">
        <v>10120028</v>
      </c>
      <c r="B36" t="s">
        <v>89</v>
      </c>
    </row>
    <row r="37" spans="1:2" hidden="1">
      <c r="A37">
        <v>10120098</v>
      </c>
      <c r="B37" t="s">
        <v>90</v>
      </c>
    </row>
    <row r="38" spans="1:2" hidden="1">
      <c r="A38">
        <v>10120117</v>
      </c>
      <c r="B38" t="s">
        <v>91</v>
      </c>
    </row>
    <row r="39" spans="1:2" hidden="1">
      <c r="A39">
        <v>10124066</v>
      </c>
      <c r="B39" t="s">
        <v>92</v>
      </c>
    </row>
    <row r="40" spans="1:2" hidden="1">
      <c r="A40">
        <v>10125003</v>
      </c>
      <c r="B40" t="s">
        <v>93</v>
      </c>
    </row>
    <row r="41" spans="1:2" hidden="1">
      <c r="A41">
        <v>10125004</v>
      </c>
      <c r="B41" t="s">
        <v>94</v>
      </c>
    </row>
    <row r="42" spans="1:2" hidden="1">
      <c r="A42">
        <v>10125006</v>
      </c>
      <c r="B42" t="s">
        <v>95</v>
      </c>
    </row>
    <row r="43" spans="1:2" hidden="1">
      <c r="A43">
        <v>10125019</v>
      </c>
      <c r="B43" t="s">
        <v>96</v>
      </c>
    </row>
    <row r="44" spans="1:2" hidden="1">
      <c r="A44">
        <v>10125041</v>
      </c>
      <c r="B44" t="s">
        <v>97</v>
      </c>
    </row>
    <row r="45" spans="1:2" hidden="1">
      <c r="A45">
        <v>10125042</v>
      </c>
      <c r="B45" t="s">
        <v>98</v>
      </c>
    </row>
    <row r="46" spans="1:2" hidden="1">
      <c r="A46">
        <v>10125047</v>
      </c>
      <c r="B46" t="s">
        <v>99</v>
      </c>
    </row>
    <row r="47" spans="1:2" hidden="1">
      <c r="A47">
        <v>10125048</v>
      </c>
      <c r="B47" t="s">
        <v>100</v>
      </c>
    </row>
    <row r="48" spans="1:2" hidden="1">
      <c r="A48">
        <v>10125073</v>
      </c>
      <c r="B48" t="s">
        <v>101</v>
      </c>
    </row>
    <row r="49" spans="1:2" hidden="1">
      <c r="A49">
        <v>10125077</v>
      </c>
      <c r="B49" t="s">
        <v>102</v>
      </c>
    </row>
    <row r="50" spans="1:2" hidden="1">
      <c r="A50">
        <v>10125085</v>
      </c>
      <c r="B50" t="s">
        <v>103</v>
      </c>
    </row>
    <row r="51" spans="1:2" hidden="1">
      <c r="A51">
        <v>10125114</v>
      </c>
      <c r="B51" t="s">
        <v>104</v>
      </c>
    </row>
    <row r="52" spans="1:2" hidden="1">
      <c r="A52">
        <v>10125121</v>
      </c>
      <c r="B52" t="s">
        <v>105</v>
      </c>
    </row>
    <row r="53" spans="1:2" hidden="1">
      <c r="A53">
        <v>10125122</v>
      </c>
      <c r="B53" t="s">
        <v>106</v>
      </c>
    </row>
    <row r="54" spans="1:2" hidden="1">
      <c r="A54">
        <v>10125124</v>
      </c>
      <c r="B54" t="s">
        <v>107</v>
      </c>
    </row>
    <row r="55" spans="1:2" hidden="1">
      <c r="A55">
        <v>10125134</v>
      </c>
      <c r="B55" t="s">
        <v>108</v>
      </c>
    </row>
    <row r="56" spans="1:2" hidden="1">
      <c r="A56">
        <v>10125148</v>
      </c>
      <c r="B56" t="s">
        <v>109</v>
      </c>
    </row>
    <row r="57" spans="1:2" hidden="1">
      <c r="A57">
        <v>10125155</v>
      </c>
      <c r="B57" t="s">
        <v>110</v>
      </c>
    </row>
    <row r="58" spans="1:2" hidden="1">
      <c r="A58">
        <v>10125166</v>
      </c>
      <c r="B58" t="s">
        <v>111</v>
      </c>
    </row>
    <row r="59" spans="1:2" hidden="1">
      <c r="A59">
        <v>10131004</v>
      </c>
      <c r="B59" t="s">
        <v>112</v>
      </c>
    </row>
    <row r="60" spans="1:2" hidden="1">
      <c r="A60">
        <v>10131009</v>
      </c>
      <c r="B60" t="s">
        <v>113</v>
      </c>
    </row>
    <row r="61" spans="1:2" hidden="1">
      <c r="A61">
        <v>10131033</v>
      </c>
      <c r="B61" t="s">
        <v>114</v>
      </c>
    </row>
    <row r="62" spans="1:2" hidden="1">
      <c r="A62">
        <v>10133010</v>
      </c>
      <c r="B62" t="s">
        <v>115</v>
      </c>
    </row>
    <row r="63" spans="1:2" hidden="1">
      <c r="A63">
        <v>10133011</v>
      </c>
      <c r="B63" t="s">
        <v>116</v>
      </c>
    </row>
    <row r="64" spans="1:2" hidden="1">
      <c r="A64">
        <v>10135012</v>
      </c>
      <c r="B64" t="s">
        <v>117</v>
      </c>
    </row>
    <row r="65" spans="1:2" hidden="1">
      <c r="A65">
        <v>10135013</v>
      </c>
      <c r="B65" t="s">
        <v>118</v>
      </c>
    </row>
    <row r="66" spans="1:2" hidden="1">
      <c r="A66">
        <v>10135014</v>
      </c>
      <c r="B66" t="s">
        <v>119</v>
      </c>
    </row>
    <row r="67" spans="1:2" hidden="1">
      <c r="A67">
        <v>10135015</v>
      </c>
      <c r="B67" t="s">
        <v>120</v>
      </c>
    </row>
    <row r="68" spans="1:2" hidden="1">
      <c r="A68">
        <v>10135016</v>
      </c>
      <c r="B68" t="s">
        <v>121</v>
      </c>
    </row>
    <row r="69" spans="1:2" hidden="1">
      <c r="A69">
        <v>10135017</v>
      </c>
      <c r="B69" t="s">
        <v>122</v>
      </c>
    </row>
    <row r="70" spans="1:2" hidden="1">
      <c r="A70">
        <v>10135018</v>
      </c>
      <c r="B70" t="s">
        <v>123</v>
      </c>
    </row>
    <row r="71" spans="1:2" hidden="1">
      <c r="A71">
        <v>10135019</v>
      </c>
      <c r="B71" t="s">
        <v>124</v>
      </c>
    </row>
    <row r="72" spans="1:2" hidden="1">
      <c r="A72">
        <v>10136001</v>
      </c>
      <c r="B72" t="s">
        <v>125</v>
      </c>
    </row>
    <row r="73" spans="1:2" hidden="1">
      <c r="A73">
        <v>10138002</v>
      </c>
      <c r="B73" t="s">
        <v>126</v>
      </c>
    </row>
    <row r="74" spans="1:2" hidden="1">
      <c r="A74">
        <v>10138003</v>
      </c>
      <c r="B74" t="s">
        <v>127</v>
      </c>
    </row>
    <row r="75" spans="1:2" hidden="1">
      <c r="A75">
        <v>10138005</v>
      </c>
      <c r="B75" t="s">
        <v>128</v>
      </c>
    </row>
    <row r="76" spans="1:2" hidden="1">
      <c r="A76">
        <v>10138006</v>
      </c>
      <c r="B76" t="s">
        <v>129</v>
      </c>
    </row>
    <row r="77" spans="1:2" hidden="1">
      <c r="A77">
        <v>10138011</v>
      </c>
      <c r="B77" t="s">
        <v>130</v>
      </c>
    </row>
    <row r="78" spans="1:2" hidden="1">
      <c r="A78">
        <v>10181650</v>
      </c>
      <c r="B78" t="s">
        <v>131</v>
      </c>
    </row>
    <row r="79" spans="1:2" hidden="1">
      <c r="A79">
        <v>10181651</v>
      </c>
      <c r="B79" t="s">
        <v>132</v>
      </c>
    </row>
    <row r="80" spans="1:2" hidden="1">
      <c r="A80">
        <v>10181711</v>
      </c>
      <c r="B80" t="s">
        <v>133</v>
      </c>
    </row>
    <row r="81" spans="1:2" hidden="1">
      <c r="A81">
        <v>10184550</v>
      </c>
      <c r="B81" t="s">
        <v>134</v>
      </c>
    </row>
    <row r="82" spans="1:2" hidden="1">
      <c r="A82">
        <v>10184551</v>
      </c>
      <c r="B82" t="s">
        <v>135</v>
      </c>
    </row>
    <row r="83" spans="1:2" hidden="1">
      <c r="A83">
        <v>10184812</v>
      </c>
      <c r="B83" t="s">
        <v>136</v>
      </c>
    </row>
    <row r="84" spans="1:2" hidden="1">
      <c r="A84">
        <v>1019700</v>
      </c>
      <c r="B84" t="s">
        <v>137</v>
      </c>
    </row>
    <row r="85" spans="1:2" hidden="1">
      <c r="A85">
        <v>10204016</v>
      </c>
      <c r="B85" t="s">
        <v>138</v>
      </c>
    </row>
    <row r="86" spans="1:2" hidden="1">
      <c r="A86">
        <v>10204086</v>
      </c>
      <c r="B86" t="s">
        <v>139</v>
      </c>
    </row>
    <row r="87" spans="1:2" hidden="1">
      <c r="A87">
        <v>10204103</v>
      </c>
      <c r="B87" t="s">
        <v>140</v>
      </c>
    </row>
    <row r="88" spans="1:2" hidden="1">
      <c r="A88">
        <v>10204686</v>
      </c>
      <c r="B88" t="s">
        <v>141</v>
      </c>
    </row>
    <row r="89" spans="1:2" hidden="1">
      <c r="A89">
        <v>10205013</v>
      </c>
      <c r="B89" t="s">
        <v>142</v>
      </c>
    </row>
    <row r="90" spans="1:2" hidden="1">
      <c r="A90">
        <v>10205014</v>
      </c>
      <c r="B90" t="s">
        <v>143</v>
      </c>
    </row>
    <row r="91" spans="1:2" hidden="1">
      <c r="A91">
        <v>10205018</v>
      </c>
      <c r="B91" t="s">
        <v>144</v>
      </c>
    </row>
    <row r="92" spans="1:2" hidden="1">
      <c r="A92">
        <v>10205047</v>
      </c>
      <c r="B92" t="s">
        <v>145</v>
      </c>
    </row>
    <row r="93" spans="1:2" hidden="1">
      <c r="A93">
        <v>10205048</v>
      </c>
      <c r="B93" t="s">
        <v>146</v>
      </c>
    </row>
    <row r="94" spans="1:2" hidden="1">
      <c r="A94">
        <v>10205049</v>
      </c>
      <c r="B94" t="s">
        <v>147</v>
      </c>
    </row>
    <row r="95" spans="1:2" hidden="1">
      <c r="A95">
        <v>10205050</v>
      </c>
      <c r="B95" t="s">
        <v>148</v>
      </c>
    </row>
    <row r="96" spans="1:2" hidden="1">
      <c r="A96">
        <v>10206007</v>
      </c>
      <c r="B96" t="s">
        <v>149</v>
      </c>
    </row>
    <row r="97" spans="1:2" hidden="1">
      <c r="A97">
        <v>10206062</v>
      </c>
      <c r="B97" t="s">
        <v>150</v>
      </c>
    </row>
    <row r="98" spans="1:2" hidden="1">
      <c r="A98">
        <v>10206064</v>
      </c>
      <c r="B98" t="s">
        <v>151</v>
      </c>
    </row>
    <row r="99" spans="1:2" hidden="1">
      <c r="A99">
        <v>10208009</v>
      </c>
      <c r="B99" t="s">
        <v>152</v>
      </c>
    </row>
    <row r="100" spans="1:2" hidden="1">
      <c r="A100">
        <v>10208036</v>
      </c>
      <c r="B100" t="s">
        <v>153</v>
      </c>
    </row>
    <row r="101" spans="1:2" hidden="1">
      <c r="A101">
        <v>10208093</v>
      </c>
      <c r="B101" t="s">
        <v>154</v>
      </c>
    </row>
    <row r="102" spans="1:2" hidden="1">
      <c r="A102">
        <v>10209025</v>
      </c>
      <c r="B102" t="s">
        <v>155</v>
      </c>
    </row>
    <row r="103" spans="1:2" hidden="1">
      <c r="A103">
        <v>10209029</v>
      </c>
      <c r="B103" t="s">
        <v>156</v>
      </c>
    </row>
    <row r="104" spans="1:2" hidden="1">
      <c r="A104">
        <v>10209055</v>
      </c>
      <c r="B104" t="s">
        <v>157</v>
      </c>
    </row>
    <row r="105" spans="1:2" hidden="1">
      <c r="A105">
        <v>10210002</v>
      </c>
      <c r="B105" t="s">
        <v>158</v>
      </c>
    </row>
    <row r="106" spans="1:2" hidden="1">
      <c r="A106">
        <v>10210005</v>
      </c>
      <c r="B106" t="s">
        <v>159</v>
      </c>
    </row>
    <row r="107" spans="1:2" hidden="1">
      <c r="A107">
        <v>10210009</v>
      </c>
      <c r="B107" t="s">
        <v>160</v>
      </c>
    </row>
    <row r="108" spans="1:2" hidden="1">
      <c r="A108">
        <v>10210011</v>
      </c>
      <c r="B108" t="s">
        <v>161</v>
      </c>
    </row>
    <row r="109" spans="1:2" hidden="1">
      <c r="A109">
        <v>10210020</v>
      </c>
      <c r="B109" t="s">
        <v>162</v>
      </c>
    </row>
    <row r="110" spans="1:2" hidden="1">
      <c r="A110">
        <v>10210022</v>
      </c>
      <c r="B110" t="s">
        <v>163</v>
      </c>
    </row>
    <row r="111" spans="1:2" hidden="1">
      <c r="A111">
        <v>10210028</v>
      </c>
      <c r="B111" t="s">
        <v>164</v>
      </c>
    </row>
    <row r="112" spans="1:2" hidden="1">
      <c r="A112">
        <v>10210029</v>
      </c>
      <c r="B112" t="s">
        <v>165</v>
      </c>
    </row>
    <row r="113" spans="1:2" hidden="1">
      <c r="A113">
        <v>10210042</v>
      </c>
      <c r="B113" t="s">
        <v>166</v>
      </c>
    </row>
    <row r="114" spans="1:2" hidden="1">
      <c r="A114">
        <v>10210065</v>
      </c>
      <c r="B114" t="s">
        <v>167</v>
      </c>
    </row>
    <row r="115" spans="1:2" hidden="1">
      <c r="A115">
        <v>10210068</v>
      </c>
      <c r="B115" t="s">
        <v>168</v>
      </c>
    </row>
    <row r="116" spans="1:2" hidden="1">
      <c r="A116">
        <v>10210071</v>
      </c>
      <c r="B116" t="s">
        <v>169</v>
      </c>
    </row>
    <row r="117" spans="1:2" hidden="1">
      <c r="A117">
        <v>10210072</v>
      </c>
      <c r="B117" t="s">
        <v>170</v>
      </c>
    </row>
    <row r="118" spans="1:2" hidden="1">
      <c r="A118">
        <v>10210084</v>
      </c>
      <c r="B118" t="s">
        <v>171</v>
      </c>
    </row>
    <row r="119" spans="1:2" hidden="1">
      <c r="A119">
        <v>10210085</v>
      </c>
      <c r="B119" t="s">
        <v>172</v>
      </c>
    </row>
    <row r="120" spans="1:2" hidden="1">
      <c r="A120">
        <v>10210088</v>
      </c>
      <c r="B120" t="s">
        <v>173</v>
      </c>
    </row>
    <row r="121" spans="1:2" hidden="1">
      <c r="A121">
        <v>10210109</v>
      </c>
      <c r="B121" t="s">
        <v>174</v>
      </c>
    </row>
    <row r="122" spans="1:2" hidden="1">
      <c r="A122">
        <v>10210145</v>
      </c>
      <c r="B122" t="s">
        <v>175</v>
      </c>
    </row>
    <row r="123" spans="1:2" hidden="1">
      <c r="A123">
        <v>10210146</v>
      </c>
      <c r="B123" t="s">
        <v>176</v>
      </c>
    </row>
    <row r="124" spans="1:2" hidden="1">
      <c r="A124">
        <v>10210147</v>
      </c>
      <c r="B124" t="s">
        <v>177</v>
      </c>
    </row>
    <row r="125" spans="1:2" hidden="1">
      <c r="A125">
        <v>10210148</v>
      </c>
      <c r="B125" t="s">
        <v>178</v>
      </c>
    </row>
    <row r="126" spans="1:2" hidden="1">
      <c r="A126">
        <v>10210149</v>
      </c>
      <c r="B126" t="s">
        <v>179</v>
      </c>
    </row>
    <row r="127" spans="1:2" hidden="1">
      <c r="A127">
        <v>10210150</v>
      </c>
      <c r="B127" t="s">
        <v>180</v>
      </c>
    </row>
    <row r="128" spans="1:2" hidden="1">
      <c r="A128">
        <v>10210151</v>
      </c>
      <c r="B128" t="s">
        <v>181</v>
      </c>
    </row>
    <row r="129" spans="1:2" hidden="1">
      <c r="A129">
        <v>10210152</v>
      </c>
      <c r="B129" t="s">
        <v>182</v>
      </c>
    </row>
    <row r="130" spans="1:2" hidden="1">
      <c r="A130">
        <v>10210160</v>
      </c>
      <c r="B130" t="s">
        <v>183</v>
      </c>
    </row>
    <row r="131" spans="1:2" hidden="1">
      <c r="A131">
        <v>10210163</v>
      </c>
      <c r="B131" t="s">
        <v>184</v>
      </c>
    </row>
    <row r="132" spans="1:2" hidden="1">
      <c r="A132">
        <v>10210171</v>
      </c>
      <c r="B132" t="s">
        <v>185</v>
      </c>
    </row>
    <row r="133" spans="1:2" hidden="1">
      <c r="A133">
        <v>10210174</v>
      </c>
      <c r="B133" t="s">
        <v>186</v>
      </c>
    </row>
    <row r="134" spans="1:2" hidden="1">
      <c r="A134">
        <v>10210176</v>
      </c>
      <c r="B134" t="s">
        <v>187</v>
      </c>
    </row>
    <row r="135" spans="1:2" hidden="1">
      <c r="A135">
        <v>10210205</v>
      </c>
      <c r="B135" t="s">
        <v>188</v>
      </c>
    </row>
    <row r="136" spans="1:2" hidden="1">
      <c r="A136">
        <v>10307001</v>
      </c>
      <c r="B136" t="s">
        <v>189</v>
      </c>
    </row>
    <row r="137" spans="1:2" hidden="1">
      <c r="A137">
        <v>10307002</v>
      </c>
      <c r="B137" t="s">
        <v>190</v>
      </c>
    </row>
    <row r="138" spans="1:2" hidden="1">
      <c r="A138">
        <v>111000001</v>
      </c>
      <c r="B138" t="s">
        <v>191</v>
      </c>
    </row>
    <row r="139" spans="1:2" hidden="1">
      <c r="A139">
        <v>111000030</v>
      </c>
      <c r="B139" t="s">
        <v>192</v>
      </c>
    </row>
    <row r="140" spans="1:2" hidden="1">
      <c r="A140">
        <v>111000050</v>
      </c>
      <c r="B140" t="s">
        <v>193</v>
      </c>
    </row>
    <row r="141" spans="1:2" hidden="1">
      <c r="A141">
        <v>111000051</v>
      </c>
      <c r="B141" t="s">
        <v>194</v>
      </c>
    </row>
    <row r="142" spans="1:2" hidden="1">
      <c r="A142">
        <v>111000059</v>
      </c>
      <c r="B142" t="s">
        <v>195</v>
      </c>
    </row>
    <row r="143" spans="1:2" hidden="1">
      <c r="A143">
        <v>111000078</v>
      </c>
      <c r="B143" t="s">
        <v>196</v>
      </c>
    </row>
    <row r="144" spans="1:2" hidden="1">
      <c r="A144">
        <v>111000099</v>
      </c>
      <c r="B144" t="s">
        <v>197</v>
      </c>
    </row>
    <row r="145" spans="1:2" hidden="1">
      <c r="A145">
        <v>111010028</v>
      </c>
      <c r="B145" t="s">
        <v>198</v>
      </c>
    </row>
    <row r="146" spans="1:2" hidden="1">
      <c r="A146">
        <v>111010040</v>
      </c>
      <c r="B146" t="s">
        <v>199</v>
      </c>
    </row>
    <row r="147" spans="1:2" hidden="1">
      <c r="A147">
        <v>111010041</v>
      </c>
      <c r="B147" t="s">
        <v>200</v>
      </c>
    </row>
    <row r="148" spans="1:2" hidden="1">
      <c r="A148">
        <v>111010093</v>
      </c>
      <c r="B148" t="s">
        <v>201</v>
      </c>
    </row>
    <row r="149" spans="1:2" hidden="1">
      <c r="A149">
        <v>111010095</v>
      </c>
      <c r="B149" t="s">
        <v>202</v>
      </c>
    </row>
    <row r="150" spans="1:2" hidden="1">
      <c r="A150">
        <v>111010100</v>
      </c>
      <c r="B150" t="s">
        <v>203</v>
      </c>
    </row>
    <row r="151" spans="1:2" hidden="1">
      <c r="A151">
        <v>111020071</v>
      </c>
      <c r="B151" t="s">
        <v>204</v>
      </c>
    </row>
    <row r="152" spans="1:2" hidden="1">
      <c r="A152">
        <v>111020081</v>
      </c>
      <c r="B152" t="s">
        <v>205</v>
      </c>
    </row>
    <row r="153" spans="1:2" hidden="1">
      <c r="A153">
        <v>111020086</v>
      </c>
      <c r="B153" t="s">
        <v>206</v>
      </c>
    </row>
    <row r="154" spans="1:2" hidden="1">
      <c r="A154">
        <v>111030002</v>
      </c>
      <c r="B154" t="s">
        <v>207</v>
      </c>
    </row>
    <row r="155" spans="1:2" hidden="1">
      <c r="A155">
        <v>111040003</v>
      </c>
      <c r="B155" t="s">
        <v>208</v>
      </c>
    </row>
    <row r="156" spans="1:2" hidden="1">
      <c r="A156">
        <v>111040006</v>
      </c>
      <c r="B156" t="s">
        <v>208</v>
      </c>
    </row>
    <row r="157" spans="1:2" hidden="1">
      <c r="A157">
        <v>111040015</v>
      </c>
      <c r="B157" t="s">
        <v>209</v>
      </c>
    </row>
    <row r="158" spans="1:2" hidden="1">
      <c r="A158">
        <v>11107010</v>
      </c>
      <c r="B158" t="s">
        <v>210</v>
      </c>
    </row>
    <row r="159" spans="1:2" hidden="1">
      <c r="A159">
        <v>11107011</v>
      </c>
      <c r="B159" t="s">
        <v>211</v>
      </c>
    </row>
    <row r="160" spans="1:2" hidden="1">
      <c r="A160">
        <v>11107029</v>
      </c>
      <c r="B160" t="s">
        <v>212</v>
      </c>
    </row>
    <row r="161" spans="1:2" hidden="1">
      <c r="A161">
        <v>11107076</v>
      </c>
      <c r="B161" t="s">
        <v>213</v>
      </c>
    </row>
    <row r="162" spans="1:2" hidden="1">
      <c r="A162">
        <v>11110004</v>
      </c>
      <c r="B162" t="s">
        <v>76</v>
      </c>
    </row>
    <row r="163" spans="1:2" hidden="1">
      <c r="A163">
        <v>111160032</v>
      </c>
      <c r="B163" t="s">
        <v>214</v>
      </c>
    </row>
    <row r="164" spans="1:2" hidden="1">
      <c r="A164">
        <v>11119007</v>
      </c>
      <c r="B164" t="s">
        <v>215</v>
      </c>
    </row>
    <row r="165" spans="1:2" hidden="1">
      <c r="A165">
        <v>11119010</v>
      </c>
      <c r="B165" t="s">
        <v>216</v>
      </c>
    </row>
    <row r="166" spans="1:2" hidden="1">
      <c r="A166">
        <v>11119086</v>
      </c>
      <c r="B166" t="s">
        <v>217</v>
      </c>
    </row>
    <row r="167" spans="1:2" hidden="1">
      <c r="A167">
        <v>111200005</v>
      </c>
      <c r="B167" t="s">
        <v>218</v>
      </c>
    </row>
    <row r="168" spans="1:2" hidden="1">
      <c r="A168">
        <v>11120027</v>
      </c>
      <c r="B168" t="s">
        <v>219</v>
      </c>
    </row>
    <row r="169" spans="1:2" hidden="1">
      <c r="A169">
        <v>11120029</v>
      </c>
      <c r="B169" t="s">
        <v>220</v>
      </c>
    </row>
    <row r="170" spans="1:2" hidden="1">
      <c r="A170">
        <v>11120037</v>
      </c>
      <c r="B170" t="s">
        <v>221</v>
      </c>
    </row>
    <row r="171" spans="1:2" hidden="1">
      <c r="A171">
        <v>11120086</v>
      </c>
      <c r="B171" t="s">
        <v>222</v>
      </c>
    </row>
    <row r="172" spans="1:2" hidden="1">
      <c r="A172">
        <v>11120102</v>
      </c>
      <c r="B172" t="s">
        <v>223</v>
      </c>
    </row>
    <row r="173" spans="1:2" hidden="1">
      <c r="A173">
        <v>11120110</v>
      </c>
      <c r="B173" t="s">
        <v>224</v>
      </c>
    </row>
    <row r="174" spans="1:2" hidden="1">
      <c r="A174">
        <v>11120111</v>
      </c>
      <c r="B174" t="s">
        <v>225</v>
      </c>
    </row>
    <row r="175" spans="1:2" hidden="1">
      <c r="A175">
        <v>11120112</v>
      </c>
      <c r="B175" t="s">
        <v>226</v>
      </c>
    </row>
    <row r="176" spans="1:2" hidden="1">
      <c r="A176" t="s">
        <v>227</v>
      </c>
      <c r="B176" t="s">
        <v>228</v>
      </c>
    </row>
    <row r="177" spans="1:2" hidden="1">
      <c r="A177">
        <v>11120113</v>
      </c>
      <c r="B177" t="s">
        <v>229</v>
      </c>
    </row>
    <row r="178" spans="1:2" hidden="1">
      <c r="A178">
        <v>11120114</v>
      </c>
      <c r="B178" t="s">
        <v>230</v>
      </c>
    </row>
    <row r="179" spans="1:2" hidden="1">
      <c r="A179">
        <v>11120115</v>
      </c>
      <c r="B179" t="s">
        <v>231</v>
      </c>
    </row>
    <row r="180" spans="1:2" hidden="1">
      <c r="A180">
        <v>11124030</v>
      </c>
      <c r="B180" t="s">
        <v>232</v>
      </c>
    </row>
    <row r="181" spans="1:2" hidden="1">
      <c r="A181" t="s">
        <v>233</v>
      </c>
      <c r="B181" t="s">
        <v>234</v>
      </c>
    </row>
    <row r="182" spans="1:2" hidden="1">
      <c r="A182">
        <v>11124031</v>
      </c>
      <c r="B182" t="s">
        <v>235</v>
      </c>
    </row>
    <row r="183" spans="1:2" hidden="1">
      <c r="A183" t="s">
        <v>236</v>
      </c>
      <c r="B183" t="s">
        <v>237</v>
      </c>
    </row>
    <row r="184" spans="1:2" hidden="1">
      <c r="A184">
        <v>11124032</v>
      </c>
      <c r="B184" t="s">
        <v>238</v>
      </c>
    </row>
    <row r="185" spans="1:2" hidden="1">
      <c r="A185">
        <v>11124033</v>
      </c>
      <c r="B185" t="s">
        <v>239</v>
      </c>
    </row>
    <row r="186" spans="1:2" hidden="1">
      <c r="A186">
        <v>11124042</v>
      </c>
      <c r="B186" t="s">
        <v>240</v>
      </c>
    </row>
    <row r="187" spans="1:2" hidden="1">
      <c r="A187">
        <v>11124043</v>
      </c>
      <c r="B187" t="s">
        <v>241</v>
      </c>
    </row>
    <row r="188" spans="1:2" hidden="1">
      <c r="A188">
        <v>11124044</v>
      </c>
      <c r="B188" t="s">
        <v>242</v>
      </c>
    </row>
    <row r="189" spans="1:2" hidden="1">
      <c r="A189">
        <v>11127003</v>
      </c>
      <c r="B189" t="s">
        <v>243</v>
      </c>
    </row>
    <row r="190" spans="1:2" hidden="1">
      <c r="A190">
        <v>11133013</v>
      </c>
      <c r="B190" t="s">
        <v>244</v>
      </c>
    </row>
    <row r="191" spans="1:2" hidden="1">
      <c r="A191">
        <v>11133014</v>
      </c>
      <c r="B191" t="s">
        <v>245</v>
      </c>
    </row>
    <row r="192" spans="1:2" hidden="1">
      <c r="A192">
        <v>11138013</v>
      </c>
      <c r="B192" t="s">
        <v>246</v>
      </c>
    </row>
    <row r="193" spans="1:2" hidden="1">
      <c r="A193">
        <v>11138014</v>
      </c>
      <c r="B193" t="s">
        <v>247</v>
      </c>
    </row>
    <row r="194" spans="1:2" hidden="1">
      <c r="A194">
        <v>11138015</v>
      </c>
      <c r="B194" t="s">
        <v>248</v>
      </c>
    </row>
    <row r="195" spans="1:2" hidden="1">
      <c r="A195">
        <v>111490006</v>
      </c>
      <c r="B195" t="s">
        <v>249</v>
      </c>
    </row>
    <row r="196" spans="1:2" hidden="1">
      <c r="A196">
        <v>111570002</v>
      </c>
      <c r="B196" t="s">
        <v>250</v>
      </c>
    </row>
    <row r="197" spans="1:2" hidden="1">
      <c r="A197">
        <v>111570003</v>
      </c>
      <c r="B197" t="s">
        <v>251</v>
      </c>
    </row>
    <row r="198" spans="1:2" hidden="1">
      <c r="A198">
        <v>111580000</v>
      </c>
      <c r="B198" t="s">
        <v>252</v>
      </c>
    </row>
    <row r="199" spans="1:2" hidden="1">
      <c r="A199">
        <v>111630008</v>
      </c>
      <c r="B199" t="s">
        <v>253</v>
      </c>
    </row>
    <row r="200" spans="1:2" hidden="1">
      <c r="A200">
        <v>111630014</v>
      </c>
      <c r="B200" t="s">
        <v>254</v>
      </c>
    </row>
    <row r="201" spans="1:2" hidden="1">
      <c r="A201">
        <v>111910000</v>
      </c>
      <c r="B201" t="s">
        <v>255</v>
      </c>
    </row>
    <row r="202" spans="1:2" hidden="1">
      <c r="A202">
        <v>112030008</v>
      </c>
      <c r="B202" t="s">
        <v>256</v>
      </c>
    </row>
    <row r="203" spans="1:2" hidden="1">
      <c r="A203">
        <v>112030009</v>
      </c>
      <c r="B203" t="s">
        <v>257</v>
      </c>
    </row>
    <row r="204" spans="1:2" hidden="1">
      <c r="A204">
        <v>112030010</v>
      </c>
      <c r="B204" t="s">
        <v>258</v>
      </c>
    </row>
    <row r="205" spans="1:2" hidden="1">
      <c r="A205">
        <v>112030019</v>
      </c>
      <c r="B205" t="s">
        <v>259</v>
      </c>
    </row>
    <row r="206" spans="1:2" hidden="1">
      <c r="A206">
        <v>112030023</v>
      </c>
      <c r="B206" t="s">
        <v>260</v>
      </c>
    </row>
    <row r="207" spans="1:2" hidden="1">
      <c r="A207">
        <v>112070010</v>
      </c>
      <c r="B207" t="s">
        <v>261</v>
      </c>
    </row>
    <row r="208" spans="1:2" hidden="1">
      <c r="A208">
        <v>112500011</v>
      </c>
      <c r="B208" t="s">
        <v>184</v>
      </c>
    </row>
    <row r="209" spans="1:2" hidden="1">
      <c r="A209">
        <v>112500046</v>
      </c>
      <c r="B209" t="s">
        <v>262</v>
      </c>
    </row>
    <row r="210" spans="1:2" hidden="1">
      <c r="A210">
        <v>112500047</v>
      </c>
      <c r="B210" t="s">
        <v>263</v>
      </c>
    </row>
    <row r="211" spans="1:2" hidden="1">
      <c r="A211">
        <v>112500048</v>
      </c>
      <c r="B211" t="s">
        <v>264</v>
      </c>
    </row>
    <row r="212" spans="1:2" hidden="1">
      <c r="A212">
        <v>112500049</v>
      </c>
      <c r="B212" t="s">
        <v>265</v>
      </c>
    </row>
    <row r="213" spans="1:2" hidden="1">
      <c r="A213">
        <v>112500052</v>
      </c>
      <c r="B213" t="s">
        <v>266</v>
      </c>
    </row>
    <row r="214" spans="1:2" hidden="1">
      <c r="A214">
        <v>112500053</v>
      </c>
      <c r="B214" t="s">
        <v>267</v>
      </c>
    </row>
    <row r="215" spans="1:2" hidden="1">
      <c r="A215">
        <v>112510001</v>
      </c>
      <c r="B215" t="s">
        <v>268</v>
      </c>
    </row>
    <row r="216" spans="1:2" hidden="1">
      <c r="A216">
        <v>112510035</v>
      </c>
      <c r="B216" t="s">
        <v>269</v>
      </c>
    </row>
    <row r="217" spans="1:2" hidden="1">
      <c r="A217">
        <v>112510036</v>
      </c>
      <c r="B217" t="s">
        <v>270</v>
      </c>
    </row>
    <row r="218" spans="1:2" hidden="1">
      <c r="A218">
        <v>112520010</v>
      </c>
      <c r="B218" t="s">
        <v>183</v>
      </c>
    </row>
    <row r="219" spans="1:2" hidden="1">
      <c r="A219">
        <v>112520024</v>
      </c>
      <c r="B219" t="s">
        <v>271</v>
      </c>
    </row>
    <row r="220" spans="1:2" hidden="1">
      <c r="A220">
        <v>112520025</v>
      </c>
      <c r="B220" t="s">
        <v>272</v>
      </c>
    </row>
    <row r="221" spans="1:2" hidden="1">
      <c r="A221">
        <v>112570005</v>
      </c>
      <c r="B221" t="s">
        <v>273</v>
      </c>
    </row>
    <row r="222" spans="1:2" hidden="1">
      <c r="A222">
        <v>112570016</v>
      </c>
      <c r="B222" t="s">
        <v>274</v>
      </c>
    </row>
    <row r="223" spans="1:2" hidden="1">
      <c r="A223">
        <v>112570041</v>
      </c>
      <c r="B223" t="s">
        <v>275</v>
      </c>
    </row>
    <row r="224" spans="1:2" hidden="1">
      <c r="A224">
        <v>112570068</v>
      </c>
      <c r="B224" t="s">
        <v>276</v>
      </c>
    </row>
    <row r="225" spans="1:2" hidden="1">
      <c r="A225">
        <v>112570073</v>
      </c>
      <c r="B225" t="s">
        <v>277</v>
      </c>
    </row>
    <row r="226" spans="1:2" hidden="1">
      <c r="A226">
        <v>112570093</v>
      </c>
      <c r="B226" t="s">
        <v>278</v>
      </c>
    </row>
    <row r="227" spans="1:2" hidden="1">
      <c r="A227">
        <v>112570123</v>
      </c>
      <c r="B227" t="s">
        <v>279</v>
      </c>
    </row>
    <row r="228" spans="1:2" hidden="1">
      <c r="A228">
        <v>112570124</v>
      </c>
      <c r="B228" t="s">
        <v>280</v>
      </c>
    </row>
    <row r="229" spans="1:2" hidden="1">
      <c r="A229">
        <v>112570125</v>
      </c>
      <c r="B229" t="s">
        <v>281</v>
      </c>
    </row>
    <row r="230" spans="1:2" hidden="1">
      <c r="A230">
        <v>112570126</v>
      </c>
      <c r="B230" t="s">
        <v>282</v>
      </c>
    </row>
    <row r="231" spans="1:2" hidden="1">
      <c r="A231">
        <v>112570127</v>
      </c>
      <c r="B231" t="s">
        <v>283</v>
      </c>
    </row>
    <row r="232" spans="1:2" hidden="1">
      <c r="A232">
        <v>112570128</v>
      </c>
      <c r="B232" t="s">
        <v>284</v>
      </c>
    </row>
    <row r="233" spans="1:2" hidden="1">
      <c r="A233">
        <v>112570209</v>
      </c>
      <c r="B233" t="s">
        <v>285</v>
      </c>
    </row>
    <row r="234" spans="1:2" hidden="1">
      <c r="A234">
        <v>112570211</v>
      </c>
      <c r="B234" t="s">
        <v>286</v>
      </c>
    </row>
    <row r="235" spans="1:2" hidden="1">
      <c r="A235">
        <v>112570238</v>
      </c>
      <c r="B235" t="s">
        <v>287</v>
      </c>
    </row>
    <row r="236" spans="1:2" hidden="1">
      <c r="A236">
        <v>112570242</v>
      </c>
      <c r="B236" t="s">
        <v>288</v>
      </c>
    </row>
    <row r="237" spans="1:2" hidden="1">
      <c r="A237">
        <v>112570244</v>
      </c>
      <c r="B237" t="s">
        <v>289</v>
      </c>
    </row>
    <row r="238" spans="1:2" hidden="1">
      <c r="A238">
        <v>112570246</v>
      </c>
      <c r="B238" t="s">
        <v>290</v>
      </c>
    </row>
    <row r="239" spans="1:2" hidden="1">
      <c r="A239">
        <v>112580017</v>
      </c>
      <c r="B239" t="s">
        <v>291</v>
      </c>
    </row>
    <row r="240" spans="1:2" hidden="1">
      <c r="A240">
        <v>112580027</v>
      </c>
      <c r="B240" t="s">
        <v>292</v>
      </c>
    </row>
    <row r="241" spans="1:2" hidden="1">
      <c r="A241">
        <v>112580058</v>
      </c>
      <c r="B241" t="s">
        <v>293</v>
      </c>
    </row>
    <row r="242" spans="1:2" hidden="1">
      <c r="A242">
        <v>112600000</v>
      </c>
      <c r="B242" t="s">
        <v>294</v>
      </c>
    </row>
    <row r="243" spans="1:2" hidden="1">
      <c r="A243">
        <v>112600001</v>
      </c>
      <c r="B243" t="s">
        <v>295</v>
      </c>
    </row>
    <row r="244" spans="1:2" hidden="1">
      <c r="A244">
        <v>112610067</v>
      </c>
      <c r="B244" t="s">
        <v>296</v>
      </c>
    </row>
    <row r="245" spans="1:2" hidden="1">
      <c r="A245">
        <v>112610068</v>
      </c>
      <c r="B245" t="s">
        <v>297</v>
      </c>
    </row>
    <row r="246" spans="1:2" hidden="1">
      <c r="A246">
        <v>112610069</v>
      </c>
      <c r="B246" t="s">
        <v>298</v>
      </c>
    </row>
    <row r="247" spans="1:2" hidden="1">
      <c r="A247">
        <v>112610070</v>
      </c>
      <c r="B247" t="s">
        <v>299</v>
      </c>
    </row>
    <row r="248" spans="1:2" hidden="1">
      <c r="A248">
        <v>112610071</v>
      </c>
      <c r="B248" t="s">
        <v>300</v>
      </c>
    </row>
    <row r="249" spans="1:2" hidden="1">
      <c r="A249">
        <v>112620016</v>
      </c>
      <c r="B249" t="s">
        <v>301</v>
      </c>
    </row>
    <row r="250" spans="1:2" hidden="1">
      <c r="A250">
        <v>112660000</v>
      </c>
      <c r="B250" t="s">
        <v>302</v>
      </c>
    </row>
    <row r="251" spans="1:2" hidden="1">
      <c r="A251">
        <v>112730000</v>
      </c>
      <c r="B251" t="s">
        <v>303</v>
      </c>
    </row>
    <row r="252" spans="1:2" hidden="1">
      <c r="A252">
        <v>112890000</v>
      </c>
      <c r="B252" t="s">
        <v>304</v>
      </c>
    </row>
    <row r="253" spans="1:2" hidden="1">
      <c r="A253">
        <v>112910007</v>
      </c>
      <c r="B253" t="s">
        <v>305</v>
      </c>
    </row>
    <row r="254" spans="1:2" hidden="1">
      <c r="A254">
        <v>112930022</v>
      </c>
      <c r="B254" t="s">
        <v>306</v>
      </c>
    </row>
    <row r="255" spans="1:2" hidden="1">
      <c r="A255">
        <v>112930023</v>
      </c>
      <c r="B255" t="s">
        <v>307</v>
      </c>
    </row>
    <row r="256" spans="1:2" hidden="1">
      <c r="A256">
        <v>112930045</v>
      </c>
      <c r="B256" t="s">
        <v>308</v>
      </c>
    </row>
    <row r="257" spans="1:2" hidden="1">
      <c r="A257">
        <v>112930047</v>
      </c>
      <c r="B257" t="s">
        <v>309</v>
      </c>
    </row>
    <row r="258" spans="1:2" hidden="1">
      <c r="A258">
        <v>112930048</v>
      </c>
      <c r="B258" t="s">
        <v>310</v>
      </c>
    </row>
    <row r="259" spans="1:2" hidden="1">
      <c r="A259">
        <v>112930049</v>
      </c>
      <c r="B259" t="s">
        <v>311</v>
      </c>
    </row>
    <row r="260" spans="1:2" hidden="1">
      <c r="A260">
        <v>112930063</v>
      </c>
      <c r="B260" t="s">
        <v>312</v>
      </c>
    </row>
    <row r="261" spans="1:2" hidden="1">
      <c r="A261">
        <v>112930068</v>
      </c>
      <c r="B261" t="s">
        <v>313</v>
      </c>
    </row>
    <row r="262" spans="1:2" hidden="1">
      <c r="A262">
        <v>112930076</v>
      </c>
      <c r="B262" t="s">
        <v>314</v>
      </c>
    </row>
    <row r="263" spans="1:2" hidden="1">
      <c r="A263">
        <v>112950019</v>
      </c>
      <c r="B263" t="s">
        <v>315</v>
      </c>
    </row>
    <row r="264" spans="1:2" hidden="1">
      <c r="A264">
        <v>112950020</v>
      </c>
      <c r="B264" t="s">
        <v>316</v>
      </c>
    </row>
    <row r="265" spans="1:2" hidden="1">
      <c r="A265">
        <v>112950021</v>
      </c>
      <c r="B265" t="s">
        <v>317</v>
      </c>
    </row>
    <row r="266" spans="1:2" hidden="1">
      <c r="A266">
        <v>112960004</v>
      </c>
      <c r="B266" t="s">
        <v>318</v>
      </c>
    </row>
    <row r="267" spans="1:2" hidden="1">
      <c r="A267">
        <v>112970010</v>
      </c>
      <c r="B267" t="s">
        <v>319</v>
      </c>
    </row>
    <row r="268" spans="1:2" hidden="1">
      <c r="A268">
        <v>113100004</v>
      </c>
      <c r="B268" t="s">
        <v>320</v>
      </c>
    </row>
    <row r="269" spans="1:2" hidden="1">
      <c r="A269">
        <v>113120009</v>
      </c>
      <c r="B269" t="s">
        <v>321</v>
      </c>
    </row>
    <row r="270" spans="1:2" hidden="1">
      <c r="A270">
        <v>113120010</v>
      </c>
      <c r="B270" t="s">
        <v>322</v>
      </c>
    </row>
    <row r="271" spans="1:2" hidden="1">
      <c r="A271">
        <v>113290025</v>
      </c>
      <c r="B271" t="s">
        <v>323</v>
      </c>
    </row>
    <row r="272" spans="1:2" hidden="1">
      <c r="A272">
        <v>113290044</v>
      </c>
      <c r="B272" t="s">
        <v>324</v>
      </c>
    </row>
    <row r="273" spans="1:2" hidden="1">
      <c r="A273">
        <v>113430016</v>
      </c>
      <c r="B273" t="s">
        <v>325</v>
      </c>
    </row>
    <row r="274" spans="1:2" hidden="1">
      <c r="A274">
        <v>113430018</v>
      </c>
      <c r="B274" t="s">
        <v>326</v>
      </c>
    </row>
    <row r="275" spans="1:2" hidden="1">
      <c r="A275">
        <v>113430051</v>
      </c>
      <c r="B275" t="s">
        <v>327</v>
      </c>
    </row>
    <row r="276" spans="1:2" hidden="1">
      <c r="A276">
        <v>113430073</v>
      </c>
      <c r="B276" t="s">
        <v>328</v>
      </c>
    </row>
    <row r="277" spans="1:2" hidden="1">
      <c r="A277">
        <v>113600014</v>
      </c>
      <c r="B277" t="s">
        <v>329</v>
      </c>
    </row>
    <row r="278" spans="1:2" hidden="1">
      <c r="A278">
        <v>113600015</v>
      </c>
      <c r="B278" t="s">
        <v>330</v>
      </c>
    </row>
    <row r="279" spans="1:2" hidden="1">
      <c r="A279">
        <v>113600016</v>
      </c>
      <c r="B279" t="s">
        <v>331</v>
      </c>
    </row>
    <row r="280" spans="1:2" hidden="1">
      <c r="A280">
        <v>113600017</v>
      </c>
      <c r="B280" t="s">
        <v>332</v>
      </c>
    </row>
    <row r="281" spans="1:2" hidden="1">
      <c r="A281">
        <v>113610005</v>
      </c>
      <c r="B281" t="s">
        <v>333</v>
      </c>
    </row>
    <row r="282" spans="1:2" hidden="1">
      <c r="A282">
        <v>113620002</v>
      </c>
      <c r="B282" t="s">
        <v>334</v>
      </c>
    </row>
    <row r="283" spans="1:2" hidden="1">
      <c r="A283">
        <v>114270004</v>
      </c>
      <c r="B283" t="s">
        <v>335</v>
      </c>
    </row>
    <row r="284" spans="1:2" hidden="1">
      <c r="A284">
        <v>114270008</v>
      </c>
      <c r="B284" t="s">
        <v>336</v>
      </c>
    </row>
    <row r="285" spans="1:2" hidden="1">
      <c r="A285">
        <v>114300004</v>
      </c>
      <c r="B285" t="s">
        <v>337</v>
      </c>
    </row>
    <row r="286" spans="1:2" hidden="1">
      <c r="A286">
        <v>115000004</v>
      </c>
      <c r="B286" t="s">
        <v>338</v>
      </c>
    </row>
    <row r="287" spans="1:2" hidden="1">
      <c r="A287">
        <v>115000005</v>
      </c>
      <c r="B287" t="s">
        <v>339</v>
      </c>
    </row>
    <row r="288" spans="1:2" hidden="1">
      <c r="A288">
        <v>115000007</v>
      </c>
      <c r="B288" t="s">
        <v>340</v>
      </c>
    </row>
    <row r="289" spans="1:2" hidden="1">
      <c r="A289">
        <v>115000008</v>
      </c>
      <c r="B289" t="s">
        <v>341</v>
      </c>
    </row>
    <row r="290" spans="1:2" hidden="1">
      <c r="A290">
        <v>115000018</v>
      </c>
      <c r="B290" t="s">
        <v>342</v>
      </c>
    </row>
    <row r="291" spans="1:2" hidden="1">
      <c r="A291">
        <v>115000020</v>
      </c>
      <c r="B291" t="s">
        <v>343</v>
      </c>
    </row>
    <row r="292" spans="1:2" hidden="1">
      <c r="A292">
        <v>115000022</v>
      </c>
      <c r="B292" t="s">
        <v>344</v>
      </c>
    </row>
    <row r="293" spans="1:2" hidden="1">
      <c r="A293">
        <v>115000025</v>
      </c>
      <c r="B293" t="s">
        <v>345</v>
      </c>
    </row>
    <row r="294" spans="1:2" hidden="1">
      <c r="A294">
        <v>115000046</v>
      </c>
      <c r="B294" t="s">
        <v>346</v>
      </c>
    </row>
    <row r="295" spans="1:2" hidden="1">
      <c r="A295">
        <v>115000047</v>
      </c>
      <c r="B295" t="s">
        <v>347</v>
      </c>
    </row>
    <row r="296" spans="1:2" hidden="1">
      <c r="A296">
        <v>115000048</v>
      </c>
      <c r="B296" t="s">
        <v>348</v>
      </c>
    </row>
    <row r="297" spans="1:2" hidden="1">
      <c r="A297">
        <v>115000052</v>
      </c>
      <c r="B297" t="s">
        <v>349</v>
      </c>
    </row>
    <row r="298" spans="1:2" hidden="1">
      <c r="A298">
        <v>115000054</v>
      </c>
      <c r="B298" t="s">
        <v>350</v>
      </c>
    </row>
    <row r="299" spans="1:2" hidden="1">
      <c r="A299">
        <v>115000055</v>
      </c>
      <c r="B299" t="s">
        <v>351</v>
      </c>
    </row>
    <row r="300" spans="1:2" hidden="1">
      <c r="A300">
        <v>115000056</v>
      </c>
      <c r="B300" t="s">
        <v>352</v>
      </c>
    </row>
    <row r="301" spans="1:2" hidden="1">
      <c r="A301">
        <v>115000057</v>
      </c>
      <c r="B301" t="s">
        <v>353</v>
      </c>
    </row>
    <row r="302" spans="1:2" hidden="1">
      <c r="A302">
        <v>115000075</v>
      </c>
      <c r="B302" t="s">
        <v>354</v>
      </c>
    </row>
    <row r="303" spans="1:2" hidden="1">
      <c r="A303">
        <v>115000081</v>
      </c>
      <c r="B303" t="s">
        <v>355</v>
      </c>
    </row>
    <row r="304" spans="1:2" hidden="1">
      <c r="A304">
        <v>115000082</v>
      </c>
      <c r="B304" t="s">
        <v>356</v>
      </c>
    </row>
    <row r="305" spans="1:2" hidden="1">
      <c r="A305">
        <v>115000083</v>
      </c>
      <c r="B305" t="s">
        <v>357</v>
      </c>
    </row>
    <row r="306" spans="1:2" hidden="1">
      <c r="A306">
        <v>115000088</v>
      </c>
      <c r="B306" t="s">
        <v>358</v>
      </c>
    </row>
    <row r="307" spans="1:2" hidden="1">
      <c r="A307">
        <v>115010029</v>
      </c>
      <c r="B307" t="s">
        <v>359</v>
      </c>
    </row>
    <row r="308" spans="1:2" hidden="1">
      <c r="A308">
        <v>115010031</v>
      </c>
      <c r="B308" t="s">
        <v>360</v>
      </c>
    </row>
    <row r="309" spans="1:2" hidden="1">
      <c r="A309">
        <v>115010046</v>
      </c>
      <c r="B309" t="s">
        <v>361</v>
      </c>
    </row>
    <row r="310" spans="1:2" hidden="1">
      <c r="A310">
        <v>115020012</v>
      </c>
      <c r="B310" t="s">
        <v>362</v>
      </c>
    </row>
    <row r="311" spans="1:2" hidden="1">
      <c r="A311">
        <v>115020025</v>
      </c>
      <c r="B311" t="s">
        <v>363</v>
      </c>
    </row>
    <row r="312" spans="1:2" hidden="1">
      <c r="A312">
        <v>115030007</v>
      </c>
      <c r="B312" t="s">
        <v>364</v>
      </c>
    </row>
    <row r="313" spans="1:2" hidden="1">
      <c r="A313">
        <v>115030012</v>
      </c>
      <c r="B313" t="s">
        <v>365</v>
      </c>
    </row>
    <row r="314" spans="1:2" hidden="1">
      <c r="A314">
        <v>115030016</v>
      </c>
      <c r="B314" t="s">
        <v>366</v>
      </c>
    </row>
    <row r="315" spans="1:2" hidden="1">
      <c r="A315">
        <v>115030017</v>
      </c>
      <c r="B315" t="s">
        <v>367</v>
      </c>
    </row>
    <row r="316" spans="1:2" hidden="1">
      <c r="A316">
        <v>115030024</v>
      </c>
      <c r="B316" t="s">
        <v>368</v>
      </c>
    </row>
    <row r="317" spans="1:2" hidden="1">
      <c r="A317">
        <v>115030026</v>
      </c>
      <c r="B317" t="s">
        <v>369</v>
      </c>
    </row>
    <row r="318" spans="1:2" hidden="1">
      <c r="A318">
        <v>115040008</v>
      </c>
      <c r="B318" t="s">
        <v>370</v>
      </c>
    </row>
    <row r="319" spans="1:2" hidden="1">
      <c r="A319">
        <v>115050000</v>
      </c>
      <c r="B319" t="s">
        <v>371</v>
      </c>
    </row>
    <row r="320" spans="1:2" hidden="1">
      <c r="A320">
        <v>115050005</v>
      </c>
      <c r="B320" t="s">
        <v>372</v>
      </c>
    </row>
    <row r="321" spans="1:2" hidden="1">
      <c r="A321">
        <v>115050014</v>
      </c>
      <c r="B321" t="s">
        <v>373</v>
      </c>
    </row>
    <row r="322" spans="1:2" hidden="1">
      <c r="A322">
        <v>115100011</v>
      </c>
      <c r="B322" t="s">
        <v>374</v>
      </c>
    </row>
    <row r="323" spans="1:2" hidden="1">
      <c r="A323">
        <v>115100013</v>
      </c>
      <c r="B323" t="s">
        <v>375</v>
      </c>
    </row>
    <row r="324" spans="1:2" hidden="1">
      <c r="A324">
        <v>115100014</v>
      </c>
      <c r="B324" t="s">
        <v>376</v>
      </c>
    </row>
    <row r="325" spans="1:2" hidden="1">
      <c r="A325">
        <v>115100015</v>
      </c>
      <c r="B325" t="s">
        <v>377</v>
      </c>
    </row>
    <row r="326" spans="1:2" hidden="1">
      <c r="A326">
        <v>115100016</v>
      </c>
      <c r="B326" t="s">
        <v>378</v>
      </c>
    </row>
    <row r="327" spans="1:2" hidden="1">
      <c r="A327">
        <v>115100023</v>
      </c>
      <c r="B327" t="s">
        <v>379</v>
      </c>
    </row>
    <row r="328" spans="1:2" hidden="1">
      <c r="A328">
        <v>115110011</v>
      </c>
      <c r="B328" t="s">
        <v>380</v>
      </c>
    </row>
    <row r="329" spans="1:2" hidden="1">
      <c r="A329">
        <v>115110017</v>
      </c>
      <c r="B329" t="s">
        <v>381</v>
      </c>
    </row>
    <row r="330" spans="1:2" hidden="1">
      <c r="A330">
        <v>115110031</v>
      </c>
      <c r="B330" t="s">
        <v>382</v>
      </c>
    </row>
    <row r="331" spans="1:2" hidden="1">
      <c r="A331">
        <v>115110040</v>
      </c>
      <c r="B331" t="s">
        <v>383</v>
      </c>
    </row>
    <row r="332" spans="1:2" hidden="1">
      <c r="A332">
        <v>115110041</v>
      </c>
      <c r="B332" t="s">
        <v>384</v>
      </c>
    </row>
    <row r="333" spans="1:2" hidden="1">
      <c r="A333">
        <v>115110050</v>
      </c>
      <c r="B333" t="s">
        <v>385</v>
      </c>
    </row>
    <row r="334" spans="1:2" hidden="1">
      <c r="A334">
        <v>115110051</v>
      </c>
      <c r="B334" t="s">
        <v>386</v>
      </c>
    </row>
    <row r="335" spans="1:2" hidden="1">
      <c r="A335">
        <v>115120002</v>
      </c>
      <c r="B335" t="s">
        <v>387</v>
      </c>
    </row>
    <row r="336" spans="1:2" hidden="1">
      <c r="A336">
        <v>115120021</v>
      </c>
      <c r="B336" t="s">
        <v>388</v>
      </c>
    </row>
    <row r="337" spans="1:2" hidden="1">
      <c r="A337">
        <v>115120040</v>
      </c>
      <c r="B337" t="s">
        <v>389</v>
      </c>
    </row>
    <row r="338" spans="1:2" hidden="1">
      <c r="A338">
        <v>115120050</v>
      </c>
      <c r="B338" t="s">
        <v>390</v>
      </c>
    </row>
    <row r="339" spans="1:2" hidden="1">
      <c r="A339">
        <v>115120051</v>
      </c>
      <c r="B339" t="s">
        <v>391</v>
      </c>
    </row>
    <row r="340" spans="1:2" hidden="1">
      <c r="A340">
        <v>115120052</v>
      </c>
      <c r="B340" t="s">
        <v>392</v>
      </c>
    </row>
    <row r="341" spans="1:2" hidden="1">
      <c r="A341">
        <v>115120053</v>
      </c>
      <c r="B341" t="s">
        <v>393</v>
      </c>
    </row>
    <row r="342" spans="1:2" hidden="1">
      <c r="A342">
        <v>115120073</v>
      </c>
      <c r="B342" t="s">
        <v>394</v>
      </c>
    </row>
    <row r="343" spans="1:2" hidden="1">
      <c r="A343">
        <v>115120074</v>
      </c>
      <c r="B343" t="s">
        <v>395</v>
      </c>
    </row>
    <row r="344" spans="1:2" hidden="1">
      <c r="A344">
        <v>115130004</v>
      </c>
      <c r="B344" t="s">
        <v>396</v>
      </c>
    </row>
    <row r="345" spans="1:2" hidden="1">
      <c r="A345">
        <v>115130007</v>
      </c>
      <c r="B345" t="s">
        <v>397</v>
      </c>
    </row>
    <row r="346" spans="1:2" hidden="1">
      <c r="A346">
        <v>115160004</v>
      </c>
      <c r="B346" t="s">
        <v>398</v>
      </c>
    </row>
    <row r="347" spans="1:2" hidden="1">
      <c r="A347">
        <v>115160006</v>
      </c>
      <c r="B347" t="s">
        <v>399</v>
      </c>
    </row>
    <row r="348" spans="1:2" hidden="1">
      <c r="A348">
        <v>115160007</v>
      </c>
      <c r="B348" t="s">
        <v>400</v>
      </c>
    </row>
    <row r="349" spans="1:2" hidden="1">
      <c r="A349">
        <v>115160010</v>
      </c>
      <c r="B349" t="s">
        <v>401</v>
      </c>
    </row>
    <row r="350" spans="1:2" hidden="1">
      <c r="A350">
        <v>115170001</v>
      </c>
      <c r="B350" t="s">
        <v>402</v>
      </c>
    </row>
    <row r="351" spans="1:2" hidden="1">
      <c r="A351">
        <v>115170007</v>
      </c>
      <c r="B351" t="s">
        <v>403</v>
      </c>
    </row>
    <row r="352" spans="1:2" hidden="1">
      <c r="A352">
        <v>115180006</v>
      </c>
      <c r="B352" t="s">
        <v>404</v>
      </c>
    </row>
    <row r="353" spans="1:2" hidden="1">
      <c r="A353">
        <v>115180012</v>
      </c>
      <c r="B353" t="s">
        <v>405</v>
      </c>
    </row>
    <row r="354" spans="1:2" hidden="1">
      <c r="A354">
        <v>115230015</v>
      </c>
      <c r="B354" t="s">
        <v>406</v>
      </c>
    </row>
    <row r="355" spans="1:2" hidden="1">
      <c r="A355">
        <v>115230020</v>
      </c>
      <c r="B355" t="s">
        <v>407</v>
      </c>
    </row>
    <row r="356" spans="1:2" hidden="1">
      <c r="A356">
        <v>115230051</v>
      </c>
      <c r="B356" t="s">
        <v>408</v>
      </c>
    </row>
    <row r="357" spans="1:2" hidden="1">
      <c r="A357">
        <v>115230054</v>
      </c>
      <c r="B357" t="s">
        <v>409</v>
      </c>
    </row>
    <row r="358" spans="1:2" hidden="1">
      <c r="A358">
        <v>115230057</v>
      </c>
      <c r="B358" t="s">
        <v>410</v>
      </c>
    </row>
    <row r="359" spans="1:2" hidden="1">
      <c r="A359">
        <v>115260001</v>
      </c>
      <c r="B359" t="s">
        <v>411</v>
      </c>
    </row>
    <row r="360" spans="1:2" hidden="1">
      <c r="A360">
        <v>115260024</v>
      </c>
      <c r="B360" t="s">
        <v>412</v>
      </c>
    </row>
    <row r="361" spans="1:2" hidden="1">
      <c r="A361">
        <v>115260038</v>
      </c>
      <c r="B361" t="s">
        <v>413</v>
      </c>
    </row>
    <row r="362" spans="1:2" hidden="1">
      <c r="A362">
        <v>115330015</v>
      </c>
      <c r="B362" t="s">
        <v>414</v>
      </c>
    </row>
    <row r="363" spans="1:2" hidden="1">
      <c r="A363">
        <v>115360001</v>
      </c>
      <c r="B363" t="s">
        <v>415</v>
      </c>
    </row>
    <row r="364" spans="1:2" hidden="1">
      <c r="A364">
        <v>115360008</v>
      </c>
      <c r="B364" t="s">
        <v>416</v>
      </c>
    </row>
    <row r="365" spans="1:2" hidden="1">
      <c r="A365">
        <v>115400002</v>
      </c>
      <c r="B365" t="s">
        <v>417</v>
      </c>
    </row>
    <row r="366" spans="1:2" hidden="1">
      <c r="A366">
        <v>115890038</v>
      </c>
      <c r="B366" t="s">
        <v>418</v>
      </c>
    </row>
    <row r="367" spans="1:2" hidden="1">
      <c r="A367">
        <v>115890039</v>
      </c>
      <c r="B367" t="s">
        <v>419</v>
      </c>
    </row>
    <row r="368" spans="1:2" hidden="1">
      <c r="A368">
        <v>115890040</v>
      </c>
      <c r="B368" t="s">
        <v>420</v>
      </c>
    </row>
    <row r="369" spans="1:2" hidden="1">
      <c r="A369">
        <v>115890043</v>
      </c>
      <c r="B369" t="s">
        <v>421</v>
      </c>
    </row>
    <row r="370" spans="1:2" hidden="1">
      <c r="A370">
        <v>116020020</v>
      </c>
      <c r="B370" t="s">
        <v>422</v>
      </c>
    </row>
    <row r="371" spans="1:2" hidden="1">
      <c r="A371">
        <v>116030003</v>
      </c>
      <c r="B371" t="s">
        <v>423</v>
      </c>
    </row>
    <row r="372" spans="1:2" hidden="1">
      <c r="A372">
        <v>12127001</v>
      </c>
      <c r="B372" t="s">
        <v>424</v>
      </c>
    </row>
    <row r="373" spans="1:2" hidden="1">
      <c r="A373">
        <v>12127002</v>
      </c>
      <c r="B373" t="s">
        <v>425</v>
      </c>
    </row>
    <row r="374" spans="1:2" hidden="1">
      <c r="A374">
        <v>12128009</v>
      </c>
      <c r="B374" t="s">
        <v>426</v>
      </c>
    </row>
    <row r="375" spans="1:2" hidden="1">
      <c r="A375">
        <v>12128010</v>
      </c>
      <c r="B375" t="s">
        <v>427</v>
      </c>
    </row>
    <row r="376" spans="1:2" hidden="1">
      <c r="A376">
        <v>12128011</v>
      </c>
      <c r="B376" t="s">
        <v>428</v>
      </c>
    </row>
    <row r="377" spans="1:2" hidden="1">
      <c r="A377">
        <v>12128016</v>
      </c>
      <c r="B377" t="s">
        <v>429</v>
      </c>
    </row>
    <row r="378" spans="1:2" hidden="1">
      <c r="A378">
        <v>12129008</v>
      </c>
      <c r="B378" t="s">
        <v>430</v>
      </c>
    </row>
    <row r="379" spans="1:2" hidden="1">
      <c r="A379">
        <v>12129016</v>
      </c>
      <c r="B379" t="s">
        <v>431</v>
      </c>
    </row>
    <row r="380" spans="1:2" hidden="1">
      <c r="A380">
        <v>12139013</v>
      </c>
      <c r="B380" t="s">
        <v>432</v>
      </c>
    </row>
    <row r="381" spans="1:2" hidden="1">
      <c r="A381">
        <v>13139001</v>
      </c>
      <c r="B381" t="s">
        <v>433</v>
      </c>
    </row>
    <row r="382" spans="1:2" hidden="1">
      <c r="A382">
        <v>13139002</v>
      </c>
      <c r="B382" t="s">
        <v>434</v>
      </c>
    </row>
    <row r="383" spans="1:2" hidden="1">
      <c r="A383">
        <v>13139003</v>
      </c>
      <c r="B383" t="s">
        <v>435</v>
      </c>
    </row>
    <row r="384" spans="1:2" hidden="1">
      <c r="A384">
        <v>13139004</v>
      </c>
      <c r="B384" t="s">
        <v>436</v>
      </c>
    </row>
    <row r="385" spans="1:2" hidden="1">
      <c r="A385">
        <v>13139005</v>
      </c>
      <c r="B385" t="s">
        <v>437</v>
      </c>
    </row>
    <row r="386" spans="1:2" hidden="1">
      <c r="A386">
        <v>13139006</v>
      </c>
      <c r="B386" t="s">
        <v>438</v>
      </c>
    </row>
    <row r="387" spans="1:2" hidden="1">
      <c r="A387">
        <v>13139007</v>
      </c>
      <c r="B387" t="s">
        <v>439</v>
      </c>
    </row>
    <row r="388" spans="1:2" hidden="1">
      <c r="A388">
        <v>13139008</v>
      </c>
      <c r="B388" t="s">
        <v>440</v>
      </c>
    </row>
    <row r="389" spans="1:2" hidden="1">
      <c r="A389">
        <v>13139009</v>
      </c>
      <c r="B389" t="s">
        <v>441</v>
      </c>
    </row>
    <row r="390" spans="1:2" hidden="1">
      <c r="A390">
        <v>13139010</v>
      </c>
      <c r="B390" t="s">
        <v>442</v>
      </c>
    </row>
    <row r="391" spans="1:2" hidden="1">
      <c r="A391">
        <v>1764</v>
      </c>
      <c r="B391" t="s">
        <v>304</v>
      </c>
    </row>
    <row r="392" spans="1:2" hidden="1">
      <c r="A392">
        <v>18151202</v>
      </c>
      <c r="B392" t="s">
        <v>443</v>
      </c>
    </row>
    <row r="393" spans="1:2" hidden="1">
      <c r="A393">
        <v>1815202</v>
      </c>
      <c r="B393" t="s">
        <v>444</v>
      </c>
    </row>
    <row r="394" spans="1:2" hidden="1">
      <c r="A394" t="s">
        <v>445</v>
      </c>
      <c r="B394" t="s">
        <v>446</v>
      </c>
    </row>
    <row r="395" spans="1:2" hidden="1">
      <c r="A395" t="s">
        <v>447</v>
      </c>
      <c r="B395" t="s">
        <v>446</v>
      </c>
    </row>
    <row r="396" spans="1:2" hidden="1">
      <c r="A396">
        <v>18161002</v>
      </c>
      <c r="B396" t="s">
        <v>448</v>
      </c>
    </row>
    <row r="397" spans="1:2" hidden="1">
      <c r="A397">
        <v>181740210</v>
      </c>
      <c r="B397" t="s">
        <v>449</v>
      </c>
    </row>
    <row r="398" spans="1:2" hidden="1">
      <c r="A398">
        <v>182010210</v>
      </c>
      <c r="B398" t="s">
        <v>450</v>
      </c>
    </row>
    <row r="399" spans="1:2" hidden="1">
      <c r="A399">
        <v>182020200</v>
      </c>
      <c r="B399" t="s">
        <v>451</v>
      </c>
    </row>
    <row r="400" spans="1:2" hidden="1">
      <c r="A400">
        <v>182020210</v>
      </c>
      <c r="B400" t="s">
        <v>452</v>
      </c>
    </row>
    <row r="401" spans="1:2" hidden="1">
      <c r="A401" t="s">
        <v>453</v>
      </c>
      <c r="B401" t="s">
        <v>452</v>
      </c>
    </row>
    <row r="402" spans="1:2" hidden="1">
      <c r="A402" t="s">
        <v>454</v>
      </c>
      <c r="B402" t="s">
        <v>455</v>
      </c>
    </row>
    <row r="403" spans="1:2" hidden="1">
      <c r="A403" t="s">
        <v>456</v>
      </c>
      <c r="B403" t="s">
        <v>455</v>
      </c>
    </row>
    <row r="404" spans="1:2" hidden="1">
      <c r="A404" t="s">
        <v>457</v>
      </c>
      <c r="B404" t="s">
        <v>458</v>
      </c>
    </row>
    <row r="405" spans="1:2" hidden="1">
      <c r="A405" t="s">
        <v>459</v>
      </c>
      <c r="B405" t="s">
        <v>458</v>
      </c>
    </row>
    <row r="406" spans="1:2" hidden="1">
      <c r="A406">
        <v>239991200</v>
      </c>
      <c r="B406" t="s">
        <v>460</v>
      </c>
    </row>
    <row r="407" spans="1:2" hidden="1">
      <c r="A407" t="s">
        <v>461</v>
      </c>
      <c r="B407" t="s">
        <v>460</v>
      </c>
    </row>
    <row r="408" spans="1:2" hidden="1">
      <c r="A408" t="s">
        <v>462</v>
      </c>
      <c r="B408" t="s">
        <v>460</v>
      </c>
    </row>
    <row r="409" spans="1:2" hidden="1">
      <c r="A409">
        <v>241020200</v>
      </c>
      <c r="B409" t="s">
        <v>463</v>
      </c>
    </row>
    <row r="410" spans="1:2" hidden="1">
      <c r="A410">
        <v>242320200</v>
      </c>
      <c r="B410" t="s">
        <v>464</v>
      </c>
    </row>
    <row r="411" spans="1:2" hidden="1">
      <c r="A411" t="s">
        <v>465</v>
      </c>
      <c r="B411" t="s">
        <v>466</v>
      </c>
    </row>
    <row r="412" spans="1:2" hidden="1">
      <c r="A412">
        <v>243860210</v>
      </c>
      <c r="B412" t="s">
        <v>467</v>
      </c>
    </row>
    <row r="413" spans="1:2" hidden="1">
      <c r="A413" t="s">
        <v>468</v>
      </c>
      <c r="B413" t="s">
        <v>469</v>
      </c>
    </row>
    <row r="414" spans="1:2" hidden="1">
      <c r="A414">
        <v>244610200</v>
      </c>
      <c r="B414" t="s">
        <v>470</v>
      </c>
    </row>
    <row r="415" spans="1:2" hidden="1">
      <c r="A415">
        <v>246260210</v>
      </c>
      <c r="B415" t="s">
        <v>471</v>
      </c>
    </row>
    <row r="416" spans="1:2" hidden="1">
      <c r="A416">
        <v>249150210</v>
      </c>
      <c r="B416" t="s">
        <v>472</v>
      </c>
    </row>
    <row r="417" spans="1:2" hidden="1">
      <c r="A417" t="s">
        <v>473</v>
      </c>
      <c r="B417" t="s">
        <v>472</v>
      </c>
    </row>
    <row r="418" spans="1:2" hidden="1">
      <c r="A418" t="s">
        <v>474</v>
      </c>
      <c r="B418" t="s">
        <v>472</v>
      </c>
    </row>
    <row r="419" spans="1:2" hidden="1">
      <c r="A419">
        <v>30207021</v>
      </c>
      <c r="B419" t="s">
        <v>475</v>
      </c>
    </row>
    <row r="420" spans="1:2" hidden="1">
      <c r="A420">
        <v>30207200</v>
      </c>
      <c r="B420" t="s">
        <v>476</v>
      </c>
    </row>
    <row r="421" spans="1:2" hidden="1">
      <c r="A421">
        <v>3065161</v>
      </c>
      <c r="B421" t="s">
        <v>477</v>
      </c>
    </row>
    <row r="422" spans="1:2" hidden="1">
      <c r="A422">
        <v>31501020</v>
      </c>
      <c r="B422" t="s">
        <v>478</v>
      </c>
    </row>
    <row r="423" spans="1:2" hidden="1">
      <c r="A423">
        <v>31901079</v>
      </c>
      <c r="B423" t="s">
        <v>479</v>
      </c>
    </row>
    <row r="424" spans="1:2" hidden="1">
      <c r="A424">
        <v>31901099</v>
      </c>
      <c r="B424" t="s">
        <v>480</v>
      </c>
    </row>
    <row r="425" spans="1:2" hidden="1">
      <c r="A425">
        <v>31901103</v>
      </c>
      <c r="B425" t="s">
        <v>481</v>
      </c>
    </row>
    <row r="426" spans="1:2" hidden="1">
      <c r="A426">
        <v>31901176</v>
      </c>
      <c r="B426" t="s">
        <v>482</v>
      </c>
    </row>
    <row r="427" spans="1:2" hidden="1">
      <c r="A427">
        <v>339150210</v>
      </c>
      <c r="B427" t="s">
        <v>483</v>
      </c>
    </row>
    <row r="428" spans="1:2" hidden="1">
      <c r="A428" t="s">
        <v>484</v>
      </c>
      <c r="B428" t="s">
        <v>483</v>
      </c>
    </row>
    <row r="429" spans="1:2" hidden="1">
      <c r="A429" t="s">
        <v>485</v>
      </c>
      <c r="B429" t="s">
        <v>483</v>
      </c>
    </row>
    <row r="430" spans="1:2" hidden="1">
      <c r="A430" t="s">
        <v>486</v>
      </c>
      <c r="B430" t="s">
        <v>487</v>
      </c>
    </row>
    <row r="431" spans="1:2" hidden="1">
      <c r="A431" t="s">
        <v>488</v>
      </c>
      <c r="B431" t="s">
        <v>487</v>
      </c>
    </row>
    <row r="432" spans="1:2" hidden="1">
      <c r="A432" t="s">
        <v>489</v>
      </c>
      <c r="B432" t="s">
        <v>490</v>
      </c>
    </row>
    <row r="433" spans="1:2" hidden="1">
      <c r="A433">
        <v>35911502</v>
      </c>
      <c r="B433" t="s">
        <v>491</v>
      </c>
    </row>
    <row r="434" spans="1:2" hidden="1">
      <c r="A434" t="s">
        <v>492</v>
      </c>
      <c r="B434" t="s">
        <v>491</v>
      </c>
    </row>
    <row r="435" spans="1:2" hidden="1">
      <c r="A435" t="s">
        <v>493</v>
      </c>
      <c r="B435" t="s">
        <v>491</v>
      </c>
    </row>
    <row r="436" spans="1:2" hidden="1">
      <c r="A436">
        <v>35931802</v>
      </c>
      <c r="B436" t="s">
        <v>494</v>
      </c>
    </row>
    <row r="437" spans="1:2" hidden="1">
      <c r="A437" t="s">
        <v>495</v>
      </c>
      <c r="B437" t="s">
        <v>496</v>
      </c>
    </row>
    <row r="438" spans="1:2" hidden="1">
      <c r="A438" t="s">
        <v>497</v>
      </c>
      <c r="B438" t="s">
        <v>498</v>
      </c>
    </row>
    <row r="439" spans="1:2" hidden="1">
      <c r="A439" t="s">
        <v>499</v>
      </c>
      <c r="B439" t="s">
        <v>498</v>
      </c>
    </row>
    <row r="440" spans="1:2" hidden="1">
      <c r="A440">
        <v>35971802</v>
      </c>
      <c r="B440" t="s">
        <v>500</v>
      </c>
    </row>
    <row r="441" spans="1:2" hidden="1">
      <c r="A441" t="s">
        <v>501</v>
      </c>
      <c r="B441" t="s">
        <v>502</v>
      </c>
    </row>
    <row r="442" spans="1:2" hidden="1">
      <c r="A442" t="s">
        <v>503</v>
      </c>
      <c r="B442" t="s">
        <v>504</v>
      </c>
    </row>
    <row r="443" spans="1:2" hidden="1">
      <c r="A443">
        <v>38911502</v>
      </c>
      <c r="B443" t="s">
        <v>505</v>
      </c>
    </row>
    <row r="444" spans="1:2" hidden="1">
      <c r="A444" t="s">
        <v>506</v>
      </c>
      <c r="B444" t="s">
        <v>507</v>
      </c>
    </row>
    <row r="445" spans="1:2" hidden="1">
      <c r="A445" t="s">
        <v>508</v>
      </c>
      <c r="B445" t="s">
        <v>509</v>
      </c>
    </row>
    <row r="446" spans="1:2" hidden="1">
      <c r="A446">
        <v>389140200</v>
      </c>
      <c r="B446" t="s">
        <v>510</v>
      </c>
    </row>
    <row r="447" spans="1:2" hidden="1">
      <c r="A447">
        <v>38931702</v>
      </c>
      <c r="B447" t="s">
        <v>511</v>
      </c>
    </row>
    <row r="448" spans="1:2" hidden="1">
      <c r="A448" t="s">
        <v>512</v>
      </c>
      <c r="B448" t="s">
        <v>513</v>
      </c>
    </row>
    <row r="449" spans="1:2" hidden="1">
      <c r="A449">
        <v>389982700</v>
      </c>
      <c r="B449" t="s">
        <v>514</v>
      </c>
    </row>
    <row r="450" spans="1:2" hidden="1">
      <c r="A450">
        <v>40101067</v>
      </c>
      <c r="B450" t="s">
        <v>515</v>
      </c>
    </row>
    <row r="451" spans="1:2" hidden="1">
      <c r="A451">
        <v>40101068</v>
      </c>
      <c r="B451" t="s">
        <v>516</v>
      </c>
    </row>
    <row r="452" spans="1:2" hidden="1">
      <c r="A452">
        <v>40101102</v>
      </c>
      <c r="B452" t="s">
        <v>517</v>
      </c>
    </row>
    <row r="453" spans="1:2" hidden="1">
      <c r="A453">
        <v>40101103</v>
      </c>
      <c r="B453" t="s">
        <v>518</v>
      </c>
    </row>
    <row r="454" spans="1:2" hidden="1">
      <c r="A454">
        <v>40104010</v>
      </c>
      <c r="B454" t="s">
        <v>519</v>
      </c>
    </row>
    <row r="455" spans="1:2" hidden="1">
      <c r="A455">
        <v>40104011</v>
      </c>
      <c r="B455" t="s">
        <v>520</v>
      </c>
    </row>
    <row r="456" spans="1:2" hidden="1">
      <c r="A456">
        <v>40125212</v>
      </c>
      <c r="B456" t="s">
        <v>521</v>
      </c>
    </row>
    <row r="457" spans="1:2" hidden="1">
      <c r="A457">
        <v>40125220</v>
      </c>
      <c r="B457" t="s">
        <v>522</v>
      </c>
    </row>
    <row r="458" spans="1:2" hidden="1">
      <c r="A458">
        <v>40125230</v>
      </c>
      <c r="B458" t="s">
        <v>523</v>
      </c>
    </row>
    <row r="459" spans="1:2" hidden="1">
      <c r="A459">
        <v>40125240</v>
      </c>
      <c r="B459" t="s">
        <v>524</v>
      </c>
    </row>
    <row r="460" spans="1:2" hidden="1">
      <c r="A460">
        <v>40125250</v>
      </c>
      <c r="B460" t="s">
        <v>525</v>
      </c>
    </row>
    <row r="461" spans="1:2" hidden="1">
      <c r="A461">
        <v>40125520</v>
      </c>
      <c r="B461" t="s">
        <v>526</v>
      </c>
    </row>
    <row r="462" spans="1:2" hidden="1">
      <c r="A462">
        <v>40134000</v>
      </c>
      <c r="B462" t="s">
        <v>527</v>
      </c>
    </row>
    <row r="463" spans="1:2" hidden="1">
      <c r="A463">
        <v>40134003</v>
      </c>
      <c r="B463" t="s">
        <v>528</v>
      </c>
    </row>
    <row r="464" spans="1:2" hidden="1">
      <c r="A464">
        <v>40134004</v>
      </c>
      <c r="B464" t="s">
        <v>529</v>
      </c>
    </row>
    <row r="465" spans="1:2" hidden="1">
      <c r="A465">
        <v>40136000</v>
      </c>
      <c r="B465" t="s">
        <v>530</v>
      </c>
    </row>
    <row r="466" spans="1:2" hidden="1">
      <c r="A466">
        <v>40136001</v>
      </c>
      <c r="B466" t="s">
        <v>531</v>
      </c>
    </row>
    <row r="467" spans="1:2" hidden="1">
      <c r="A467">
        <v>40136006</v>
      </c>
      <c r="B467" t="s">
        <v>532</v>
      </c>
    </row>
    <row r="468" spans="1:2" hidden="1">
      <c r="A468">
        <v>40136007</v>
      </c>
      <c r="B468" t="s">
        <v>533</v>
      </c>
    </row>
    <row r="469" spans="1:2" hidden="1">
      <c r="A469">
        <v>40136040</v>
      </c>
      <c r="B469" t="s">
        <v>534</v>
      </c>
    </row>
    <row r="470" spans="1:2" hidden="1">
      <c r="A470">
        <v>40136566</v>
      </c>
      <c r="B470" t="s">
        <v>535</v>
      </c>
    </row>
    <row r="471" spans="1:2" hidden="1">
      <c r="A471">
        <v>40136567</v>
      </c>
      <c r="B471" t="s">
        <v>536</v>
      </c>
    </row>
    <row r="472" spans="1:2" hidden="1">
      <c r="A472">
        <v>40136614</v>
      </c>
      <c r="B472" t="s">
        <v>537</v>
      </c>
    </row>
    <row r="473" spans="1:2" hidden="1">
      <c r="A473">
        <v>40136616</v>
      </c>
      <c r="B473" t="s">
        <v>538</v>
      </c>
    </row>
    <row r="474" spans="1:2" hidden="1">
      <c r="A474">
        <v>40136920</v>
      </c>
      <c r="B474" t="s">
        <v>539</v>
      </c>
    </row>
    <row r="475" spans="1:2" hidden="1">
      <c r="A475">
        <v>40136921</v>
      </c>
      <c r="B475" t="s">
        <v>540</v>
      </c>
    </row>
    <row r="476" spans="1:2" hidden="1">
      <c r="A476">
        <v>40138010</v>
      </c>
      <c r="B476" t="s">
        <v>541</v>
      </c>
    </row>
    <row r="477" spans="1:2" hidden="1">
      <c r="A477">
        <v>40140908</v>
      </c>
      <c r="B477" t="s">
        <v>542</v>
      </c>
    </row>
    <row r="478" spans="1:2" hidden="1">
      <c r="A478">
        <v>40140909</v>
      </c>
      <c r="B478" t="s">
        <v>543</v>
      </c>
    </row>
    <row r="479" spans="1:2" hidden="1">
      <c r="A479">
        <v>40140950</v>
      </c>
      <c r="B479" t="s">
        <v>544</v>
      </c>
    </row>
    <row r="480" spans="1:2" hidden="1">
      <c r="A480">
        <v>40140951</v>
      </c>
      <c r="B480" t="s">
        <v>545</v>
      </c>
    </row>
    <row r="481" spans="1:2" hidden="1">
      <c r="A481">
        <v>40140960</v>
      </c>
      <c r="B481" t="s">
        <v>546</v>
      </c>
    </row>
    <row r="482" spans="1:2" hidden="1">
      <c r="A482">
        <v>40140961</v>
      </c>
      <c r="B482" t="s">
        <v>547</v>
      </c>
    </row>
    <row r="483" spans="1:2" hidden="1">
      <c r="A483">
        <v>40141122</v>
      </c>
      <c r="B483" t="s">
        <v>548</v>
      </c>
    </row>
    <row r="484" spans="1:2" hidden="1">
      <c r="A484">
        <v>40141312</v>
      </c>
      <c r="B484" t="s">
        <v>549</v>
      </c>
    </row>
    <row r="485" spans="1:2" hidden="1">
      <c r="A485">
        <v>40141313</v>
      </c>
      <c r="B485" t="s">
        <v>550</v>
      </c>
    </row>
    <row r="486" spans="1:2" hidden="1">
      <c r="A486">
        <v>40143072</v>
      </c>
      <c r="B486" t="s">
        <v>551</v>
      </c>
    </row>
    <row r="487" spans="1:2" hidden="1">
      <c r="A487">
        <v>40143831</v>
      </c>
      <c r="B487" t="s">
        <v>552</v>
      </c>
    </row>
    <row r="488" spans="1:2" hidden="1">
      <c r="A488">
        <v>40143832</v>
      </c>
      <c r="B488" t="s">
        <v>553</v>
      </c>
    </row>
    <row r="489" spans="1:2" hidden="1">
      <c r="A489">
        <v>40143833</v>
      </c>
      <c r="B489" t="s">
        <v>554</v>
      </c>
    </row>
    <row r="490" spans="1:2" hidden="1">
      <c r="A490">
        <v>40150000</v>
      </c>
      <c r="B490" t="s">
        <v>555</v>
      </c>
    </row>
    <row r="491" spans="1:2" hidden="1">
      <c r="A491">
        <v>40180510</v>
      </c>
      <c r="B491" t="s">
        <v>556</v>
      </c>
    </row>
    <row r="492" spans="1:2" hidden="1">
      <c r="A492">
        <v>40180511</v>
      </c>
      <c r="B492" t="s">
        <v>557</v>
      </c>
    </row>
    <row r="493" spans="1:2" hidden="1">
      <c r="A493">
        <v>40180530</v>
      </c>
      <c r="B493" t="s">
        <v>558</v>
      </c>
    </row>
    <row r="494" spans="1:2" hidden="1">
      <c r="A494">
        <v>40180531</v>
      </c>
      <c r="B494" t="s">
        <v>559</v>
      </c>
    </row>
    <row r="495" spans="1:2" hidden="1">
      <c r="A495">
        <v>40180610</v>
      </c>
      <c r="B495" t="s">
        <v>556</v>
      </c>
    </row>
    <row r="496" spans="1:2" hidden="1">
      <c r="A496">
        <v>40180631</v>
      </c>
      <c r="B496" t="s">
        <v>559</v>
      </c>
    </row>
    <row r="497" spans="1:2" hidden="1">
      <c r="A497">
        <v>40197155</v>
      </c>
      <c r="B497" t="s">
        <v>560</v>
      </c>
    </row>
    <row r="498" spans="1:2" hidden="1">
      <c r="A498">
        <v>40197255</v>
      </c>
      <c r="B498" t="s">
        <v>561</v>
      </c>
    </row>
    <row r="499" spans="1:2" hidden="1">
      <c r="A499">
        <v>40199037</v>
      </c>
      <c r="B499" t="s">
        <v>562</v>
      </c>
    </row>
    <row r="500" spans="1:2" hidden="1">
      <c r="A500">
        <v>40199039</v>
      </c>
      <c r="B500" t="s">
        <v>563</v>
      </c>
    </row>
    <row r="501" spans="1:2" hidden="1">
      <c r="A501">
        <v>40199061</v>
      </c>
      <c r="B501" t="s">
        <v>564</v>
      </c>
    </row>
    <row r="502" spans="1:2" hidden="1">
      <c r="A502">
        <v>40199230</v>
      </c>
      <c r="B502" t="s">
        <v>565</v>
      </c>
    </row>
    <row r="503" spans="1:2" hidden="1">
      <c r="A503">
        <v>40199242</v>
      </c>
      <c r="B503" t="s">
        <v>566</v>
      </c>
    </row>
    <row r="504" spans="1:2" hidden="1">
      <c r="A504">
        <v>40199270</v>
      </c>
      <c r="B504" t="s">
        <v>567</v>
      </c>
    </row>
    <row r="505" spans="1:2" hidden="1">
      <c r="A505">
        <v>40199321</v>
      </c>
      <c r="B505" t="s">
        <v>568</v>
      </c>
    </row>
    <row r="506" spans="1:2" hidden="1">
      <c r="A506">
        <v>40199330</v>
      </c>
      <c r="B506" t="s">
        <v>569</v>
      </c>
    </row>
    <row r="507" spans="1:2" hidden="1">
      <c r="A507">
        <v>40204301</v>
      </c>
      <c r="B507" t="s">
        <v>570</v>
      </c>
    </row>
    <row r="508" spans="1:2" hidden="1">
      <c r="A508">
        <v>40204311</v>
      </c>
      <c r="B508" t="s">
        <v>571</v>
      </c>
    </row>
    <row r="509" spans="1:2" hidden="1">
      <c r="A509">
        <v>40204391</v>
      </c>
      <c r="B509" t="s">
        <v>572</v>
      </c>
    </row>
    <row r="510" spans="1:2" hidden="1">
      <c r="A510">
        <v>40205450</v>
      </c>
      <c r="B510" t="s">
        <v>573</v>
      </c>
    </row>
    <row r="511" spans="1:2" hidden="1">
      <c r="A511" t="s">
        <v>574</v>
      </c>
      <c r="B511" t="s">
        <v>575</v>
      </c>
    </row>
    <row r="512" spans="1:2" hidden="1">
      <c r="A512">
        <v>40205610</v>
      </c>
      <c r="B512" t="s">
        <v>576</v>
      </c>
    </row>
    <row r="513" spans="1:2" hidden="1">
      <c r="A513">
        <v>40206004</v>
      </c>
      <c r="B513" t="s">
        <v>577</v>
      </c>
    </row>
    <row r="514" spans="1:2" hidden="1">
      <c r="A514">
        <v>40206040</v>
      </c>
      <c r="B514" t="s">
        <v>578</v>
      </c>
    </row>
    <row r="515" spans="1:2" hidden="1">
      <c r="A515">
        <v>40206060</v>
      </c>
      <c r="B515" t="s">
        <v>579</v>
      </c>
    </row>
    <row r="516" spans="1:2" hidden="1">
      <c r="A516">
        <v>40206220</v>
      </c>
      <c r="B516" t="s">
        <v>580</v>
      </c>
    </row>
    <row r="517" spans="1:2" hidden="1">
      <c r="A517">
        <v>40207110</v>
      </c>
      <c r="B517" t="s">
        <v>581</v>
      </c>
    </row>
    <row r="518" spans="1:2" hidden="1">
      <c r="A518">
        <v>40211352</v>
      </c>
      <c r="B518" t="s">
        <v>582</v>
      </c>
    </row>
    <row r="519" spans="1:2" hidden="1">
      <c r="A519">
        <v>40211501</v>
      </c>
      <c r="B519" t="s">
        <v>583</v>
      </c>
    </row>
    <row r="520" spans="1:2" hidden="1">
      <c r="A520">
        <v>40211632</v>
      </c>
      <c r="B520" t="s">
        <v>584</v>
      </c>
    </row>
    <row r="521" spans="1:2" hidden="1">
      <c r="A521">
        <v>40211660</v>
      </c>
      <c r="B521" t="s">
        <v>585</v>
      </c>
    </row>
    <row r="522" spans="1:2" hidden="1">
      <c r="A522">
        <v>40212002</v>
      </c>
      <c r="B522" t="s">
        <v>586</v>
      </c>
    </row>
    <row r="523" spans="1:2" hidden="1">
      <c r="A523">
        <v>40212014</v>
      </c>
      <c r="B523" t="s">
        <v>587</v>
      </c>
    </row>
    <row r="524" spans="1:2" hidden="1">
      <c r="A524">
        <v>40212044</v>
      </c>
      <c r="B524" t="s">
        <v>588</v>
      </c>
    </row>
    <row r="525" spans="1:2" hidden="1">
      <c r="A525">
        <v>40212062</v>
      </c>
      <c r="B525" t="s">
        <v>589</v>
      </c>
    </row>
    <row r="526" spans="1:2" hidden="1">
      <c r="A526">
        <v>40212070</v>
      </c>
      <c r="B526" t="s">
        <v>590</v>
      </c>
    </row>
    <row r="527" spans="1:2" hidden="1">
      <c r="A527">
        <v>40212602</v>
      </c>
      <c r="B527" t="s">
        <v>591</v>
      </c>
    </row>
    <row r="528" spans="1:2" hidden="1">
      <c r="A528">
        <v>40213012</v>
      </c>
      <c r="B528" t="s">
        <v>592</v>
      </c>
    </row>
    <row r="529" spans="1:2" hidden="1">
      <c r="A529">
        <v>40213022</v>
      </c>
      <c r="B529" t="s">
        <v>593</v>
      </c>
    </row>
    <row r="530" spans="1:2" hidden="1">
      <c r="A530">
        <v>40213032</v>
      </c>
      <c r="B530" t="s">
        <v>594</v>
      </c>
    </row>
    <row r="531" spans="1:2" hidden="1">
      <c r="A531">
        <v>40213042</v>
      </c>
      <c r="B531" t="s">
        <v>595</v>
      </c>
    </row>
    <row r="532" spans="1:2" hidden="1">
      <c r="A532">
        <v>40214311</v>
      </c>
      <c r="B532" t="s">
        <v>596</v>
      </c>
    </row>
    <row r="533" spans="1:2" hidden="1">
      <c r="A533">
        <v>40214608</v>
      </c>
      <c r="B533" t="s">
        <v>597</v>
      </c>
    </row>
    <row r="534" spans="1:2" hidden="1">
      <c r="A534">
        <v>40214805</v>
      </c>
      <c r="B534" t="s">
        <v>598</v>
      </c>
    </row>
    <row r="535" spans="1:2" hidden="1">
      <c r="A535">
        <v>40214914</v>
      </c>
      <c r="B535" t="s">
        <v>599</v>
      </c>
    </row>
    <row r="536" spans="1:2" hidden="1">
      <c r="A536">
        <v>40214980</v>
      </c>
      <c r="B536" t="s">
        <v>600</v>
      </c>
    </row>
    <row r="537" spans="1:2" hidden="1">
      <c r="A537">
        <v>40215123</v>
      </c>
      <c r="B537" t="s">
        <v>601</v>
      </c>
    </row>
    <row r="538" spans="1:2" hidden="1">
      <c r="A538">
        <v>40215302</v>
      </c>
      <c r="B538" t="s">
        <v>602</v>
      </c>
    </row>
    <row r="539" spans="1:2" hidden="1">
      <c r="A539">
        <v>40215503</v>
      </c>
      <c r="B539" t="s">
        <v>603</v>
      </c>
    </row>
    <row r="540" spans="1:2" hidden="1">
      <c r="A540">
        <v>40215704</v>
      </c>
      <c r="B540" t="s">
        <v>604</v>
      </c>
    </row>
    <row r="541" spans="1:2" hidden="1">
      <c r="A541">
        <v>40215961</v>
      </c>
      <c r="B541" t="s">
        <v>605</v>
      </c>
    </row>
    <row r="542" spans="1:2" hidden="1">
      <c r="A542">
        <v>40215981</v>
      </c>
      <c r="B542" t="s">
        <v>606</v>
      </c>
    </row>
    <row r="543" spans="1:2" hidden="1">
      <c r="A543">
        <v>40216110</v>
      </c>
      <c r="B543" t="s">
        <v>607</v>
      </c>
    </row>
    <row r="544" spans="1:2" hidden="1">
      <c r="A544">
        <v>40217321</v>
      </c>
      <c r="B544" t="s">
        <v>608</v>
      </c>
    </row>
    <row r="545" spans="1:2" hidden="1">
      <c r="A545">
        <v>40218050</v>
      </c>
      <c r="B545" t="s">
        <v>609</v>
      </c>
    </row>
    <row r="546" spans="1:2" hidden="1">
      <c r="A546">
        <v>40218080</v>
      </c>
      <c r="B546" t="s">
        <v>610</v>
      </c>
    </row>
    <row r="547" spans="1:2" hidden="1">
      <c r="A547">
        <v>40219050</v>
      </c>
      <c r="B547" t="s">
        <v>611</v>
      </c>
    </row>
    <row r="548" spans="1:2" hidden="1">
      <c r="A548">
        <v>40220030</v>
      </c>
      <c r="B548" t="s">
        <v>612</v>
      </c>
    </row>
    <row r="549" spans="1:2" hidden="1">
      <c r="A549">
        <v>40220036</v>
      </c>
      <c r="B549" t="s">
        <v>613</v>
      </c>
    </row>
    <row r="550" spans="1:2" hidden="1">
      <c r="A550">
        <v>40220523</v>
      </c>
      <c r="B550" t="s">
        <v>614</v>
      </c>
    </row>
    <row r="551" spans="1:2" hidden="1">
      <c r="A551">
        <v>40221027</v>
      </c>
      <c r="B551" t="s">
        <v>615</v>
      </c>
    </row>
    <row r="552" spans="1:2" hidden="1">
      <c r="A552">
        <v>40221029</v>
      </c>
      <c r="B552" t="s">
        <v>616</v>
      </c>
    </row>
    <row r="553" spans="1:2" hidden="1">
      <c r="A553">
        <v>40222500</v>
      </c>
      <c r="B553" t="s">
        <v>617</v>
      </c>
    </row>
    <row r="554" spans="1:2" hidden="1">
      <c r="A554">
        <v>40223500</v>
      </c>
      <c r="B554" t="s">
        <v>618</v>
      </c>
    </row>
    <row r="555" spans="1:2" hidden="1">
      <c r="A555">
        <v>40223520</v>
      </c>
      <c r="B555" t="s">
        <v>619</v>
      </c>
    </row>
    <row r="556" spans="1:2" hidden="1">
      <c r="A556">
        <v>40224500</v>
      </c>
      <c r="B556" t="s">
        <v>620</v>
      </c>
    </row>
    <row r="557" spans="1:2" hidden="1">
      <c r="A557">
        <v>40224502</v>
      </c>
      <c r="B557" t="s">
        <v>621</v>
      </c>
    </row>
    <row r="558" spans="1:2" hidden="1">
      <c r="A558">
        <v>40226545</v>
      </c>
      <c r="B558" t="s">
        <v>622</v>
      </c>
    </row>
    <row r="559" spans="1:2" hidden="1">
      <c r="A559">
        <v>40228115</v>
      </c>
      <c r="B559" t="s">
        <v>623</v>
      </c>
    </row>
    <row r="560" spans="1:2" hidden="1">
      <c r="A560">
        <v>40239042</v>
      </c>
      <c r="B560" t="s">
        <v>624</v>
      </c>
    </row>
    <row r="561" spans="1:2" hidden="1">
      <c r="A561">
        <v>40249000</v>
      </c>
      <c r="B561" t="s">
        <v>625</v>
      </c>
    </row>
    <row r="562" spans="1:2" hidden="1">
      <c r="A562">
        <v>40260600</v>
      </c>
      <c r="B562" t="s">
        <v>626</v>
      </c>
    </row>
    <row r="563" spans="1:2" hidden="1">
      <c r="A563">
        <v>40297051</v>
      </c>
      <c r="B563" t="s">
        <v>627</v>
      </c>
    </row>
    <row r="564" spans="1:2" hidden="1">
      <c r="A564">
        <v>40297052</v>
      </c>
      <c r="B564" t="s">
        <v>628</v>
      </c>
    </row>
    <row r="565" spans="1:2" hidden="1">
      <c r="A565">
        <v>40297252</v>
      </c>
      <c r="B565" t="s">
        <v>628</v>
      </c>
    </row>
    <row r="566" spans="1:2" hidden="1">
      <c r="A566">
        <v>40297294</v>
      </c>
      <c r="B566" t="s">
        <v>629</v>
      </c>
    </row>
    <row r="567" spans="1:2" hidden="1">
      <c r="A567">
        <v>40297295</v>
      </c>
      <c r="B567" t="s">
        <v>630</v>
      </c>
    </row>
    <row r="568" spans="1:2" hidden="1">
      <c r="A568">
        <v>40297298</v>
      </c>
      <c r="B568" t="s">
        <v>631</v>
      </c>
    </row>
    <row r="569" spans="1:2" hidden="1">
      <c r="A569">
        <v>40402025</v>
      </c>
      <c r="B569" t="s">
        <v>632</v>
      </c>
    </row>
    <row r="570" spans="1:2" hidden="1">
      <c r="A570">
        <v>40402027</v>
      </c>
      <c r="B570" t="s">
        <v>633</v>
      </c>
    </row>
    <row r="571" spans="1:2" hidden="1">
      <c r="A571">
        <v>40402028</v>
      </c>
      <c r="B571" t="s">
        <v>634</v>
      </c>
    </row>
    <row r="572" spans="1:2" hidden="1">
      <c r="A572">
        <v>40437021</v>
      </c>
      <c r="B572" t="s">
        <v>635</v>
      </c>
    </row>
    <row r="573" spans="1:2" hidden="1">
      <c r="A573">
        <v>40437220</v>
      </c>
      <c r="B573" t="s">
        <v>636</v>
      </c>
    </row>
    <row r="574" spans="1:2" hidden="1">
      <c r="A574">
        <v>40446702</v>
      </c>
      <c r="B574" t="s">
        <v>637</v>
      </c>
    </row>
    <row r="575" spans="1:2" hidden="1">
      <c r="A575">
        <v>40446712</v>
      </c>
      <c r="B575" t="s">
        <v>638</v>
      </c>
    </row>
    <row r="576" spans="1:2" hidden="1">
      <c r="A576" t="s">
        <v>639</v>
      </c>
      <c r="B576" t="s">
        <v>638</v>
      </c>
    </row>
    <row r="577" spans="1:2" hidden="1">
      <c r="A577">
        <v>40455007</v>
      </c>
      <c r="B577" t="s">
        <v>640</v>
      </c>
    </row>
    <row r="578" spans="1:2" hidden="1">
      <c r="A578">
        <v>40455212</v>
      </c>
      <c r="B578" t="s">
        <v>641</v>
      </c>
    </row>
    <row r="579" spans="1:2" hidden="1">
      <c r="A579">
        <v>40455334</v>
      </c>
      <c r="B579" t="s">
        <v>642</v>
      </c>
    </row>
    <row r="580" spans="1:2" hidden="1">
      <c r="A580">
        <v>40455335</v>
      </c>
      <c r="B580" t="s">
        <v>643</v>
      </c>
    </row>
    <row r="581" spans="1:2" hidden="1">
      <c r="A581">
        <v>40460174</v>
      </c>
      <c r="B581" t="s">
        <v>644</v>
      </c>
    </row>
    <row r="582" spans="1:2" hidden="1">
      <c r="A582">
        <v>40460410</v>
      </c>
      <c r="B582" t="s">
        <v>645</v>
      </c>
    </row>
    <row r="583" spans="1:2" hidden="1">
      <c r="A583">
        <v>40460430</v>
      </c>
      <c r="B583" t="s">
        <v>646</v>
      </c>
    </row>
    <row r="584" spans="1:2" hidden="1">
      <c r="A584">
        <v>40460450</v>
      </c>
      <c r="B584" t="s">
        <v>647</v>
      </c>
    </row>
    <row r="585" spans="1:2" hidden="1">
      <c r="A585">
        <v>40461505</v>
      </c>
      <c r="B585" t="s">
        <v>648</v>
      </c>
    </row>
    <row r="586" spans="1:2" hidden="1">
      <c r="A586">
        <v>40461506</v>
      </c>
      <c r="B586" t="s">
        <v>649</v>
      </c>
    </row>
    <row r="587" spans="1:2" hidden="1">
      <c r="A587">
        <v>40461507</v>
      </c>
      <c r="B587" t="s">
        <v>650</v>
      </c>
    </row>
    <row r="588" spans="1:2" hidden="1">
      <c r="A588">
        <v>40461543</v>
      </c>
      <c r="B588" t="s">
        <v>651</v>
      </c>
    </row>
    <row r="589" spans="1:2" hidden="1">
      <c r="A589">
        <v>40466109</v>
      </c>
      <c r="B589" t="s">
        <v>652</v>
      </c>
    </row>
    <row r="590" spans="1:2" hidden="1">
      <c r="A590">
        <v>40466110</v>
      </c>
      <c r="B590" t="s">
        <v>653</v>
      </c>
    </row>
    <row r="591" spans="1:2" hidden="1">
      <c r="A591">
        <v>40466111</v>
      </c>
      <c r="B591" t="s">
        <v>654</v>
      </c>
    </row>
    <row r="592" spans="1:2" hidden="1">
      <c r="A592">
        <v>40466241</v>
      </c>
      <c r="B592" t="s">
        <v>655</v>
      </c>
    </row>
    <row r="593" spans="1:2" hidden="1">
      <c r="A593">
        <v>40466260</v>
      </c>
      <c r="B593" t="s">
        <v>656</v>
      </c>
    </row>
    <row r="594" spans="1:2" hidden="1">
      <c r="A594">
        <v>40467303</v>
      </c>
      <c r="B594" t="s">
        <v>657</v>
      </c>
    </row>
    <row r="595" spans="1:2" hidden="1">
      <c r="A595">
        <v>40467304</v>
      </c>
      <c r="B595" t="s">
        <v>658</v>
      </c>
    </row>
    <row r="596" spans="1:2" hidden="1">
      <c r="A596">
        <v>40467305</v>
      </c>
      <c r="B596" t="s">
        <v>659</v>
      </c>
    </row>
    <row r="597" spans="1:2" hidden="1">
      <c r="A597">
        <v>40467320</v>
      </c>
      <c r="B597" t="s">
        <v>660</v>
      </c>
    </row>
    <row r="598" spans="1:2" hidden="1">
      <c r="A598">
        <v>40468106</v>
      </c>
      <c r="B598" t="s">
        <v>661</v>
      </c>
    </row>
    <row r="599" spans="1:2" hidden="1">
      <c r="A599">
        <v>40468108</v>
      </c>
      <c r="B599" t="s">
        <v>662</v>
      </c>
    </row>
    <row r="600" spans="1:2" hidden="1">
      <c r="A600">
        <v>40468114</v>
      </c>
      <c r="B600" t="s">
        <v>663</v>
      </c>
    </row>
    <row r="601" spans="1:2" hidden="1">
      <c r="A601">
        <v>40468118</v>
      </c>
      <c r="B601" t="s">
        <v>664</v>
      </c>
    </row>
    <row r="602" spans="1:2" hidden="1">
      <c r="A602">
        <v>40468122</v>
      </c>
      <c r="B602" t="s">
        <v>665</v>
      </c>
    </row>
    <row r="603" spans="1:2" hidden="1">
      <c r="A603">
        <v>40474239</v>
      </c>
      <c r="B603" t="s">
        <v>666</v>
      </c>
    </row>
    <row r="604" spans="1:2" hidden="1">
      <c r="A604">
        <v>40474253</v>
      </c>
      <c r="B604" t="s">
        <v>667</v>
      </c>
    </row>
    <row r="605" spans="1:2" hidden="1">
      <c r="A605">
        <v>40476141</v>
      </c>
      <c r="B605" t="s">
        <v>668</v>
      </c>
    </row>
    <row r="606" spans="1:2" hidden="1">
      <c r="A606">
        <v>40476142</v>
      </c>
      <c r="B606" t="s">
        <v>669</v>
      </c>
    </row>
    <row r="607" spans="1:2" hidden="1">
      <c r="A607">
        <v>40478003</v>
      </c>
      <c r="B607" t="s">
        <v>670</v>
      </c>
    </row>
    <row r="608" spans="1:2" hidden="1">
      <c r="A608">
        <v>40478010</v>
      </c>
      <c r="B608" t="s">
        <v>671</v>
      </c>
    </row>
    <row r="609" spans="1:2" hidden="1">
      <c r="A609">
        <v>40478503</v>
      </c>
      <c r="B609" t="s">
        <v>672</v>
      </c>
    </row>
    <row r="610" spans="1:2" hidden="1">
      <c r="A610">
        <v>40478510</v>
      </c>
      <c r="B610" t="s">
        <v>673</v>
      </c>
    </row>
    <row r="611" spans="1:2" hidden="1">
      <c r="A611">
        <v>40480301</v>
      </c>
      <c r="B611" t="s">
        <v>674</v>
      </c>
    </row>
    <row r="612" spans="1:2" hidden="1">
      <c r="A612">
        <v>40480321</v>
      </c>
      <c r="B612" t="s">
        <v>675</v>
      </c>
    </row>
    <row r="613" spans="1:2" hidden="1">
      <c r="A613">
        <v>40482002</v>
      </c>
      <c r="B613" t="s">
        <v>676</v>
      </c>
    </row>
    <row r="614" spans="1:2" hidden="1">
      <c r="A614">
        <v>40482601</v>
      </c>
      <c r="B614" t="s">
        <v>677</v>
      </c>
    </row>
    <row r="615" spans="1:2" hidden="1">
      <c r="A615">
        <v>40482620</v>
      </c>
      <c r="B615" t="s">
        <v>678</v>
      </c>
    </row>
    <row r="616" spans="1:2" hidden="1">
      <c r="A616">
        <v>40483054</v>
      </c>
      <c r="B616" t="s">
        <v>679</v>
      </c>
    </row>
    <row r="617" spans="1:2" hidden="1">
      <c r="A617">
        <v>40483101</v>
      </c>
      <c r="B617" t="s">
        <v>680</v>
      </c>
    </row>
    <row r="618" spans="1:2" hidden="1">
      <c r="A618">
        <v>40483141</v>
      </c>
      <c r="B618" t="s">
        <v>681</v>
      </c>
    </row>
    <row r="619" spans="1:2" hidden="1">
      <c r="A619">
        <v>40483182</v>
      </c>
      <c r="B619" t="s">
        <v>682</v>
      </c>
    </row>
    <row r="620" spans="1:2" hidden="1">
      <c r="A620">
        <v>40483183</v>
      </c>
      <c r="B620" t="s">
        <v>683</v>
      </c>
    </row>
    <row r="621" spans="1:2" hidden="1">
      <c r="A621">
        <v>40483201</v>
      </c>
      <c r="B621" t="s">
        <v>684</v>
      </c>
    </row>
    <row r="622" spans="1:2" hidden="1">
      <c r="A622">
        <v>40483424</v>
      </c>
      <c r="B622" t="s">
        <v>685</v>
      </c>
    </row>
    <row r="623" spans="1:2" hidden="1">
      <c r="A623">
        <v>40483612</v>
      </c>
      <c r="B623" t="s">
        <v>686</v>
      </c>
    </row>
    <row r="624" spans="1:2" hidden="1">
      <c r="A624">
        <v>40484121</v>
      </c>
      <c r="B624" t="s">
        <v>687</v>
      </c>
    </row>
    <row r="625" spans="1:2" hidden="1">
      <c r="A625">
        <v>40484122</v>
      </c>
      <c r="B625" t="s">
        <v>688</v>
      </c>
    </row>
    <row r="626" spans="1:2" hidden="1">
      <c r="A626">
        <v>40484174</v>
      </c>
      <c r="B626" t="s">
        <v>689</v>
      </c>
    </row>
    <row r="627" spans="1:2" hidden="1">
      <c r="A627">
        <v>40484175</v>
      </c>
      <c r="B627" t="s">
        <v>690</v>
      </c>
    </row>
    <row r="628" spans="1:2" hidden="1">
      <c r="A628">
        <v>40484203</v>
      </c>
      <c r="B628" t="s">
        <v>691</v>
      </c>
    </row>
    <row r="629" spans="1:2" hidden="1">
      <c r="A629">
        <v>40484204</v>
      </c>
      <c r="B629" t="s">
        <v>692</v>
      </c>
    </row>
    <row r="630" spans="1:2" hidden="1">
      <c r="A630">
        <v>40484615</v>
      </c>
      <c r="B630" t="s">
        <v>693</v>
      </c>
    </row>
    <row r="631" spans="1:2" hidden="1">
      <c r="A631">
        <v>40484680</v>
      </c>
      <c r="B631" t="s">
        <v>694</v>
      </c>
    </row>
    <row r="632" spans="1:2" hidden="1">
      <c r="A632">
        <v>40484681</v>
      </c>
      <c r="B632" t="s">
        <v>695</v>
      </c>
    </row>
    <row r="633" spans="1:2" hidden="1">
      <c r="A633">
        <v>40484807</v>
      </c>
      <c r="B633" t="s">
        <v>696</v>
      </c>
    </row>
    <row r="634" spans="1:2" hidden="1">
      <c r="A634">
        <v>40485125</v>
      </c>
      <c r="B634" t="s">
        <v>697</v>
      </c>
    </row>
    <row r="635" spans="1:2" hidden="1">
      <c r="A635">
        <v>40485126</v>
      </c>
      <c r="B635" t="s">
        <v>698</v>
      </c>
    </row>
    <row r="636" spans="1:2" hidden="1">
      <c r="A636">
        <v>40485134</v>
      </c>
      <c r="B636" t="s">
        <v>699</v>
      </c>
    </row>
    <row r="637" spans="1:2" hidden="1">
      <c r="A637">
        <v>40485141</v>
      </c>
      <c r="B637" t="s">
        <v>700</v>
      </c>
    </row>
    <row r="638" spans="1:2" hidden="1">
      <c r="A638">
        <v>40485311</v>
      </c>
      <c r="B638" t="s">
        <v>701</v>
      </c>
    </row>
    <row r="639" spans="1:2" hidden="1">
      <c r="A639">
        <v>40485312</v>
      </c>
      <c r="B639" t="s">
        <v>702</v>
      </c>
    </row>
    <row r="640" spans="1:2" hidden="1">
      <c r="A640">
        <v>40485357</v>
      </c>
      <c r="B640" t="s">
        <v>703</v>
      </c>
    </row>
    <row r="641" spans="1:2" hidden="1">
      <c r="A641">
        <v>40485358</v>
      </c>
      <c r="B641" t="s">
        <v>704</v>
      </c>
    </row>
    <row r="642" spans="1:2" hidden="1">
      <c r="A642">
        <v>40487192</v>
      </c>
      <c r="B642" t="s">
        <v>705</v>
      </c>
    </row>
    <row r="643" spans="1:2">
      <c r="A643">
        <v>40543209</v>
      </c>
      <c r="B643" t="s">
        <v>706</v>
      </c>
    </row>
    <row r="644" spans="1:2" hidden="1">
      <c r="A644">
        <v>40578553</v>
      </c>
      <c r="B644" t="s">
        <v>707</v>
      </c>
    </row>
    <row r="645" spans="1:2" hidden="1">
      <c r="A645">
        <v>40582211</v>
      </c>
      <c r="B645" t="s">
        <v>708</v>
      </c>
    </row>
    <row r="646" spans="1:2" hidden="1">
      <c r="A646">
        <v>40582233</v>
      </c>
      <c r="B646" t="s">
        <v>709</v>
      </c>
    </row>
    <row r="647" spans="1:2" hidden="1">
      <c r="A647">
        <v>40582241</v>
      </c>
      <c r="B647" t="s">
        <v>710</v>
      </c>
    </row>
    <row r="648" spans="1:2" hidden="1">
      <c r="A648">
        <v>40582303</v>
      </c>
      <c r="B648" t="s">
        <v>711</v>
      </c>
    </row>
    <row r="649" spans="1:2" hidden="1">
      <c r="A649">
        <v>40582314</v>
      </c>
      <c r="B649" t="s">
        <v>712</v>
      </c>
    </row>
    <row r="650" spans="1:2" hidden="1">
      <c r="A650">
        <v>40583402</v>
      </c>
      <c r="B650" t="s">
        <v>713</v>
      </c>
    </row>
    <row r="651" spans="1:2" hidden="1">
      <c r="A651">
        <v>40583809</v>
      </c>
      <c r="B651" t="s">
        <v>714</v>
      </c>
    </row>
    <row r="652" spans="1:2" hidden="1">
      <c r="A652">
        <v>40583810</v>
      </c>
      <c r="B652" t="s">
        <v>715</v>
      </c>
    </row>
    <row r="653" spans="1:2" hidden="1">
      <c r="A653">
        <v>40584012</v>
      </c>
      <c r="B653" t="s">
        <v>716</v>
      </c>
    </row>
    <row r="654" spans="1:2" hidden="1">
      <c r="A654">
        <v>40584105</v>
      </c>
      <c r="B654" t="s">
        <v>717</v>
      </c>
    </row>
    <row r="655" spans="1:2" hidden="1">
      <c r="A655">
        <v>40584202</v>
      </c>
      <c r="B655" t="s">
        <v>718</v>
      </c>
    </row>
    <row r="656" spans="1:2" hidden="1">
      <c r="A656">
        <v>40584305</v>
      </c>
      <c r="B656" t="s">
        <v>719</v>
      </c>
    </row>
    <row r="657" spans="1:2" hidden="1">
      <c r="A657">
        <v>40584306</v>
      </c>
      <c r="B657" t="s">
        <v>720</v>
      </c>
    </row>
    <row r="658" spans="1:2" hidden="1">
      <c r="A658">
        <v>40584401</v>
      </c>
      <c r="B658" t="s">
        <v>721</v>
      </c>
    </row>
    <row r="659" spans="1:2" hidden="1">
      <c r="A659">
        <v>40586010</v>
      </c>
      <c r="B659" t="s">
        <v>722</v>
      </c>
    </row>
    <row r="660" spans="1:2" hidden="1">
      <c r="A660">
        <v>40586101</v>
      </c>
      <c r="B660" t="s">
        <v>723</v>
      </c>
    </row>
    <row r="661" spans="1:2" hidden="1">
      <c r="A661">
        <v>40586104</v>
      </c>
      <c r="B661" t="s">
        <v>724</v>
      </c>
    </row>
    <row r="662" spans="1:2" hidden="1">
      <c r="A662">
        <v>40586510</v>
      </c>
      <c r="B662" t="s">
        <v>725</v>
      </c>
    </row>
    <row r="663" spans="1:2" hidden="1">
      <c r="A663">
        <v>40587602</v>
      </c>
      <c r="B663" t="s">
        <v>726</v>
      </c>
    </row>
    <row r="664" spans="1:2" hidden="1">
      <c r="A664">
        <v>40589001</v>
      </c>
      <c r="B664" t="s">
        <v>727</v>
      </c>
    </row>
    <row r="665" spans="1:2" hidden="1">
      <c r="A665">
        <v>40589005</v>
      </c>
      <c r="B665" t="s">
        <v>728</v>
      </c>
    </row>
    <row r="666" spans="1:2" hidden="1">
      <c r="A666">
        <v>40589020</v>
      </c>
      <c r="B666" t="s">
        <v>729</v>
      </c>
    </row>
    <row r="667" spans="1:2" hidden="1">
      <c r="A667">
        <v>40589021</v>
      </c>
      <c r="B667" t="s">
        <v>730</v>
      </c>
    </row>
    <row r="668" spans="1:2" hidden="1">
      <c r="A668">
        <v>40589511</v>
      </c>
      <c r="B668" t="s">
        <v>731</v>
      </c>
    </row>
    <row r="669" spans="1:2" hidden="1">
      <c r="A669">
        <v>40589900</v>
      </c>
      <c r="B669" t="s">
        <v>732</v>
      </c>
    </row>
    <row r="670" spans="1:2" hidden="1">
      <c r="A670">
        <v>40589920</v>
      </c>
      <c r="B670" t="s">
        <v>733</v>
      </c>
    </row>
    <row r="671" spans="1:2" hidden="1">
      <c r="A671">
        <v>40590830</v>
      </c>
      <c r="B671" t="s">
        <v>734</v>
      </c>
    </row>
    <row r="672" spans="1:2" hidden="1">
      <c r="A672">
        <v>40590835</v>
      </c>
      <c r="B672" t="s">
        <v>735</v>
      </c>
    </row>
    <row r="673" spans="1:2" hidden="1">
      <c r="A673">
        <v>40599050</v>
      </c>
      <c r="B673" t="s">
        <v>736</v>
      </c>
    </row>
    <row r="674" spans="1:2" hidden="1">
      <c r="A674">
        <v>40672012</v>
      </c>
      <c r="B674" t="s">
        <v>737</v>
      </c>
    </row>
    <row r="675" spans="1:2" hidden="1">
      <c r="A675">
        <v>40682102</v>
      </c>
      <c r="B675" t="s">
        <v>738</v>
      </c>
    </row>
    <row r="676" spans="1:2" hidden="1">
      <c r="A676">
        <v>40716160</v>
      </c>
      <c r="B676" t="s">
        <v>739</v>
      </c>
    </row>
    <row r="677" spans="1:2" hidden="1">
      <c r="A677">
        <v>40716165</v>
      </c>
      <c r="B677" t="s">
        <v>740</v>
      </c>
    </row>
    <row r="678" spans="1:2" hidden="1">
      <c r="A678">
        <v>40716906</v>
      </c>
      <c r="B678" t="s">
        <v>741</v>
      </c>
    </row>
    <row r="679" spans="1:2" hidden="1">
      <c r="A679">
        <v>40722007</v>
      </c>
      <c r="B679" t="s">
        <v>742</v>
      </c>
    </row>
    <row r="680" spans="1:2" hidden="1">
      <c r="A680">
        <v>40782127</v>
      </c>
      <c r="B680" t="s">
        <v>743</v>
      </c>
    </row>
    <row r="681" spans="1:2" hidden="1">
      <c r="A681">
        <v>40782128</v>
      </c>
      <c r="B681" t="s">
        <v>744</v>
      </c>
    </row>
    <row r="682" spans="1:2" hidden="1">
      <c r="A682">
        <v>40782510</v>
      </c>
      <c r="B682" t="s">
        <v>745</v>
      </c>
    </row>
    <row r="683" spans="1:2" hidden="1">
      <c r="A683">
        <v>40876090</v>
      </c>
      <c r="B683" t="s">
        <v>746</v>
      </c>
    </row>
    <row r="684" spans="1:2" hidden="1">
      <c r="A684">
        <v>40911302</v>
      </c>
      <c r="B684" t="s">
        <v>747</v>
      </c>
    </row>
    <row r="685" spans="1:2" hidden="1">
      <c r="A685">
        <v>40931802</v>
      </c>
      <c r="B685" t="s">
        <v>748</v>
      </c>
    </row>
    <row r="686" spans="1:2" hidden="1">
      <c r="A686">
        <v>40971802</v>
      </c>
      <c r="B686" t="s">
        <v>749</v>
      </c>
    </row>
    <row r="687" spans="1:2" hidden="1">
      <c r="A687">
        <v>4097845</v>
      </c>
      <c r="B687" t="s">
        <v>750</v>
      </c>
    </row>
    <row r="688" spans="1:2" hidden="1">
      <c r="A688">
        <v>41009001</v>
      </c>
      <c r="B688" t="s">
        <v>751</v>
      </c>
    </row>
    <row r="689" spans="1:2" hidden="1">
      <c r="A689">
        <v>41013002</v>
      </c>
      <c r="B689" t="s">
        <v>752</v>
      </c>
    </row>
    <row r="690" spans="1:2" hidden="1">
      <c r="A690">
        <v>41016102</v>
      </c>
      <c r="B690" t="s">
        <v>753</v>
      </c>
    </row>
    <row r="691" spans="1:2" hidden="1">
      <c r="A691">
        <v>41020101</v>
      </c>
      <c r="B691" t="s">
        <v>754</v>
      </c>
    </row>
    <row r="692" spans="1:2" hidden="1">
      <c r="A692">
        <v>41022030</v>
      </c>
      <c r="B692" t="s">
        <v>755</v>
      </c>
    </row>
    <row r="693" spans="1:2" hidden="1">
      <c r="A693">
        <v>41028100</v>
      </c>
      <c r="B693" t="s">
        <v>756</v>
      </c>
    </row>
    <row r="694" spans="1:2" hidden="1">
      <c r="A694">
        <v>41070000</v>
      </c>
      <c r="B694" t="s">
        <v>757</v>
      </c>
    </row>
    <row r="695" spans="1:2" hidden="1">
      <c r="A695">
        <v>41508110</v>
      </c>
      <c r="B695" t="s">
        <v>758</v>
      </c>
    </row>
    <row r="696" spans="1:2" hidden="1">
      <c r="A696">
        <v>41508111</v>
      </c>
      <c r="B696" t="s">
        <v>759</v>
      </c>
    </row>
    <row r="697" spans="1:2" hidden="1">
      <c r="A697">
        <v>41508410</v>
      </c>
      <c r="B697" t="s">
        <v>760</v>
      </c>
    </row>
    <row r="698" spans="1:2" hidden="1">
      <c r="A698">
        <v>41509010</v>
      </c>
      <c r="B698" t="s">
        <v>761</v>
      </c>
    </row>
    <row r="699" spans="1:2" hidden="1">
      <c r="A699">
        <v>41509011</v>
      </c>
      <c r="B699" t="s">
        <v>762</v>
      </c>
    </row>
    <row r="700" spans="1:2" hidden="1">
      <c r="A700">
        <v>41519010</v>
      </c>
      <c r="B700" t="s">
        <v>763</v>
      </c>
    </row>
    <row r="701" spans="1:2" hidden="1">
      <c r="A701">
        <v>41521110</v>
      </c>
      <c r="B701" t="s">
        <v>764</v>
      </c>
    </row>
    <row r="702" spans="1:2" hidden="1">
      <c r="A702">
        <v>41521810</v>
      </c>
      <c r="B702" t="s">
        <v>765</v>
      </c>
    </row>
    <row r="703" spans="1:2" hidden="1">
      <c r="A703">
        <v>41522410</v>
      </c>
      <c r="B703" t="s">
        <v>766</v>
      </c>
    </row>
    <row r="704" spans="1:2" hidden="1">
      <c r="A704">
        <v>41523010</v>
      </c>
      <c r="B704" t="s">
        <v>767</v>
      </c>
    </row>
    <row r="705" spans="1:2" hidden="1">
      <c r="A705">
        <v>41523110</v>
      </c>
      <c r="B705" t="s">
        <v>768</v>
      </c>
    </row>
    <row r="706" spans="1:2" hidden="1">
      <c r="A706">
        <v>41550210</v>
      </c>
      <c r="B706" t="s">
        <v>769</v>
      </c>
    </row>
    <row r="707" spans="1:2" hidden="1">
      <c r="A707">
        <v>41551210</v>
      </c>
      <c r="B707" t="s">
        <v>770</v>
      </c>
    </row>
    <row r="708" spans="1:2" hidden="1">
      <c r="A708">
        <v>41552810</v>
      </c>
      <c r="B708" t="s">
        <v>771</v>
      </c>
    </row>
    <row r="709" spans="1:2" hidden="1">
      <c r="A709">
        <v>41553410</v>
      </c>
      <c r="B709" t="s">
        <v>772</v>
      </c>
    </row>
    <row r="710" spans="1:2" hidden="1">
      <c r="A710">
        <v>41558710</v>
      </c>
      <c r="B710" t="s">
        <v>773</v>
      </c>
    </row>
    <row r="711" spans="1:2" hidden="1">
      <c r="A711">
        <v>41560034</v>
      </c>
      <c r="B711" t="s">
        <v>774</v>
      </c>
    </row>
    <row r="712" spans="1:2" hidden="1">
      <c r="A712">
        <v>41560041</v>
      </c>
      <c r="B712" t="s">
        <v>775</v>
      </c>
    </row>
    <row r="713" spans="1:2" hidden="1">
      <c r="A713">
        <v>41560061</v>
      </c>
      <c r="B713" t="s">
        <v>776</v>
      </c>
    </row>
    <row r="714" spans="1:2" hidden="1">
      <c r="A714">
        <v>41560074</v>
      </c>
      <c r="B714" t="s">
        <v>191</v>
      </c>
    </row>
    <row r="715" spans="1:2" hidden="1">
      <c r="A715">
        <v>41560079</v>
      </c>
      <c r="B715" t="s">
        <v>777</v>
      </c>
    </row>
    <row r="716" spans="1:2" hidden="1">
      <c r="A716">
        <v>41560096</v>
      </c>
      <c r="B716" t="s">
        <v>778</v>
      </c>
    </row>
    <row r="717" spans="1:2" hidden="1">
      <c r="A717">
        <v>41560124</v>
      </c>
      <c r="B717" t="s">
        <v>779</v>
      </c>
    </row>
    <row r="718" spans="1:2" hidden="1">
      <c r="A718">
        <v>41560142</v>
      </c>
      <c r="B718" t="s">
        <v>780</v>
      </c>
    </row>
    <row r="719" spans="1:2" hidden="1">
      <c r="A719">
        <v>41560151</v>
      </c>
      <c r="B719" t="s">
        <v>781</v>
      </c>
    </row>
    <row r="720" spans="1:2" hidden="1">
      <c r="A720">
        <v>41560166</v>
      </c>
      <c r="B720" t="s">
        <v>782</v>
      </c>
    </row>
    <row r="721" spans="1:2" hidden="1">
      <c r="A721">
        <v>41566023</v>
      </c>
      <c r="B721" t="s">
        <v>783</v>
      </c>
    </row>
    <row r="722" spans="1:2" hidden="1">
      <c r="A722">
        <v>41575310</v>
      </c>
      <c r="B722" t="s">
        <v>784</v>
      </c>
    </row>
    <row r="723" spans="1:2" hidden="1">
      <c r="A723">
        <v>41575510</v>
      </c>
      <c r="B723" t="s">
        <v>785</v>
      </c>
    </row>
    <row r="724" spans="1:2" hidden="1">
      <c r="A724">
        <v>41579810</v>
      </c>
      <c r="B724" t="s">
        <v>786</v>
      </c>
    </row>
    <row r="725" spans="1:2" hidden="1">
      <c r="A725">
        <v>41580010</v>
      </c>
      <c r="B725" t="s">
        <v>787</v>
      </c>
    </row>
    <row r="726" spans="1:2" hidden="1">
      <c r="A726">
        <v>41580110</v>
      </c>
      <c r="B726" t="s">
        <v>788</v>
      </c>
    </row>
    <row r="727" spans="1:2" hidden="1">
      <c r="A727">
        <v>41588410</v>
      </c>
      <c r="B727" t="s">
        <v>789</v>
      </c>
    </row>
    <row r="728" spans="1:2" hidden="1">
      <c r="A728">
        <v>41592100</v>
      </c>
      <c r="B728" t="s">
        <v>790</v>
      </c>
    </row>
    <row r="729" spans="1:2" hidden="1">
      <c r="A729">
        <v>41592210</v>
      </c>
      <c r="B729" t="s">
        <v>791</v>
      </c>
    </row>
    <row r="730" spans="1:2" hidden="1">
      <c r="A730">
        <v>41592216</v>
      </c>
      <c r="B730" t="s">
        <v>792</v>
      </c>
    </row>
    <row r="731" spans="1:2" hidden="1">
      <c r="A731">
        <v>41592227</v>
      </c>
      <c r="B731" t="s">
        <v>793</v>
      </c>
    </row>
    <row r="732" spans="1:2" hidden="1">
      <c r="A732">
        <v>41592300</v>
      </c>
      <c r="B732" t="s">
        <v>794</v>
      </c>
    </row>
    <row r="733" spans="1:2" hidden="1">
      <c r="A733">
        <v>41592306</v>
      </c>
      <c r="B733" t="s">
        <v>795</v>
      </c>
    </row>
    <row r="734" spans="1:2" hidden="1">
      <c r="A734">
        <v>41593001</v>
      </c>
      <c r="B734" t="s">
        <v>796</v>
      </c>
    </row>
    <row r="735" spans="1:2" hidden="1">
      <c r="A735">
        <v>41593003</v>
      </c>
      <c r="B735" t="s">
        <v>797</v>
      </c>
    </row>
    <row r="736" spans="1:2" hidden="1">
      <c r="A736">
        <v>41593007</v>
      </c>
      <c r="B736" t="s">
        <v>798</v>
      </c>
    </row>
    <row r="737" spans="1:2" hidden="1">
      <c r="A737">
        <v>41593010</v>
      </c>
      <c r="B737" t="s">
        <v>799</v>
      </c>
    </row>
    <row r="738" spans="1:2" hidden="1">
      <c r="A738">
        <v>41593015</v>
      </c>
      <c r="B738" t="s">
        <v>800</v>
      </c>
    </row>
    <row r="739" spans="1:2" hidden="1">
      <c r="A739">
        <v>41595020</v>
      </c>
      <c r="B739" t="s">
        <v>801</v>
      </c>
    </row>
    <row r="740" spans="1:2" hidden="1">
      <c r="A740">
        <v>41595022</v>
      </c>
      <c r="B740" t="s">
        <v>802</v>
      </c>
    </row>
    <row r="741" spans="1:2" hidden="1">
      <c r="A741">
        <v>41595026</v>
      </c>
      <c r="B741" t="s">
        <v>803</v>
      </c>
    </row>
    <row r="742" spans="1:2" hidden="1">
      <c r="A742">
        <v>41596001</v>
      </c>
      <c r="B742" t="s">
        <v>804</v>
      </c>
    </row>
    <row r="743" spans="1:2" hidden="1">
      <c r="A743">
        <v>41596006</v>
      </c>
      <c r="B743" t="s">
        <v>805</v>
      </c>
    </row>
    <row r="744" spans="1:2" hidden="1">
      <c r="A744">
        <v>41596121</v>
      </c>
      <c r="B744" t="s">
        <v>806</v>
      </c>
    </row>
    <row r="745" spans="1:2" hidden="1">
      <c r="A745">
        <v>41597410</v>
      </c>
      <c r="B745" t="s">
        <v>807</v>
      </c>
    </row>
    <row r="746" spans="1:2" hidden="1">
      <c r="A746">
        <v>41597411</v>
      </c>
      <c r="B746" t="s">
        <v>808</v>
      </c>
    </row>
    <row r="747" spans="1:2">
      <c r="A747">
        <v>41597501</v>
      </c>
      <c r="B747" t="s">
        <v>809</v>
      </c>
    </row>
    <row r="748" spans="1:2" hidden="1">
      <c r="A748">
        <v>41598021</v>
      </c>
      <c r="B748" t="s">
        <v>810</v>
      </c>
    </row>
    <row r="749" spans="1:2" hidden="1">
      <c r="A749">
        <v>41598031</v>
      </c>
      <c r="B749" t="s">
        <v>811</v>
      </c>
    </row>
    <row r="750" spans="1:2" hidden="1">
      <c r="A750">
        <v>41599005</v>
      </c>
      <c r="B750" t="s">
        <v>812</v>
      </c>
    </row>
    <row r="751" spans="1:2" hidden="1">
      <c r="A751">
        <v>41599012</v>
      </c>
      <c r="B751" t="s">
        <v>813</v>
      </c>
    </row>
    <row r="752" spans="1:2" hidden="1">
      <c r="A752">
        <v>461220200</v>
      </c>
      <c r="B752" t="s">
        <v>814</v>
      </c>
    </row>
    <row r="753" spans="1:2" hidden="1">
      <c r="A753">
        <v>462320200</v>
      </c>
      <c r="B753" t="s">
        <v>815</v>
      </c>
    </row>
    <row r="754" spans="1:2" hidden="1">
      <c r="A754" t="s">
        <v>816</v>
      </c>
      <c r="B754" t="s">
        <v>817</v>
      </c>
    </row>
    <row r="755" spans="1:2" hidden="1">
      <c r="A755">
        <v>463420200</v>
      </c>
      <c r="B755" t="s">
        <v>818</v>
      </c>
    </row>
    <row r="756" spans="1:2" hidden="1">
      <c r="A756">
        <v>463460210</v>
      </c>
      <c r="B756" t="s">
        <v>819</v>
      </c>
    </row>
    <row r="757" spans="1:2" hidden="1">
      <c r="A757">
        <v>469780210</v>
      </c>
      <c r="B757" t="s">
        <v>820</v>
      </c>
    </row>
    <row r="758" spans="1:2" hidden="1">
      <c r="A758">
        <v>49002040</v>
      </c>
      <c r="B758" t="s">
        <v>821</v>
      </c>
    </row>
    <row r="759" spans="1:2" hidden="1">
      <c r="A759">
        <v>49004840</v>
      </c>
      <c r="B759" t="s">
        <v>821</v>
      </c>
    </row>
    <row r="760" spans="1:2" hidden="1">
      <c r="A760" t="s">
        <v>822</v>
      </c>
      <c r="B760" t="s">
        <v>823</v>
      </c>
    </row>
    <row r="761" spans="1:2" hidden="1">
      <c r="A761" t="s">
        <v>824</v>
      </c>
      <c r="B761" t="s">
        <v>825</v>
      </c>
    </row>
    <row r="762" spans="1:2" hidden="1">
      <c r="A762">
        <v>49004848</v>
      </c>
      <c r="B762" t="s">
        <v>826</v>
      </c>
    </row>
    <row r="763" spans="1:2" hidden="1">
      <c r="A763">
        <v>49004850</v>
      </c>
      <c r="B763" t="s">
        <v>827</v>
      </c>
    </row>
    <row r="764" spans="1:2" hidden="1">
      <c r="A764" t="s">
        <v>828</v>
      </c>
      <c r="B764" t="s">
        <v>829</v>
      </c>
    </row>
    <row r="765" spans="1:2" hidden="1">
      <c r="A765">
        <v>49004852</v>
      </c>
      <c r="B765" t="s">
        <v>830</v>
      </c>
    </row>
    <row r="766" spans="1:2" hidden="1">
      <c r="A766">
        <v>49004853</v>
      </c>
      <c r="B766" t="s">
        <v>831</v>
      </c>
    </row>
    <row r="767" spans="1:2" hidden="1">
      <c r="A767">
        <v>49004860</v>
      </c>
      <c r="B767" t="s">
        <v>832</v>
      </c>
    </row>
    <row r="768" spans="1:2" hidden="1">
      <c r="A768">
        <v>49004861</v>
      </c>
      <c r="B768" t="s">
        <v>833</v>
      </c>
    </row>
    <row r="769" spans="1:2" hidden="1">
      <c r="A769">
        <v>49004862</v>
      </c>
      <c r="B769" t="s">
        <v>834</v>
      </c>
    </row>
    <row r="770" spans="1:2" hidden="1">
      <c r="A770">
        <v>49004863</v>
      </c>
      <c r="B770" t="s">
        <v>835</v>
      </c>
    </row>
    <row r="771" spans="1:2" hidden="1">
      <c r="A771">
        <v>49004864</v>
      </c>
      <c r="B771" t="s">
        <v>836</v>
      </c>
    </row>
    <row r="772" spans="1:2" hidden="1">
      <c r="A772">
        <v>49004865</v>
      </c>
      <c r="B772" t="s">
        <v>837</v>
      </c>
    </row>
    <row r="773" spans="1:2" hidden="1">
      <c r="A773">
        <v>49004866</v>
      </c>
      <c r="B773" t="s">
        <v>838</v>
      </c>
    </row>
    <row r="774" spans="1:2" hidden="1">
      <c r="A774">
        <v>49004867</v>
      </c>
      <c r="B774" t="s">
        <v>839</v>
      </c>
    </row>
    <row r="775" spans="1:2" hidden="1">
      <c r="A775">
        <v>49004868</v>
      </c>
      <c r="B775" t="s">
        <v>840</v>
      </c>
    </row>
    <row r="776" spans="1:2" hidden="1">
      <c r="A776">
        <v>49004869</v>
      </c>
      <c r="B776" t="s">
        <v>841</v>
      </c>
    </row>
    <row r="777" spans="1:2" hidden="1">
      <c r="A777">
        <v>49004870</v>
      </c>
      <c r="B777" t="s">
        <v>842</v>
      </c>
    </row>
    <row r="778" spans="1:2" hidden="1">
      <c r="A778" t="s">
        <v>843</v>
      </c>
      <c r="B778" t="s">
        <v>844</v>
      </c>
    </row>
    <row r="779" spans="1:2" hidden="1">
      <c r="A779">
        <v>503420218</v>
      </c>
      <c r="B779" t="s">
        <v>845</v>
      </c>
    </row>
    <row r="780" spans="1:2" hidden="1">
      <c r="A780" t="s">
        <v>846</v>
      </c>
      <c r="B780" t="s">
        <v>847</v>
      </c>
    </row>
    <row r="781" spans="1:2" hidden="1">
      <c r="A781" t="s">
        <v>848</v>
      </c>
      <c r="B781" t="s">
        <v>844</v>
      </c>
    </row>
    <row r="782" spans="1:2" hidden="1">
      <c r="A782">
        <v>509150210</v>
      </c>
      <c r="B782" t="s">
        <v>849</v>
      </c>
    </row>
    <row r="783" spans="1:2" hidden="1">
      <c r="A783" t="s">
        <v>850</v>
      </c>
      <c r="B783" t="s">
        <v>849</v>
      </c>
    </row>
    <row r="784" spans="1:2" hidden="1">
      <c r="A784" t="s">
        <v>851</v>
      </c>
      <c r="B784" t="s">
        <v>849</v>
      </c>
    </row>
    <row r="785" spans="1:2" hidden="1">
      <c r="A785">
        <v>5310212</v>
      </c>
      <c r="B785" t="s">
        <v>852</v>
      </c>
    </row>
    <row r="786" spans="1:2" hidden="1">
      <c r="A786">
        <v>5317112</v>
      </c>
      <c r="B786" t="s">
        <v>853</v>
      </c>
    </row>
    <row r="787" spans="1:2" hidden="1">
      <c r="A787">
        <v>5323212</v>
      </c>
      <c r="B787" t="s">
        <v>854</v>
      </c>
    </row>
    <row r="788" spans="1:2" hidden="1">
      <c r="A788">
        <v>5324112</v>
      </c>
      <c r="B788" t="s">
        <v>855</v>
      </c>
    </row>
    <row r="789" spans="1:2" hidden="1">
      <c r="A789">
        <v>53341612</v>
      </c>
      <c r="B789" t="s">
        <v>856</v>
      </c>
    </row>
    <row r="790" spans="1:2" hidden="1">
      <c r="A790">
        <v>539121210</v>
      </c>
      <c r="B790" t="s">
        <v>857</v>
      </c>
    </row>
    <row r="791" spans="1:2" hidden="1">
      <c r="A791">
        <v>539156200</v>
      </c>
      <c r="B791" t="s">
        <v>858</v>
      </c>
    </row>
    <row r="792" spans="1:2" hidden="1">
      <c r="A792" t="s">
        <v>859</v>
      </c>
      <c r="B792" t="s">
        <v>860</v>
      </c>
    </row>
    <row r="793" spans="1:2" hidden="1">
      <c r="A793">
        <v>539391200</v>
      </c>
      <c r="B793" t="s">
        <v>861</v>
      </c>
    </row>
    <row r="794" spans="1:2" hidden="1">
      <c r="A794">
        <v>53991512</v>
      </c>
      <c r="B794" t="s">
        <v>862</v>
      </c>
    </row>
    <row r="795" spans="1:2" hidden="1">
      <c r="A795">
        <v>539940200</v>
      </c>
      <c r="B795" t="s">
        <v>863</v>
      </c>
    </row>
    <row r="796" spans="1:2" hidden="1">
      <c r="A796" t="s">
        <v>864</v>
      </c>
      <c r="B796" t="s">
        <v>865</v>
      </c>
    </row>
    <row r="797" spans="1:2" hidden="1">
      <c r="A797" t="s">
        <v>866</v>
      </c>
      <c r="B797" t="s">
        <v>867</v>
      </c>
    </row>
    <row r="798" spans="1:2" hidden="1">
      <c r="A798" t="s">
        <v>868</v>
      </c>
      <c r="B798" t="s">
        <v>869</v>
      </c>
    </row>
    <row r="799" spans="1:2" hidden="1">
      <c r="A799" t="s">
        <v>870</v>
      </c>
      <c r="B799" t="s">
        <v>869</v>
      </c>
    </row>
    <row r="800" spans="1:2" hidden="1">
      <c r="A800" t="s">
        <v>871</v>
      </c>
      <c r="B800" t="s">
        <v>872</v>
      </c>
    </row>
    <row r="801" spans="1:2" hidden="1">
      <c r="A801" t="s">
        <v>873</v>
      </c>
      <c r="B801" t="s">
        <v>872</v>
      </c>
    </row>
    <row r="802" spans="1:2" hidden="1">
      <c r="A802" t="s">
        <v>874</v>
      </c>
      <c r="B802" t="s">
        <v>875</v>
      </c>
    </row>
    <row r="803" spans="1:2" hidden="1">
      <c r="A803" t="s">
        <v>876</v>
      </c>
      <c r="B803" t="s">
        <v>877</v>
      </c>
    </row>
    <row r="804" spans="1:2" hidden="1">
      <c r="A804" t="s">
        <v>878</v>
      </c>
      <c r="B804" t="s">
        <v>879</v>
      </c>
    </row>
    <row r="805" spans="1:2" hidden="1">
      <c r="A805">
        <v>551220200</v>
      </c>
      <c r="B805" t="s">
        <v>880</v>
      </c>
    </row>
    <row r="806" spans="1:2" hidden="1">
      <c r="A806">
        <v>552320200</v>
      </c>
      <c r="B806" t="s">
        <v>881</v>
      </c>
    </row>
    <row r="807" spans="1:2" hidden="1">
      <c r="A807" t="s">
        <v>882</v>
      </c>
      <c r="B807" t="s">
        <v>883</v>
      </c>
    </row>
    <row r="808" spans="1:2" hidden="1">
      <c r="A808">
        <v>553460210</v>
      </c>
      <c r="B808" t="s">
        <v>884</v>
      </c>
    </row>
    <row r="809" spans="1:2" hidden="1">
      <c r="A809">
        <v>553660210</v>
      </c>
      <c r="B809" t="s">
        <v>885</v>
      </c>
    </row>
    <row r="810" spans="1:2" hidden="1">
      <c r="A810">
        <v>559950210</v>
      </c>
      <c r="B810" t="s">
        <v>886</v>
      </c>
    </row>
    <row r="811" spans="1:2" hidden="1">
      <c r="A811">
        <v>60703046</v>
      </c>
      <c r="B811" t="s">
        <v>887</v>
      </c>
    </row>
    <row r="812" spans="1:2" hidden="1">
      <c r="A812">
        <v>60803165</v>
      </c>
      <c r="B812" t="s">
        <v>888</v>
      </c>
    </row>
    <row r="813" spans="1:2" hidden="1">
      <c r="A813">
        <v>60803172</v>
      </c>
      <c r="B813" t="s">
        <v>889</v>
      </c>
    </row>
    <row r="814" spans="1:2" hidden="1">
      <c r="A814">
        <v>61001000</v>
      </c>
      <c r="B814" t="s">
        <v>890</v>
      </c>
    </row>
    <row r="815" spans="1:2" hidden="1">
      <c r="A815">
        <v>61001034</v>
      </c>
      <c r="B815" t="s">
        <v>891</v>
      </c>
    </row>
    <row r="816" spans="1:2" hidden="1">
      <c r="A816">
        <v>61001076</v>
      </c>
      <c r="B816" t="s">
        <v>892</v>
      </c>
    </row>
    <row r="817" spans="1:2" hidden="1">
      <c r="A817">
        <v>61001097</v>
      </c>
      <c r="B817" t="s">
        <v>893</v>
      </c>
    </row>
    <row r="818" spans="1:2" hidden="1">
      <c r="A818">
        <v>61001104</v>
      </c>
      <c r="B818" t="s">
        <v>894</v>
      </c>
    </row>
    <row r="819" spans="1:2" hidden="1">
      <c r="A819">
        <v>61001108</v>
      </c>
      <c r="B819" t="s">
        <v>895</v>
      </c>
    </row>
    <row r="820" spans="1:2" hidden="1">
      <c r="A820">
        <v>61001109</v>
      </c>
      <c r="B820" t="s">
        <v>896</v>
      </c>
    </row>
    <row r="821" spans="1:2" hidden="1">
      <c r="A821">
        <v>61001113</v>
      </c>
      <c r="B821" t="s">
        <v>897</v>
      </c>
    </row>
    <row r="822" spans="1:2" hidden="1">
      <c r="A822">
        <v>61001189</v>
      </c>
      <c r="B822" t="s">
        <v>898</v>
      </c>
    </row>
    <row r="823" spans="1:2" hidden="1">
      <c r="A823">
        <v>61001190</v>
      </c>
      <c r="B823" t="s">
        <v>899</v>
      </c>
    </row>
    <row r="824" spans="1:2" hidden="1">
      <c r="A824">
        <v>61001192</v>
      </c>
      <c r="B824" t="s">
        <v>900</v>
      </c>
    </row>
    <row r="825" spans="1:2" hidden="1">
      <c r="A825">
        <v>61001199</v>
      </c>
      <c r="B825" t="s">
        <v>901</v>
      </c>
    </row>
    <row r="826" spans="1:2" hidden="1">
      <c r="A826">
        <v>61001229</v>
      </c>
      <c r="B826" t="s">
        <v>902</v>
      </c>
    </row>
    <row r="827" spans="1:2" hidden="1">
      <c r="A827">
        <v>61001230</v>
      </c>
      <c r="B827" t="s">
        <v>903</v>
      </c>
    </row>
    <row r="828" spans="1:2" hidden="1">
      <c r="A828">
        <v>61001232</v>
      </c>
      <c r="B828" t="s">
        <v>904</v>
      </c>
    </row>
    <row r="829" spans="1:2" hidden="1">
      <c r="A829">
        <v>61001269</v>
      </c>
      <c r="B829" t="s">
        <v>905</v>
      </c>
    </row>
    <row r="830" spans="1:2" hidden="1">
      <c r="A830">
        <v>61001272</v>
      </c>
      <c r="B830" t="s">
        <v>906</v>
      </c>
    </row>
    <row r="831" spans="1:2" hidden="1">
      <c r="A831">
        <v>61001276</v>
      </c>
      <c r="B831" t="s">
        <v>907</v>
      </c>
    </row>
    <row r="832" spans="1:2" hidden="1">
      <c r="A832">
        <v>61001300</v>
      </c>
      <c r="B832" t="s">
        <v>908</v>
      </c>
    </row>
    <row r="833" spans="1:2" hidden="1">
      <c r="A833">
        <v>61001301</v>
      </c>
      <c r="B833" t="s">
        <v>909</v>
      </c>
    </row>
    <row r="834" spans="1:2" hidden="1">
      <c r="A834">
        <v>61001302</v>
      </c>
      <c r="B834" t="s">
        <v>910</v>
      </c>
    </row>
    <row r="835" spans="1:2" hidden="1">
      <c r="A835">
        <v>61001303</v>
      </c>
      <c r="B835" t="s">
        <v>911</v>
      </c>
    </row>
    <row r="836" spans="1:2" hidden="1">
      <c r="A836">
        <v>61001305</v>
      </c>
      <c r="B836" t="s">
        <v>912</v>
      </c>
    </row>
    <row r="837" spans="1:2" hidden="1">
      <c r="A837">
        <v>61001320</v>
      </c>
      <c r="B837" t="s">
        <v>913</v>
      </c>
    </row>
    <row r="838" spans="1:2" hidden="1">
      <c r="A838">
        <v>61801232</v>
      </c>
      <c r="B838" t="s">
        <v>914</v>
      </c>
    </row>
    <row r="839" spans="1:2" hidden="1">
      <c r="A839">
        <v>61801236</v>
      </c>
      <c r="B839" t="s">
        <v>915</v>
      </c>
    </row>
    <row r="840" spans="1:2" hidden="1">
      <c r="A840">
        <v>61801239</v>
      </c>
      <c r="B840" t="s">
        <v>916</v>
      </c>
    </row>
    <row r="841" spans="1:2" hidden="1">
      <c r="A841">
        <v>61867050</v>
      </c>
      <c r="B841" t="s">
        <v>917</v>
      </c>
    </row>
    <row r="842" spans="1:2" hidden="1">
      <c r="A842">
        <v>622410200</v>
      </c>
      <c r="B842" t="s">
        <v>918</v>
      </c>
    </row>
    <row r="843" spans="1:2" hidden="1">
      <c r="A843" t="s">
        <v>919</v>
      </c>
      <c r="B843" t="s">
        <v>920</v>
      </c>
    </row>
    <row r="844" spans="1:2" hidden="1">
      <c r="A844" t="s">
        <v>921</v>
      </c>
      <c r="B844" t="s">
        <v>922</v>
      </c>
    </row>
    <row r="845" spans="1:2" hidden="1">
      <c r="A845" t="s">
        <v>923</v>
      </c>
      <c r="B845" t="s">
        <v>924</v>
      </c>
    </row>
    <row r="846" spans="1:2" hidden="1">
      <c r="A846" t="s">
        <v>925</v>
      </c>
      <c r="B846" t="s">
        <v>926</v>
      </c>
    </row>
    <row r="847" spans="1:2" hidden="1">
      <c r="A847" t="s">
        <v>927</v>
      </c>
      <c r="B847" t="s">
        <v>928</v>
      </c>
    </row>
    <row r="848" spans="1:2" hidden="1">
      <c r="A848">
        <v>629150210</v>
      </c>
      <c r="B848" t="s">
        <v>929</v>
      </c>
    </row>
    <row r="849" spans="1:2" hidden="1">
      <c r="A849" t="s">
        <v>930</v>
      </c>
      <c r="B849" t="s">
        <v>929</v>
      </c>
    </row>
    <row r="850" spans="1:2" hidden="1">
      <c r="A850" t="s">
        <v>931</v>
      </c>
      <c r="B850" t="s">
        <v>929</v>
      </c>
    </row>
    <row r="851" spans="1:2" hidden="1">
      <c r="A851" t="s">
        <v>932</v>
      </c>
      <c r="B851" t="s">
        <v>933</v>
      </c>
    </row>
    <row r="852" spans="1:2" hidden="1">
      <c r="A852" t="s">
        <v>934</v>
      </c>
      <c r="B852" t="s">
        <v>933</v>
      </c>
    </row>
    <row r="853" spans="1:2" hidden="1">
      <c r="A853" t="s">
        <v>935</v>
      </c>
      <c r="B853" t="s">
        <v>936</v>
      </c>
    </row>
    <row r="854" spans="1:2" hidden="1">
      <c r="A854" t="s">
        <v>937</v>
      </c>
      <c r="B854" t="s">
        <v>938</v>
      </c>
    </row>
    <row r="855" spans="1:2" hidden="1">
      <c r="A855">
        <v>749140200</v>
      </c>
      <c r="B855" t="s">
        <v>939</v>
      </c>
    </row>
    <row r="856" spans="1:2" hidden="1">
      <c r="A856">
        <v>749140210</v>
      </c>
      <c r="B856" t="s">
        <v>940</v>
      </c>
    </row>
    <row r="857" spans="1:2" hidden="1">
      <c r="A857">
        <v>749150200</v>
      </c>
      <c r="B857" t="s">
        <v>941</v>
      </c>
    </row>
    <row r="858" spans="1:2" hidden="1">
      <c r="A858">
        <v>749390210</v>
      </c>
      <c r="B858" t="s">
        <v>942</v>
      </c>
    </row>
    <row r="859" spans="1:2" hidden="1">
      <c r="A859">
        <v>749830210</v>
      </c>
      <c r="B859" t="s">
        <v>943</v>
      </c>
    </row>
    <row r="860" spans="1:2" hidden="1">
      <c r="A860">
        <v>780130200</v>
      </c>
      <c r="B860" t="s">
        <v>944</v>
      </c>
    </row>
    <row r="861" spans="1:2" hidden="1">
      <c r="A861">
        <v>7900150</v>
      </c>
      <c r="B861" t="s">
        <v>945</v>
      </c>
    </row>
    <row r="862" spans="1:2" hidden="1">
      <c r="A862">
        <v>790027200</v>
      </c>
      <c r="B862" t="s">
        <v>946</v>
      </c>
    </row>
    <row r="863" spans="1:2" hidden="1">
      <c r="A863">
        <v>7900550</v>
      </c>
      <c r="B863" t="s">
        <v>947</v>
      </c>
    </row>
    <row r="864" spans="1:2" hidden="1">
      <c r="A864">
        <v>7900602</v>
      </c>
      <c r="B864" t="s">
        <v>948</v>
      </c>
    </row>
    <row r="865" spans="1:2" hidden="1">
      <c r="A865">
        <v>7900603</v>
      </c>
      <c r="B865" t="s">
        <v>949</v>
      </c>
    </row>
    <row r="866" spans="1:2" hidden="1">
      <c r="A866">
        <v>7900605</v>
      </c>
      <c r="B866" t="s">
        <v>950</v>
      </c>
    </row>
    <row r="867" spans="1:2" hidden="1">
      <c r="A867">
        <v>7900650</v>
      </c>
      <c r="B867" t="s">
        <v>951</v>
      </c>
    </row>
    <row r="868" spans="1:2" hidden="1">
      <c r="A868">
        <v>7900651</v>
      </c>
      <c r="B868" t="s">
        <v>952</v>
      </c>
    </row>
    <row r="869" spans="1:2" hidden="1">
      <c r="A869">
        <v>7900654</v>
      </c>
      <c r="B869" t="s">
        <v>953</v>
      </c>
    </row>
    <row r="870" spans="1:2" hidden="1">
      <c r="A870">
        <v>790066300</v>
      </c>
      <c r="B870" t="s">
        <v>954</v>
      </c>
    </row>
    <row r="871" spans="1:2" hidden="1">
      <c r="A871">
        <v>790066700</v>
      </c>
      <c r="B871" t="s">
        <v>955</v>
      </c>
    </row>
    <row r="872" spans="1:2" hidden="1">
      <c r="A872">
        <v>790066800</v>
      </c>
      <c r="B872" t="s">
        <v>956</v>
      </c>
    </row>
    <row r="873" spans="1:2" hidden="1">
      <c r="A873">
        <v>790067000</v>
      </c>
      <c r="B873" t="s">
        <v>957</v>
      </c>
    </row>
    <row r="874" spans="1:2" hidden="1">
      <c r="A874">
        <v>790067100</v>
      </c>
      <c r="B874" t="s">
        <v>958</v>
      </c>
    </row>
    <row r="875" spans="1:2" hidden="1">
      <c r="A875">
        <v>790067300</v>
      </c>
      <c r="B875" t="s">
        <v>959</v>
      </c>
    </row>
    <row r="876" spans="1:2" hidden="1">
      <c r="A876">
        <v>7900750</v>
      </c>
      <c r="B876" t="s">
        <v>960</v>
      </c>
    </row>
    <row r="877" spans="1:2" hidden="1">
      <c r="A877">
        <v>7900751</v>
      </c>
      <c r="B877" t="s">
        <v>961</v>
      </c>
    </row>
    <row r="878" spans="1:2" hidden="1">
      <c r="A878">
        <v>7900752</v>
      </c>
      <c r="B878" t="s">
        <v>962</v>
      </c>
    </row>
    <row r="879" spans="1:2" hidden="1">
      <c r="A879">
        <v>7901050</v>
      </c>
      <c r="B879" t="s">
        <v>963</v>
      </c>
    </row>
    <row r="880" spans="1:2" hidden="1">
      <c r="A880">
        <v>81216061</v>
      </c>
      <c r="B880" t="s">
        <v>964</v>
      </c>
    </row>
    <row r="881" spans="1:2" hidden="1">
      <c r="A881">
        <v>81216067</v>
      </c>
      <c r="B881" t="s">
        <v>965</v>
      </c>
    </row>
    <row r="882" spans="1:2" hidden="1">
      <c r="A882">
        <v>81476061</v>
      </c>
      <c r="B882" t="s">
        <v>966</v>
      </c>
    </row>
    <row r="883" spans="1:2">
      <c r="A883">
        <v>81543107</v>
      </c>
      <c r="B883" t="s">
        <v>967</v>
      </c>
    </row>
    <row r="884" spans="1:2" hidden="1">
      <c r="A884">
        <v>81543286</v>
      </c>
      <c r="B884" t="s">
        <v>968</v>
      </c>
    </row>
    <row r="885" spans="1:2" hidden="1">
      <c r="A885">
        <v>81712071</v>
      </c>
      <c r="B885" t="s">
        <v>969</v>
      </c>
    </row>
    <row r="886" spans="1:2" hidden="1">
      <c r="A886">
        <v>81911362</v>
      </c>
      <c r="B886" t="s">
        <v>970</v>
      </c>
    </row>
    <row r="887" spans="1:2" hidden="1">
      <c r="A887">
        <v>81911462</v>
      </c>
      <c r="B887" t="s">
        <v>971</v>
      </c>
    </row>
    <row r="888" spans="1:2" hidden="1">
      <c r="A888">
        <v>8917102</v>
      </c>
      <c r="B888" t="s">
        <v>972</v>
      </c>
    </row>
    <row r="889" spans="1:2" hidden="1">
      <c r="A889">
        <v>8924102</v>
      </c>
      <c r="B889" t="s">
        <v>973</v>
      </c>
    </row>
    <row r="890" spans="1:2" hidden="1">
      <c r="A890">
        <v>89341602</v>
      </c>
      <c r="B890" t="s">
        <v>974</v>
      </c>
    </row>
    <row r="891" spans="1:2" hidden="1">
      <c r="A891">
        <v>904131</v>
      </c>
      <c r="B891" t="s">
        <v>477</v>
      </c>
    </row>
    <row r="892" spans="1:2" hidden="1">
      <c r="A892">
        <v>915111130</v>
      </c>
      <c r="B892" t="s">
        <v>975</v>
      </c>
    </row>
    <row r="893" spans="1:2" hidden="1">
      <c r="A893">
        <v>915411215</v>
      </c>
      <c r="B893" t="s">
        <v>976</v>
      </c>
    </row>
    <row r="894" spans="1:2" hidden="1">
      <c r="A894">
        <v>915411415</v>
      </c>
      <c r="B894" t="s">
        <v>977</v>
      </c>
    </row>
    <row r="895" spans="1:2" hidden="1">
      <c r="A895">
        <v>94228053</v>
      </c>
      <c r="B895" t="s">
        <v>978</v>
      </c>
    </row>
    <row r="896" spans="1:2" hidden="1">
      <c r="A896">
        <v>96911402</v>
      </c>
      <c r="B896" t="s">
        <v>979</v>
      </c>
    </row>
    <row r="897" spans="1:2" hidden="1">
      <c r="A897">
        <v>9717002</v>
      </c>
      <c r="B897" t="s">
        <v>980</v>
      </c>
    </row>
    <row r="898" spans="1:2" hidden="1">
      <c r="A898">
        <v>9724002</v>
      </c>
      <c r="B898" t="s">
        <v>981</v>
      </c>
    </row>
    <row r="899" spans="1:2" hidden="1">
      <c r="A899">
        <v>97341602</v>
      </c>
      <c r="B899" t="s">
        <v>982</v>
      </c>
    </row>
    <row r="900" spans="1:2" hidden="1">
      <c r="A900" t="s">
        <v>983</v>
      </c>
      <c r="B900" t="s">
        <v>984</v>
      </c>
    </row>
    <row r="901" spans="1:2" hidden="1">
      <c r="A901" t="s">
        <v>985</v>
      </c>
      <c r="B901" t="s">
        <v>984</v>
      </c>
    </row>
    <row r="902" spans="1:2" hidden="1">
      <c r="A902" t="s">
        <v>986</v>
      </c>
      <c r="B902" t="s">
        <v>987</v>
      </c>
    </row>
    <row r="903" spans="1:2" hidden="1">
      <c r="A903">
        <v>97931802</v>
      </c>
      <c r="B903" t="s">
        <v>988</v>
      </c>
    </row>
    <row r="904" spans="1:2" hidden="1">
      <c r="A904" t="s">
        <v>989</v>
      </c>
      <c r="B904" t="s">
        <v>990</v>
      </c>
    </row>
    <row r="905" spans="1:2" hidden="1">
      <c r="A905">
        <v>99191003</v>
      </c>
      <c r="B905" t="s">
        <v>991</v>
      </c>
    </row>
    <row r="906" spans="1:2" hidden="1">
      <c r="A906">
        <v>99191012</v>
      </c>
      <c r="B906" t="s">
        <v>992</v>
      </c>
    </row>
    <row r="907" spans="1:2" hidden="1">
      <c r="A907" t="s">
        <v>993</v>
      </c>
      <c r="B907" t="s">
        <v>994</v>
      </c>
    </row>
  </sheetData>
  <autoFilter ref="A1:B907" xr:uid="{00000000-0009-0000-0000-000003000000}">
    <filterColumn colId="1">
      <filters>
        <filter val="FG 924 INOXIDABLE"/>
        <filter val="FGA 820 HORNO GAS"/>
        <filter val="JUNTA PUERTA FG 924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T201"/>
  <sheetViews>
    <sheetView zoomScaleNormal="100" workbookViewId="0">
      <selection activeCell="E14" sqref="E14"/>
    </sheetView>
  </sheetViews>
  <sheetFormatPr baseColWidth="10" defaultRowHeight="15"/>
  <cols>
    <col min="1" max="1" width="4.5" customWidth="1"/>
    <col min="2" max="2" width="18.5" customWidth="1"/>
    <col min="3" max="3" width="26" style="82" customWidth="1"/>
    <col min="4" max="4" width="30.6640625" style="82" customWidth="1"/>
    <col min="5" max="5" width="20.1640625" style="97" customWidth="1"/>
    <col min="6" max="6" width="31.83203125" customWidth="1"/>
    <col min="7" max="7" width="15.5" style="97" customWidth="1"/>
    <col min="8" max="8" width="47" customWidth="1"/>
    <col min="9" max="9" width="24.33203125" customWidth="1"/>
    <col min="10" max="10" width="20.6640625" customWidth="1"/>
    <col min="11" max="11" width="13.5" customWidth="1"/>
    <col min="12" max="12" width="12.83203125" customWidth="1"/>
    <col min="13" max="13" width="9.6640625" customWidth="1"/>
    <col min="14" max="14" width="8.6640625" customWidth="1"/>
    <col min="15" max="15" width="19" customWidth="1"/>
    <col min="16" max="16" width="3.5" customWidth="1"/>
    <col min="17" max="17" width="14" customWidth="1"/>
    <col min="18" max="18" width="26.1640625" style="111" customWidth="1"/>
    <col min="19" max="19" width="16.5" style="2" customWidth="1"/>
    <col min="20" max="20" width="47.6640625" customWidth="1"/>
  </cols>
  <sheetData>
    <row r="3" spans="2:20">
      <c r="B3" s="84" t="s">
        <v>995</v>
      </c>
      <c r="C3" s="85"/>
      <c r="D3" s="85"/>
      <c r="E3" s="96"/>
      <c r="F3" s="86"/>
      <c r="G3" s="98"/>
      <c r="H3" s="86"/>
      <c r="I3" s="86"/>
      <c r="J3" s="87"/>
      <c r="K3" s="88"/>
      <c r="L3" s="87"/>
      <c r="M3" s="89"/>
      <c r="N3" s="87"/>
      <c r="O3" s="87"/>
      <c r="P3" s="87"/>
      <c r="Q3" s="87"/>
      <c r="R3" s="109"/>
      <c r="S3" s="120"/>
      <c r="T3" s="90"/>
    </row>
    <row r="4" spans="2:20">
      <c r="B4" s="84" t="s">
        <v>998</v>
      </c>
      <c r="C4" s="85"/>
      <c r="D4" s="85"/>
      <c r="E4" s="96"/>
      <c r="F4" s="86"/>
      <c r="G4" s="98"/>
      <c r="H4" s="86"/>
      <c r="I4" s="86"/>
      <c r="J4" s="87"/>
      <c r="K4" s="88"/>
      <c r="L4" s="87"/>
      <c r="M4" s="89"/>
      <c r="N4" s="87"/>
      <c r="O4" s="87"/>
      <c r="P4" s="87"/>
      <c r="Q4" s="87"/>
      <c r="R4" s="109"/>
      <c r="S4" s="120"/>
      <c r="T4" s="90"/>
    </row>
    <row r="5" spans="2:20">
      <c r="B5" s="84" t="s">
        <v>1049</v>
      </c>
      <c r="C5" s="85"/>
      <c r="D5" s="85"/>
      <c r="E5" s="96"/>
      <c r="F5" s="86"/>
      <c r="G5" s="98"/>
      <c r="H5" s="86"/>
      <c r="I5" s="86"/>
      <c r="J5" s="87"/>
      <c r="K5" s="88"/>
      <c r="L5" s="87"/>
      <c r="M5" s="89"/>
      <c r="N5" s="87"/>
      <c r="O5" s="87"/>
      <c r="P5" s="87"/>
      <c r="Q5" s="87"/>
      <c r="R5" s="109"/>
      <c r="S5" s="120"/>
      <c r="T5" s="90"/>
    </row>
    <row r="6" spans="2:20" s="1" customFormat="1" ht="68">
      <c r="B6" s="83" t="s">
        <v>996</v>
      </c>
      <c r="C6" s="95" t="s">
        <v>999</v>
      </c>
      <c r="D6" s="95" t="s">
        <v>1000</v>
      </c>
      <c r="E6" s="83" t="s">
        <v>1001</v>
      </c>
      <c r="F6" s="83" t="s">
        <v>1002</v>
      </c>
      <c r="G6" s="91" t="s">
        <v>1003</v>
      </c>
      <c r="H6" s="83" t="s">
        <v>1004</v>
      </c>
      <c r="I6" s="83" t="s">
        <v>1005</v>
      </c>
      <c r="J6" s="83" t="s">
        <v>1006</v>
      </c>
      <c r="K6" s="83" t="s">
        <v>1017</v>
      </c>
      <c r="L6" s="83" t="s">
        <v>997</v>
      </c>
      <c r="M6" s="92" t="s">
        <v>1007</v>
      </c>
      <c r="N6" s="92" t="s">
        <v>1008</v>
      </c>
      <c r="O6" s="83" t="s">
        <v>1009</v>
      </c>
      <c r="P6" s="93" t="s">
        <v>1010</v>
      </c>
      <c r="Q6" s="83" t="s">
        <v>1011</v>
      </c>
      <c r="R6" s="110" t="s">
        <v>1012</v>
      </c>
      <c r="S6" s="92" t="s">
        <v>1013</v>
      </c>
      <c r="T6" s="83" t="s">
        <v>1014</v>
      </c>
    </row>
    <row r="7" spans="2:20" s="102" customFormat="1" ht="19" customHeight="1">
      <c r="B7" s="103"/>
      <c r="H7" s="112"/>
      <c r="K7" s="103"/>
      <c r="Q7" s="103"/>
    </row>
    <row r="8" spans="2:20" s="102" customFormat="1" ht="19" customHeight="1">
      <c r="B8" s="103"/>
      <c r="H8" s="112"/>
      <c r="K8" s="103"/>
      <c r="Q8" s="103"/>
    </row>
    <row r="9" spans="2:20" s="102" customFormat="1" ht="19" customHeight="1">
      <c r="B9" s="103"/>
      <c r="H9" s="112"/>
      <c r="K9" s="103"/>
      <c r="Q9" s="103"/>
      <c r="S9" s="143"/>
    </row>
    <row r="10" spans="2:20" s="102" customFormat="1" ht="19" customHeight="1">
      <c r="B10" s="103"/>
      <c r="H10" s="112"/>
      <c r="K10" s="103"/>
      <c r="Q10" s="103"/>
      <c r="S10" s="143"/>
    </row>
    <row r="11" spans="2:20" s="102" customFormat="1" ht="19" customHeight="1">
      <c r="B11" s="103"/>
      <c r="H11" s="112"/>
      <c r="K11" s="103"/>
      <c r="Q11" s="103"/>
      <c r="S11" s="143"/>
    </row>
    <row r="12" spans="2:20" s="102" customFormat="1" ht="19" customHeight="1">
      <c r="B12" s="103"/>
      <c r="H12" s="112"/>
      <c r="K12" s="103"/>
      <c r="Q12" s="103"/>
      <c r="S12" s="143"/>
    </row>
    <row r="13" spans="2:20" s="102" customFormat="1" ht="19" customHeight="1">
      <c r="B13" s="103"/>
      <c r="H13" s="112"/>
      <c r="K13" s="103"/>
      <c r="Q13" s="103"/>
      <c r="S13" s="143"/>
    </row>
    <row r="14" spans="2:20" s="102" customFormat="1" ht="19" customHeight="1">
      <c r="B14" s="103"/>
      <c r="H14" s="112"/>
      <c r="K14" s="103"/>
      <c r="Q14" s="103"/>
      <c r="S14" s="143"/>
    </row>
    <row r="15" spans="2:20" s="102" customFormat="1" ht="19" customHeight="1">
      <c r="B15" s="103"/>
      <c r="H15" s="112"/>
      <c r="K15" s="103"/>
      <c r="Q15" s="103"/>
      <c r="S15" s="143"/>
    </row>
    <row r="16" spans="2:20" s="102" customFormat="1" ht="19" customHeight="1">
      <c r="B16" s="103"/>
      <c r="H16" s="112"/>
      <c r="K16" s="103"/>
      <c r="Q16" s="103"/>
      <c r="S16" s="143"/>
    </row>
    <row r="17" spans="2:19" s="102" customFormat="1" ht="19" customHeight="1">
      <c r="B17" s="103"/>
      <c r="H17" s="112"/>
      <c r="K17" s="103"/>
      <c r="Q17" s="103"/>
      <c r="S17" s="143"/>
    </row>
    <row r="18" spans="2:19" s="102" customFormat="1" ht="19" customHeight="1">
      <c r="B18" s="126"/>
      <c r="H18" s="112"/>
      <c r="K18" s="126"/>
      <c r="Q18" s="103"/>
      <c r="S18" s="143"/>
    </row>
    <row r="19" spans="2:19" s="102" customFormat="1" ht="19" customHeight="1">
      <c r="B19" s="126"/>
      <c r="H19" s="112"/>
      <c r="K19" s="126"/>
      <c r="Q19" s="103"/>
      <c r="S19" s="143"/>
    </row>
    <row r="20" spans="2:19" s="102" customFormat="1" ht="19" customHeight="1">
      <c r="B20" s="126"/>
      <c r="H20" s="112"/>
      <c r="K20" s="126"/>
      <c r="Q20" s="103"/>
      <c r="S20" s="143"/>
    </row>
    <row r="21" spans="2:19" s="102" customFormat="1" ht="19" customHeight="1">
      <c r="B21" s="126"/>
      <c r="H21" s="112"/>
      <c r="K21" s="126"/>
      <c r="Q21" s="103"/>
      <c r="S21" s="143"/>
    </row>
    <row r="22" spans="2:19" s="102" customFormat="1" ht="19" customHeight="1">
      <c r="B22" s="126"/>
      <c r="H22" s="112"/>
      <c r="K22" s="126"/>
      <c r="Q22" s="103"/>
      <c r="S22" s="143"/>
    </row>
    <row r="23" spans="2:19" s="102" customFormat="1" ht="19" customHeight="1">
      <c r="B23" s="126"/>
      <c r="H23" s="112"/>
      <c r="K23" s="126"/>
      <c r="Q23" s="103"/>
      <c r="S23" s="143"/>
    </row>
    <row r="24" spans="2:19" s="102" customFormat="1" ht="19" customHeight="1">
      <c r="B24" s="126"/>
      <c r="H24" s="112"/>
      <c r="K24" s="126"/>
      <c r="Q24" s="103"/>
      <c r="S24" s="143"/>
    </row>
    <row r="25" spans="2:19" s="102" customFormat="1" ht="19" customHeight="1">
      <c r="B25" s="126"/>
      <c r="H25" s="112"/>
      <c r="K25" s="126"/>
      <c r="Q25" s="103"/>
      <c r="S25" s="143"/>
    </row>
    <row r="26" spans="2:19" s="102" customFormat="1" ht="19" customHeight="1">
      <c r="B26" s="126"/>
      <c r="H26" s="112"/>
      <c r="K26" s="126"/>
      <c r="Q26" s="103"/>
      <c r="S26" s="143"/>
    </row>
    <row r="27" spans="2:19" s="102" customFormat="1" ht="19" customHeight="1">
      <c r="B27" s="126"/>
      <c r="H27" s="112"/>
      <c r="K27" s="126"/>
      <c r="Q27" s="103"/>
      <c r="S27" s="143"/>
    </row>
    <row r="28" spans="2:19" s="102" customFormat="1" ht="19" customHeight="1">
      <c r="B28" s="126"/>
      <c r="H28" s="112"/>
      <c r="K28" s="126"/>
      <c r="Q28" s="103"/>
      <c r="S28" s="143"/>
    </row>
    <row r="29" spans="2:19" s="102" customFormat="1" ht="19" customHeight="1">
      <c r="B29" s="126"/>
      <c r="H29" s="112"/>
      <c r="K29" s="126"/>
      <c r="Q29" s="103"/>
      <c r="S29" s="143"/>
    </row>
    <row r="30" spans="2:19" s="102" customFormat="1" ht="19" customHeight="1">
      <c r="B30" s="126"/>
      <c r="H30" s="112"/>
      <c r="K30" s="126"/>
      <c r="Q30" s="103"/>
      <c r="S30" s="143"/>
    </row>
    <row r="31" spans="2:19" s="102" customFormat="1" ht="19" customHeight="1">
      <c r="B31" s="126"/>
      <c r="H31" s="112"/>
      <c r="K31" s="126"/>
      <c r="Q31" s="103"/>
    </row>
    <row r="32" spans="2:19" s="102" customFormat="1" ht="19" customHeight="1">
      <c r="B32" s="126"/>
      <c r="H32" s="112"/>
      <c r="K32" s="126"/>
      <c r="Q32" s="103"/>
      <c r="S32" s="143"/>
    </row>
    <row r="33" spans="2:19" s="102" customFormat="1" ht="19" customHeight="1">
      <c r="B33" s="126"/>
      <c r="H33" s="112"/>
      <c r="K33" s="126"/>
      <c r="Q33" s="103"/>
      <c r="S33" s="143"/>
    </row>
    <row r="34" spans="2:19" s="102" customFormat="1" ht="19" customHeight="1">
      <c r="B34" s="126"/>
      <c r="H34" s="112"/>
      <c r="K34" s="126"/>
      <c r="Q34" s="103"/>
      <c r="S34" s="143"/>
    </row>
    <row r="35" spans="2:19" s="102" customFormat="1" ht="19" customHeight="1">
      <c r="B35" s="126"/>
      <c r="H35" s="112"/>
      <c r="K35" s="126"/>
      <c r="Q35" s="103"/>
      <c r="S35" s="143"/>
    </row>
    <row r="36" spans="2:19" s="102" customFormat="1" ht="19" customHeight="1">
      <c r="B36" s="126"/>
      <c r="H36" s="112"/>
      <c r="K36" s="126"/>
      <c r="Q36" s="103"/>
      <c r="S36" s="143"/>
    </row>
    <row r="37" spans="2:19" s="102" customFormat="1" ht="19" customHeight="1">
      <c r="B37" s="126"/>
      <c r="H37" s="112"/>
      <c r="K37" s="126"/>
      <c r="Q37" s="103"/>
      <c r="S37" s="143"/>
    </row>
    <row r="38" spans="2:19" s="102" customFormat="1" ht="19" customHeight="1">
      <c r="B38" s="126"/>
      <c r="H38" s="112"/>
      <c r="K38" s="126"/>
      <c r="Q38" s="103"/>
    </row>
    <row r="39" spans="2:19" s="102" customFormat="1" ht="19" customHeight="1">
      <c r="B39" s="126"/>
      <c r="H39" s="112"/>
      <c r="K39" s="126"/>
      <c r="Q39" s="103"/>
    </row>
    <row r="40" spans="2:19" s="102" customFormat="1" ht="19" customHeight="1">
      <c r="B40" s="126"/>
      <c r="H40" s="112"/>
      <c r="K40" s="126"/>
      <c r="Q40" s="103"/>
    </row>
    <row r="41" spans="2:19" s="102" customFormat="1" ht="19" customHeight="1">
      <c r="B41" s="126"/>
      <c r="H41" s="112"/>
      <c r="K41" s="126"/>
      <c r="Q41" s="103"/>
      <c r="S41" s="143"/>
    </row>
    <row r="42" spans="2:19" s="102" customFormat="1" ht="19" customHeight="1">
      <c r="B42" s="126"/>
      <c r="H42" s="112"/>
      <c r="K42" s="126"/>
      <c r="Q42" s="103"/>
      <c r="S42" s="143"/>
    </row>
    <row r="43" spans="2:19" s="102" customFormat="1" ht="19" customHeight="1">
      <c r="B43" s="126"/>
      <c r="H43" s="112"/>
      <c r="K43" s="126"/>
      <c r="Q43" s="103"/>
      <c r="S43" s="143"/>
    </row>
    <row r="44" spans="2:19" s="102" customFormat="1" ht="19" customHeight="1">
      <c r="B44" s="126"/>
      <c r="H44" s="112"/>
      <c r="K44" s="126"/>
      <c r="Q44" s="103"/>
      <c r="S44" s="143"/>
    </row>
    <row r="45" spans="2:19" s="102" customFormat="1" ht="19" customHeight="1">
      <c r="B45" s="126"/>
      <c r="H45" s="112"/>
      <c r="K45" s="126"/>
      <c r="Q45" s="103"/>
      <c r="S45" s="143"/>
    </row>
    <row r="46" spans="2:19" s="102" customFormat="1" ht="19" customHeight="1">
      <c r="B46" s="126"/>
      <c r="H46" s="112"/>
      <c r="K46" s="126"/>
      <c r="Q46" s="103"/>
      <c r="S46" s="143"/>
    </row>
    <row r="47" spans="2:19" s="102" customFormat="1" ht="19" customHeight="1">
      <c r="B47" s="126"/>
      <c r="H47" s="112"/>
      <c r="K47" s="126"/>
      <c r="Q47" s="103"/>
      <c r="S47" s="143"/>
    </row>
    <row r="48" spans="2:19" s="102" customFormat="1" ht="19" customHeight="1">
      <c r="B48" s="126"/>
      <c r="H48" s="112"/>
      <c r="K48" s="126"/>
      <c r="Q48" s="103"/>
      <c r="S48" s="143"/>
    </row>
    <row r="49" spans="2:19" s="102" customFormat="1" ht="19" customHeight="1">
      <c r="B49" s="126"/>
      <c r="H49" s="112"/>
      <c r="K49" s="126"/>
      <c r="Q49" s="103"/>
      <c r="S49" s="143"/>
    </row>
    <row r="50" spans="2:19" s="102" customFormat="1" ht="19" customHeight="1">
      <c r="B50" s="126"/>
      <c r="H50" s="112"/>
      <c r="K50" s="126"/>
      <c r="Q50" s="103"/>
      <c r="S50" s="143"/>
    </row>
    <row r="51" spans="2:19" s="102" customFormat="1" ht="19" customHeight="1">
      <c r="B51" s="126"/>
      <c r="H51" s="112"/>
      <c r="K51" s="126"/>
      <c r="Q51" s="103"/>
      <c r="S51" s="143"/>
    </row>
    <row r="52" spans="2:19" s="102" customFormat="1" ht="23" customHeight="1">
      <c r="B52" s="126"/>
      <c r="H52" s="112"/>
      <c r="K52" s="126"/>
      <c r="Q52" s="103"/>
      <c r="S52" s="143"/>
    </row>
    <row r="53" spans="2:19" s="102" customFormat="1" ht="20" customHeight="1">
      <c r="B53" s="126"/>
      <c r="H53" s="112"/>
      <c r="K53" s="126"/>
      <c r="Q53" s="103"/>
      <c r="S53" s="143"/>
    </row>
    <row r="54" spans="2:19" s="102" customFormat="1" ht="19" customHeight="1">
      <c r="B54" s="126"/>
      <c r="H54" s="112"/>
      <c r="K54" s="126"/>
      <c r="Q54" s="103"/>
      <c r="S54" s="143"/>
    </row>
    <row r="55" spans="2:19" s="102" customFormat="1" ht="19" customHeight="1">
      <c r="B55" s="126"/>
      <c r="H55" s="112"/>
      <c r="K55" s="126"/>
      <c r="Q55" s="103"/>
    </row>
    <row r="56" spans="2:19" s="102" customFormat="1" ht="19" customHeight="1">
      <c r="B56" s="126"/>
      <c r="H56" s="112"/>
      <c r="K56" s="126"/>
      <c r="Q56" s="103"/>
      <c r="S56" s="143"/>
    </row>
    <row r="57" spans="2:19" s="102" customFormat="1" ht="19" customHeight="1">
      <c r="B57" s="126"/>
      <c r="H57" s="112"/>
      <c r="K57" s="126"/>
      <c r="Q57" s="103"/>
      <c r="S57" s="143"/>
    </row>
    <row r="58" spans="2:19" s="102" customFormat="1" ht="19" customHeight="1">
      <c r="B58" s="126"/>
      <c r="H58" s="112"/>
      <c r="K58" s="126"/>
      <c r="Q58" s="103"/>
      <c r="S58" s="143"/>
    </row>
    <row r="59" spans="2:19" s="102" customFormat="1" ht="19" customHeight="1">
      <c r="B59" s="126"/>
      <c r="H59" s="112"/>
      <c r="K59" s="126"/>
      <c r="Q59" s="103"/>
      <c r="S59" s="143"/>
    </row>
    <row r="60" spans="2:19" s="102" customFormat="1" ht="19" customHeight="1">
      <c r="B60" s="126"/>
      <c r="H60" s="112"/>
      <c r="K60" s="126"/>
      <c r="Q60" s="103"/>
      <c r="S60" s="143"/>
    </row>
    <row r="61" spans="2:19" s="102" customFormat="1" ht="19" customHeight="1">
      <c r="B61" s="126"/>
      <c r="H61" s="112"/>
      <c r="K61" s="126"/>
      <c r="Q61" s="103"/>
      <c r="S61" s="143"/>
    </row>
    <row r="62" spans="2:19" s="102" customFormat="1" ht="19" customHeight="1">
      <c r="B62" s="126"/>
      <c r="H62" s="112"/>
      <c r="K62" s="126"/>
      <c r="Q62" s="103"/>
      <c r="S62" s="143"/>
    </row>
    <row r="63" spans="2:19" s="102" customFormat="1" ht="19" customHeight="1">
      <c r="B63" s="126"/>
      <c r="H63" s="112"/>
      <c r="K63" s="126"/>
      <c r="Q63" s="103"/>
      <c r="S63" s="143"/>
    </row>
    <row r="64" spans="2:19" s="102" customFormat="1" ht="19" customHeight="1">
      <c r="B64" s="126"/>
      <c r="H64" s="112"/>
      <c r="K64" s="126"/>
      <c r="Q64" s="103"/>
      <c r="S64" s="143"/>
    </row>
    <row r="65" spans="2:19" s="102" customFormat="1" ht="19" customHeight="1">
      <c r="B65" s="126"/>
      <c r="H65" s="112"/>
      <c r="K65" s="126"/>
      <c r="Q65" s="103"/>
      <c r="S65" s="143"/>
    </row>
    <row r="66" spans="2:19" s="102" customFormat="1" ht="19" customHeight="1">
      <c r="B66" s="126"/>
      <c r="H66" s="112"/>
      <c r="K66" s="126"/>
      <c r="Q66" s="103"/>
      <c r="S66" s="143"/>
    </row>
    <row r="67" spans="2:19" s="102" customFormat="1" ht="19" customHeight="1">
      <c r="B67" s="126"/>
      <c r="H67" s="112"/>
      <c r="K67" s="126"/>
      <c r="Q67" s="103"/>
      <c r="S67" s="143"/>
    </row>
    <row r="68" spans="2:19" s="102" customFormat="1" ht="19" customHeight="1">
      <c r="B68" s="126"/>
      <c r="H68" s="112"/>
      <c r="K68" s="126"/>
      <c r="Q68" s="103"/>
      <c r="S68" s="143"/>
    </row>
    <row r="69" spans="2:19" s="102" customFormat="1" ht="19" customHeight="1">
      <c r="B69" s="126"/>
      <c r="H69" s="112"/>
      <c r="K69" s="126"/>
      <c r="Q69" s="103"/>
      <c r="S69" s="143"/>
    </row>
    <row r="70" spans="2:19" s="102" customFormat="1" ht="19" customHeight="1">
      <c r="B70" s="126"/>
      <c r="H70" s="112"/>
      <c r="K70" s="126"/>
      <c r="Q70" s="103"/>
      <c r="S70" s="143"/>
    </row>
    <row r="71" spans="2:19" s="102" customFormat="1" ht="19" customHeight="1">
      <c r="B71" s="126"/>
      <c r="H71" s="112"/>
      <c r="K71" s="126"/>
      <c r="Q71" s="103"/>
      <c r="S71" s="143"/>
    </row>
    <row r="72" spans="2:19" s="102" customFormat="1" ht="19" customHeight="1">
      <c r="B72" s="126"/>
      <c r="H72" s="112"/>
      <c r="K72" s="126"/>
      <c r="Q72" s="103"/>
      <c r="S72" s="143"/>
    </row>
    <row r="73" spans="2:19" s="102" customFormat="1" ht="19" customHeight="1">
      <c r="B73" s="126"/>
      <c r="H73" s="112"/>
      <c r="K73" s="126"/>
      <c r="Q73" s="103"/>
      <c r="S73" s="143"/>
    </row>
    <row r="74" spans="2:19" s="102" customFormat="1" ht="19" customHeight="1">
      <c r="B74" s="126"/>
      <c r="H74" s="112"/>
      <c r="K74" s="126"/>
      <c r="Q74" s="103"/>
      <c r="S74" s="143"/>
    </row>
    <row r="75" spans="2:19" s="102" customFormat="1" ht="19" customHeight="1">
      <c r="B75" s="126"/>
      <c r="H75" s="112"/>
      <c r="K75" s="126"/>
      <c r="Q75" s="103"/>
      <c r="S75" s="143"/>
    </row>
    <row r="76" spans="2:19" s="102" customFormat="1" ht="19" customHeight="1">
      <c r="B76" s="126"/>
      <c r="H76" s="112"/>
      <c r="K76" s="126"/>
      <c r="Q76" s="103"/>
      <c r="S76" s="143"/>
    </row>
    <row r="77" spans="2:19" s="102" customFormat="1" ht="19" customHeight="1">
      <c r="B77" s="126"/>
      <c r="H77" s="112"/>
      <c r="K77" s="126"/>
      <c r="Q77" s="103"/>
      <c r="S77" s="143"/>
    </row>
    <row r="78" spans="2:19" s="102" customFormat="1" ht="19" customHeight="1">
      <c r="B78" s="126"/>
      <c r="H78" s="112"/>
      <c r="K78" s="126"/>
      <c r="Q78" s="103"/>
      <c r="S78" s="143"/>
    </row>
    <row r="79" spans="2:19" s="102" customFormat="1" ht="19" customHeight="1">
      <c r="B79" s="126"/>
      <c r="H79" s="112"/>
      <c r="K79" s="126"/>
      <c r="Q79" s="103"/>
      <c r="S79" s="143"/>
    </row>
    <row r="80" spans="2:19" s="102" customFormat="1" ht="19" customHeight="1">
      <c r="B80" s="126"/>
      <c r="H80" s="112"/>
      <c r="K80" s="126"/>
      <c r="Q80" s="103"/>
      <c r="S80" s="143"/>
    </row>
    <row r="81" spans="2:19" s="102" customFormat="1" ht="19" customHeight="1">
      <c r="B81" s="126"/>
      <c r="H81" s="112"/>
      <c r="K81" s="126"/>
      <c r="Q81" s="103"/>
      <c r="S81" s="143"/>
    </row>
    <row r="82" spans="2:19" s="102" customFormat="1" ht="19" customHeight="1">
      <c r="B82" s="126"/>
      <c r="H82" s="112"/>
      <c r="K82" s="126"/>
      <c r="Q82" s="103"/>
      <c r="S82" s="143"/>
    </row>
    <row r="83" spans="2:19" s="102" customFormat="1" ht="19" customHeight="1">
      <c r="B83" s="126"/>
      <c r="H83" s="112"/>
      <c r="K83" s="126"/>
      <c r="Q83" s="103"/>
      <c r="S83" s="143"/>
    </row>
    <row r="84" spans="2:19" s="102" customFormat="1" ht="19" customHeight="1">
      <c r="B84" s="126"/>
      <c r="H84" s="112"/>
      <c r="K84" s="126"/>
      <c r="Q84" s="103"/>
    </row>
    <row r="85" spans="2:19" s="102" customFormat="1" ht="19" customHeight="1">
      <c r="B85" s="126"/>
      <c r="H85" s="112"/>
      <c r="K85" s="126"/>
      <c r="Q85" s="103"/>
    </row>
    <row r="86" spans="2:19" s="102" customFormat="1" ht="19" customHeight="1">
      <c r="B86" s="126"/>
      <c r="H86" s="112"/>
      <c r="K86" s="126"/>
      <c r="Q86" s="103"/>
      <c r="S86" s="143"/>
    </row>
    <row r="87" spans="2:19" s="102" customFormat="1" ht="19" customHeight="1">
      <c r="B87" s="126"/>
      <c r="H87" s="112"/>
      <c r="K87" s="126"/>
      <c r="Q87" s="103"/>
      <c r="S87" s="143"/>
    </row>
    <row r="88" spans="2:19" s="102" customFormat="1" ht="19" customHeight="1">
      <c r="B88" s="126"/>
      <c r="H88" s="112"/>
      <c r="K88" s="126"/>
      <c r="Q88" s="103"/>
      <c r="S88" s="143"/>
    </row>
    <row r="89" spans="2:19" s="102" customFormat="1" ht="19" customHeight="1">
      <c r="B89" s="126"/>
      <c r="H89" s="112"/>
      <c r="K89" s="126"/>
      <c r="Q89" s="103"/>
      <c r="S89" s="143"/>
    </row>
    <row r="90" spans="2:19" s="102" customFormat="1" ht="19" customHeight="1">
      <c r="B90" s="126"/>
      <c r="H90" s="112"/>
      <c r="K90" s="126"/>
      <c r="Q90" s="103"/>
      <c r="S90" s="143"/>
    </row>
    <row r="91" spans="2:19" s="102" customFormat="1" ht="19" customHeight="1">
      <c r="B91" s="126"/>
      <c r="H91" s="112"/>
      <c r="K91" s="126"/>
      <c r="Q91" s="103"/>
      <c r="S91" s="143"/>
    </row>
    <row r="92" spans="2:19" s="102" customFormat="1" ht="19" customHeight="1">
      <c r="B92" s="126"/>
      <c r="H92" s="112"/>
      <c r="K92" s="126"/>
      <c r="Q92" s="103"/>
      <c r="S92" s="143"/>
    </row>
    <row r="93" spans="2:19" s="102" customFormat="1" ht="19" customHeight="1">
      <c r="B93" s="126"/>
      <c r="H93" s="112"/>
      <c r="K93" s="126"/>
      <c r="Q93" s="103"/>
      <c r="S93" s="143"/>
    </row>
    <row r="94" spans="2:19" s="102" customFormat="1" ht="19" customHeight="1">
      <c r="B94" s="126"/>
      <c r="H94" s="112"/>
      <c r="K94" s="126"/>
      <c r="Q94" s="103"/>
      <c r="S94" s="143"/>
    </row>
    <row r="95" spans="2:19" s="102" customFormat="1" ht="19" customHeight="1">
      <c r="B95" s="126"/>
      <c r="H95" s="112"/>
      <c r="K95" s="126"/>
      <c r="Q95" s="103"/>
      <c r="S95" s="143"/>
    </row>
    <row r="96" spans="2:19" s="102" customFormat="1" ht="19" customHeight="1">
      <c r="B96" s="126"/>
      <c r="H96" s="112"/>
      <c r="K96" s="126"/>
      <c r="Q96" s="103"/>
      <c r="S96" s="143"/>
    </row>
    <row r="97" spans="2:19" s="102" customFormat="1" ht="19" customHeight="1">
      <c r="B97" s="126"/>
      <c r="H97" s="112"/>
      <c r="K97" s="126"/>
      <c r="Q97" s="103"/>
      <c r="S97" s="143"/>
    </row>
    <row r="98" spans="2:19" s="102" customFormat="1" ht="19" customHeight="1">
      <c r="B98" s="126"/>
      <c r="H98" s="112"/>
      <c r="K98" s="126"/>
      <c r="Q98" s="103"/>
      <c r="S98" s="143"/>
    </row>
    <row r="99" spans="2:19" s="102" customFormat="1" ht="19" customHeight="1">
      <c r="B99" s="126"/>
      <c r="H99" s="112"/>
      <c r="K99" s="126"/>
      <c r="Q99" s="103"/>
      <c r="S99" s="143"/>
    </row>
    <row r="100" spans="2:19" s="102" customFormat="1" ht="19" customHeight="1">
      <c r="B100" s="126"/>
      <c r="H100" s="112"/>
      <c r="K100" s="126"/>
      <c r="Q100" s="103"/>
      <c r="S100" s="143"/>
    </row>
    <row r="101" spans="2:19" s="102" customFormat="1" ht="19" customHeight="1">
      <c r="B101" s="126"/>
      <c r="H101" s="112"/>
      <c r="K101" s="126"/>
      <c r="Q101" s="103"/>
      <c r="S101" s="143"/>
    </row>
    <row r="102" spans="2:19" s="102" customFormat="1" ht="19" customHeight="1">
      <c r="B102" s="126"/>
      <c r="H102" s="112"/>
      <c r="K102" s="126"/>
      <c r="Q102" s="103"/>
      <c r="S102" s="143"/>
    </row>
    <row r="103" spans="2:19" s="102" customFormat="1" ht="19" customHeight="1">
      <c r="B103" s="126"/>
      <c r="H103" s="112"/>
      <c r="K103" s="126"/>
      <c r="Q103" s="103"/>
      <c r="S103" s="143"/>
    </row>
    <row r="104" spans="2:19" s="102" customFormat="1" ht="19" customHeight="1">
      <c r="B104" s="126"/>
      <c r="H104" s="112"/>
      <c r="K104" s="126"/>
      <c r="Q104" s="103"/>
      <c r="S104" s="143"/>
    </row>
    <row r="105" spans="2:19" s="102" customFormat="1" ht="19" customHeight="1">
      <c r="B105" s="126"/>
      <c r="H105" s="112"/>
      <c r="K105" s="126"/>
      <c r="Q105" s="103"/>
      <c r="S105" s="143"/>
    </row>
    <row r="106" spans="2:19" s="102" customFormat="1" ht="19" customHeight="1">
      <c r="B106" s="126"/>
      <c r="H106" s="112"/>
      <c r="K106" s="126"/>
      <c r="Q106" s="103"/>
      <c r="S106" s="143"/>
    </row>
    <row r="107" spans="2:19" s="102" customFormat="1" ht="19" customHeight="1">
      <c r="B107" s="126"/>
      <c r="H107" s="112"/>
      <c r="K107" s="126"/>
      <c r="Q107" s="103"/>
      <c r="S107" s="143"/>
    </row>
    <row r="108" spans="2:19" s="102" customFormat="1" ht="19" customHeight="1">
      <c r="B108" s="126"/>
      <c r="H108" s="112"/>
      <c r="K108" s="126"/>
      <c r="Q108" s="103"/>
      <c r="S108" s="143"/>
    </row>
    <row r="109" spans="2:19" s="102" customFormat="1" ht="19" customHeight="1">
      <c r="B109" s="126"/>
      <c r="H109" s="112"/>
      <c r="K109" s="126"/>
      <c r="Q109" s="103"/>
      <c r="S109" s="143"/>
    </row>
    <row r="110" spans="2:19" s="102" customFormat="1" ht="19" customHeight="1">
      <c r="B110" s="126"/>
      <c r="H110" s="112"/>
      <c r="K110" s="126"/>
      <c r="Q110" s="103"/>
      <c r="S110" s="143"/>
    </row>
    <row r="111" spans="2:19" s="102" customFormat="1" ht="19" customHeight="1">
      <c r="B111" s="126"/>
      <c r="H111" s="112"/>
      <c r="K111" s="126"/>
      <c r="Q111" s="103"/>
      <c r="S111" s="143"/>
    </row>
    <row r="112" spans="2:19" s="102" customFormat="1" ht="19" customHeight="1">
      <c r="B112" s="126"/>
      <c r="H112" s="112"/>
      <c r="K112" s="126"/>
      <c r="Q112" s="103"/>
      <c r="S112" s="143"/>
    </row>
    <row r="113" spans="2:19" s="102" customFormat="1" ht="19" customHeight="1">
      <c r="B113" s="126"/>
      <c r="H113" s="112"/>
      <c r="K113" s="126"/>
      <c r="Q113" s="103"/>
      <c r="S113" s="143"/>
    </row>
    <row r="114" spans="2:19" s="102" customFormat="1" ht="19" customHeight="1">
      <c r="B114" s="126"/>
      <c r="H114" s="112"/>
      <c r="K114" s="126"/>
      <c r="Q114" s="103"/>
      <c r="S114" s="143"/>
    </row>
    <row r="115" spans="2:19" s="102" customFormat="1" ht="19" customHeight="1">
      <c r="B115" s="126"/>
      <c r="H115" s="112"/>
      <c r="K115" s="126"/>
      <c r="Q115" s="103"/>
      <c r="S115" s="143"/>
    </row>
    <row r="116" spans="2:19" s="102" customFormat="1" ht="19" customHeight="1">
      <c r="B116" s="126"/>
      <c r="H116" s="112"/>
      <c r="K116" s="126"/>
      <c r="Q116" s="103"/>
      <c r="S116" s="143"/>
    </row>
    <row r="117" spans="2:19" s="102" customFormat="1" ht="19" customHeight="1">
      <c r="B117" s="126"/>
      <c r="H117" s="112"/>
      <c r="K117" s="126"/>
      <c r="Q117" s="103"/>
      <c r="S117" s="143"/>
    </row>
    <row r="118" spans="2:19" s="102" customFormat="1" ht="19" customHeight="1">
      <c r="B118" s="126"/>
      <c r="H118" s="112"/>
      <c r="K118" s="126"/>
      <c r="Q118" s="103"/>
      <c r="S118" s="143"/>
    </row>
    <row r="119" spans="2:19" s="102" customFormat="1" ht="19" customHeight="1">
      <c r="B119" s="126"/>
      <c r="H119" s="112"/>
      <c r="K119" s="126"/>
      <c r="Q119" s="103"/>
      <c r="S119" s="143"/>
    </row>
    <row r="120" spans="2:19" s="102" customFormat="1" ht="19" customHeight="1">
      <c r="B120" s="126"/>
      <c r="H120" s="112"/>
      <c r="K120" s="126"/>
      <c r="Q120" s="103"/>
      <c r="S120" s="143"/>
    </row>
    <row r="121" spans="2:19" s="102" customFormat="1" ht="19" customHeight="1">
      <c r="B121" s="126"/>
      <c r="H121" s="112"/>
      <c r="K121" s="126"/>
      <c r="Q121" s="103"/>
      <c r="S121" s="143"/>
    </row>
    <row r="122" spans="2:19" s="102" customFormat="1" ht="19" customHeight="1">
      <c r="B122" s="126"/>
      <c r="H122" s="112"/>
      <c r="K122" s="126"/>
      <c r="Q122" s="103"/>
      <c r="S122" s="143"/>
    </row>
    <row r="123" spans="2:19" s="102" customFormat="1" ht="19" customHeight="1">
      <c r="B123" s="126"/>
      <c r="H123" s="112"/>
      <c r="K123" s="126"/>
      <c r="Q123" s="103"/>
      <c r="S123" s="143"/>
    </row>
    <row r="124" spans="2:19" s="102" customFormat="1" ht="19" customHeight="1">
      <c r="B124" s="126"/>
      <c r="H124" s="112"/>
      <c r="K124" s="126"/>
      <c r="Q124" s="103"/>
      <c r="S124" s="143"/>
    </row>
    <row r="125" spans="2:19" s="102" customFormat="1" ht="19" customHeight="1">
      <c r="B125" s="126"/>
      <c r="H125" s="112"/>
      <c r="K125" s="126"/>
      <c r="Q125" s="103"/>
      <c r="S125" s="143"/>
    </row>
    <row r="126" spans="2:19" s="102" customFormat="1" ht="19" customHeight="1">
      <c r="B126" s="126"/>
      <c r="H126" s="112"/>
      <c r="K126" s="126"/>
      <c r="Q126" s="103"/>
      <c r="S126" s="143"/>
    </row>
    <row r="127" spans="2:19" s="102" customFormat="1" ht="19" customHeight="1">
      <c r="B127" s="126"/>
      <c r="H127" s="112"/>
      <c r="K127" s="126"/>
      <c r="Q127" s="103"/>
      <c r="S127" s="143"/>
    </row>
    <row r="128" spans="2:19" s="102" customFormat="1" ht="19" customHeight="1">
      <c r="B128" s="126"/>
      <c r="H128" s="112"/>
      <c r="K128" s="126"/>
      <c r="Q128" s="103"/>
      <c r="S128" s="143"/>
    </row>
    <row r="129" spans="2:19" s="102" customFormat="1" ht="19" customHeight="1">
      <c r="B129" s="126"/>
      <c r="H129" s="112"/>
      <c r="K129" s="126"/>
      <c r="Q129" s="103"/>
      <c r="S129" s="143"/>
    </row>
    <row r="130" spans="2:19" s="102" customFormat="1" ht="19" customHeight="1">
      <c r="B130" s="126"/>
      <c r="H130" s="112"/>
      <c r="K130" s="126"/>
      <c r="Q130" s="103"/>
      <c r="S130" s="143"/>
    </row>
    <row r="131" spans="2:19" s="102" customFormat="1" ht="19" customHeight="1">
      <c r="B131" s="126"/>
      <c r="H131" s="112"/>
      <c r="K131" s="126"/>
      <c r="Q131" s="103"/>
      <c r="S131" s="143"/>
    </row>
    <row r="132" spans="2:19" s="102" customFormat="1" ht="19" customHeight="1">
      <c r="B132" s="126"/>
      <c r="H132" s="112"/>
      <c r="K132" s="126"/>
      <c r="Q132" s="103"/>
      <c r="S132" s="143"/>
    </row>
    <row r="133" spans="2:19" s="102" customFormat="1" ht="19" customHeight="1">
      <c r="B133" s="126"/>
      <c r="H133" s="112"/>
      <c r="K133" s="126"/>
      <c r="Q133" s="103"/>
      <c r="S133" s="143"/>
    </row>
    <row r="134" spans="2:19" s="102" customFormat="1" ht="19" customHeight="1">
      <c r="B134" s="126"/>
      <c r="H134" s="112"/>
      <c r="K134" s="126"/>
      <c r="Q134" s="103"/>
      <c r="S134" s="143"/>
    </row>
    <row r="135" spans="2:19" s="102" customFormat="1" ht="19" customHeight="1">
      <c r="B135" s="126"/>
      <c r="H135" s="112"/>
      <c r="K135" s="126"/>
      <c r="Q135" s="103"/>
      <c r="S135" s="143"/>
    </row>
    <row r="136" spans="2:19" s="102" customFormat="1" ht="19" customHeight="1">
      <c r="B136" s="126"/>
      <c r="H136" s="112"/>
      <c r="K136" s="126"/>
      <c r="Q136" s="103"/>
      <c r="S136" s="143"/>
    </row>
    <row r="137" spans="2:19" s="102" customFormat="1" ht="19" customHeight="1">
      <c r="B137" s="126"/>
      <c r="H137" s="112"/>
      <c r="K137" s="126"/>
      <c r="Q137" s="103"/>
      <c r="S137" s="143"/>
    </row>
    <row r="138" spans="2:19" s="102" customFormat="1" ht="19" customHeight="1">
      <c r="B138" s="126"/>
      <c r="H138" s="112"/>
      <c r="K138" s="126"/>
      <c r="Q138" s="103"/>
      <c r="S138" s="143"/>
    </row>
    <row r="139" spans="2:19" s="102" customFormat="1" ht="19" customHeight="1">
      <c r="B139" s="126"/>
      <c r="H139" s="112"/>
      <c r="K139" s="126"/>
      <c r="Q139" s="103"/>
      <c r="S139" s="143"/>
    </row>
    <row r="140" spans="2:19" s="102" customFormat="1" ht="19" customHeight="1">
      <c r="B140" s="126"/>
      <c r="H140" s="112"/>
      <c r="K140" s="126"/>
      <c r="Q140" s="103"/>
      <c r="S140" s="143"/>
    </row>
    <row r="141" spans="2:19" s="102" customFormat="1" ht="19" customHeight="1">
      <c r="B141" s="126"/>
      <c r="H141" s="112"/>
      <c r="K141" s="126"/>
      <c r="Q141" s="103"/>
      <c r="S141" s="143"/>
    </row>
    <row r="142" spans="2:19" s="102" customFormat="1" ht="19" customHeight="1">
      <c r="B142" s="126"/>
      <c r="H142" s="112"/>
      <c r="K142" s="126"/>
      <c r="Q142" s="103"/>
      <c r="S142" s="143"/>
    </row>
    <row r="143" spans="2:19" s="102" customFormat="1" ht="19" customHeight="1">
      <c r="B143" s="126"/>
      <c r="H143" s="112"/>
      <c r="K143" s="126"/>
      <c r="Q143" s="103"/>
      <c r="S143" s="143"/>
    </row>
    <row r="144" spans="2:19" s="102" customFormat="1" ht="19" customHeight="1">
      <c r="B144" s="126"/>
      <c r="H144" s="112"/>
      <c r="K144" s="126"/>
      <c r="Q144" s="103"/>
      <c r="S144" s="143"/>
    </row>
    <row r="145" spans="2:19" s="102" customFormat="1" ht="19" customHeight="1">
      <c r="B145" s="126"/>
      <c r="H145" s="112"/>
      <c r="K145" s="126"/>
      <c r="Q145" s="103"/>
    </row>
    <row r="146" spans="2:19" s="102" customFormat="1" ht="19" customHeight="1">
      <c r="B146" s="126"/>
      <c r="H146" s="112"/>
      <c r="K146" s="126"/>
      <c r="Q146" s="103"/>
    </row>
    <row r="147" spans="2:19" s="102" customFormat="1" ht="19" customHeight="1">
      <c r="B147" s="126"/>
      <c r="H147" s="112"/>
      <c r="K147" s="126"/>
      <c r="Q147" s="103"/>
      <c r="S147" s="143"/>
    </row>
    <row r="148" spans="2:19" s="102" customFormat="1" ht="19" customHeight="1">
      <c r="B148" s="126"/>
      <c r="H148" s="112"/>
      <c r="K148" s="126"/>
      <c r="Q148" s="103"/>
      <c r="S148" s="143"/>
    </row>
    <row r="149" spans="2:19" s="102" customFormat="1" ht="19" customHeight="1">
      <c r="B149" s="126"/>
      <c r="H149" s="112"/>
      <c r="K149" s="126"/>
      <c r="Q149" s="103"/>
      <c r="S149" s="143"/>
    </row>
    <row r="150" spans="2:19" s="102" customFormat="1" ht="19" customHeight="1">
      <c r="B150" s="126"/>
      <c r="H150" s="112"/>
      <c r="K150" s="126"/>
      <c r="Q150" s="103"/>
      <c r="S150" s="143"/>
    </row>
    <row r="151" spans="2:19" s="102" customFormat="1" ht="19" customHeight="1">
      <c r="B151" s="126"/>
      <c r="H151" s="112"/>
      <c r="K151" s="126"/>
      <c r="Q151" s="103"/>
      <c r="S151" s="143"/>
    </row>
    <row r="152" spans="2:19" s="102" customFormat="1" ht="19" customHeight="1">
      <c r="B152" s="126"/>
      <c r="H152" s="112"/>
      <c r="K152" s="126"/>
      <c r="Q152" s="103"/>
      <c r="S152" s="143"/>
    </row>
    <row r="153" spans="2:19" s="102" customFormat="1" ht="19" customHeight="1">
      <c r="B153" s="126"/>
      <c r="H153" s="112"/>
      <c r="K153" s="126"/>
      <c r="Q153" s="103"/>
      <c r="S153" s="143"/>
    </row>
    <row r="154" spans="2:19" s="102" customFormat="1" ht="19" customHeight="1">
      <c r="B154" s="126"/>
      <c r="H154" s="112"/>
      <c r="K154" s="126"/>
      <c r="Q154" s="103"/>
      <c r="S154" s="143"/>
    </row>
    <row r="155" spans="2:19" s="102" customFormat="1" ht="19" customHeight="1">
      <c r="B155" s="126"/>
      <c r="H155" s="112"/>
      <c r="K155" s="126"/>
      <c r="Q155" s="103"/>
      <c r="S155" s="143"/>
    </row>
    <row r="156" spans="2:19" s="102" customFormat="1" ht="19" customHeight="1">
      <c r="B156" s="126"/>
      <c r="H156" s="112"/>
      <c r="K156" s="126"/>
      <c r="Q156" s="103"/>
      <c r="S156" s="143"/>
    </row>
    <row r="157" spans="2:19" s="102" customFormat="1" ht="19" customHeight="1">
      <c r="B157" s="126"/>
      <c r="H157" s="112"/>
      <c r="K157" s="126"/>
      <c r="Q157" s="103"/>
    </row>
    <row r="158" spans="2:19" s="102" customFormat="1" ht="19" customHeight="1">
      <c r="B158" s="126"/>
      <c r="H158" s="112"/>
      <c r="K158" s="126"/>
      <c r="Q158" s="103"/>
    </row>
    <row r="159" spans="2:19" s="102" customFormat="1" ht="19" customHeight="1">
      <c r="B159" s="126"/>
      <c r="H159" s="112"/>
      <c r="K159" s="126"/>
      <c r="Q159" s="103"/>
    </row>
    <row r="160" spans="2:19" s="102" customFormat="1" ht="19" customHeight="1">
      <c r="B160" s="126"/>
      <c r="H160" s="112"/>
      <c r="K160" s="126"/>
      <c r="Q160" s="103"/>
      <c r="S160" s="143"/>
    </row>
    <row r="161" spans="2:19" s="102" customFormat="1" ht="19" customHeight="1">
      <c r="B161" s="126"/>
      <c r="H161" s="112"/>
      <c r="K161" s="126"/>
      <c r="Q161" s="103"/>
      <c r="S161" s="143"/>
    </row>
    <row r="162" spans="2:19" s="102" customFormat="1" ht="19" customHeight="1">
      <c r="B162" s="126"/>
      <c r="H162" s="112"/>
      <c r="K162" s="126"/>
      <c r="Q162" s="103"/>
      <c r="S162" s="143"/>
    </row>
    <row r="163" spans="2:19" s="102" customFormat="1" ht="19" customHeight="1">
      <c r="B163" s="126"/>
      <c r="H163" s="112"/>
      <c r="K163" s="126"/>
      <c r="Q163" s="103"/>
    </row>
    <row r="164" spans="2:19" s="102" customFormat="1" ht="19" customHeight="1">
      <c r="B164" s="126"/>
      <c r="H164" s="112"/>
      <c r="K164" s="126"/>
      <c r="Q164" s="103"/>
      <c r="S164" s="143"/>
    </row>
    <row r="165" spans="2:19" s="102" customFormat="1" ht="19" customHeight="1">
      <c r="B165" s="126"/>
      <c r="H165" s="112"/>
      <c r="K165" s="126"/>
      <c r="Q165" s="103"/>
      <c r="S165" s="143"/>
    </row>
    <row r="166" spans="2:19" s="102" customFormat="1" ht="19" customHeight="1">
      <c r="B166" s="126"/>
      <c r="H166" s="112"/>
      <c r="K166" s="126"/>
      <c r="Q166" s="103"/>
      <c r="S166" s="143"/>
    </row>
    <row r="167" spans="2:19" s="102" customFormat="1" ht="19" customHeight="1">
      <c r="B167" s="126"/>
      <c r="H167" s="112"/>
      <c r="K167" s="126"/>
      <c r="Q167" s="103"/>
      <c r="S167" s="143"/>
    </row>
    <row r="168" spans="2:19" s="102" customFormat="1" ht="19" customHeight="1">
      <c r="B168" s="126"/>
      <c r="H168" s="112"/>
      <c r="K168" s="126"/>
      <c r="Q168" s="103"/>
      <c r="S168" s="143"/>
    </row>
    <row r="169" spans="2:19" s="102" customFormat="1" ht="19" customHeight="1">
      <c r="B169" s="126"/>
      <c r="H169" s="112"/>
      <c r="K169" s="126"/>
      <c r="Q169" s="103"/>
      <c r="S169" s="143"/>
    </row>
    <row r="170" spans="2:19" s="102" customFormat="1" ht="19" customHeight="1">
      <c r="B170" s="126"/>
      <c r="H170" s="112"/>
      <c r="K170" s="126"/>
      <c r="Q170" s="103"/>
      <c r="S170" s="143"/>
    </row>
    <row r="171" spans="2:19" s="102" customFormat="1" ht="19" customHeight="1">
      <c r="B171" s="126"/>
      <c r="H171" s="112"/>
      <c r="K171" s="126"/>
      <c r="Q171" s="103"/>
      <c r="S171" s="143"/>
    </row>
    <row r="172" spans="2:19" s="102" customFormat="1" ht="19" customHeight="1">
      <c r="B172" s="126"/>
      <c r="H172" s="112"/>
      <c r="K172" s="126"/>
      <c r="Q172" s="103"/>
      <c r="S172" s="143"/>
    </row>
    <row r="173" spans="2:19" s="102" customFormat="1" ht="19" customHeight="1">
      <c r="B173" s="126"/>
      <c r="H173" s="112"/>
      <c r="K173" s="126"/>
      <c r="Q173" s="103"/>
      <c r="S173" s="143"/>
    </row>
    <row r="174" spans="2:19" s="102" customFormat="1" ht="19" customHeight="1">
      <c r="B174" s="126"/>
      <c r="H174" s="112"/>
      <c r="K174" s="126"/>
      <c r="Q174" s="103"/>
      <c r="S174" s="143"/>
    </row>
    <row r="175" spans="2:19" s="102" customFormat="1" ht="19" customHeight="1">
      <c r="B175" s="126"/>
      <c r="H175" s="112"/>
      <c r="K175" s="126"/>
      <c r="Q175" s="103"/>
      <c r="S175" s="143"/>
    </row>
    <row r="176" spans="2:19" s="102" customFormat="1" ht="19" customHeight="1">
      <c r="B176" s="126"/>
      <c r="H176" s="112"/>
      <c r="K176" s="126"/>
      <c r="Q176" s="103"/>
      <c r="S176" s="143"/>
    </row>
    <row r="177" spans="2:19" s="102" customFormat="1" ht="19" customHeight="1">
      <c r="B177" s="126"/>
      <c r="H177" s="112"/>
      <c r="K177" s="126"/>
      <c r="Q177" s="103"/>
      <c r="S177" s="143"/>
    </row>
    <row r="178" spans="2:19" s="102" customFormat="1" ht="19" customHeight="1">
      <c r="B178" s="126"/>
      <c r="H178" s="112"/>
      <c r="K178" s="126"/>
      <c r="Q178" s="103"/>
      <c r="S178" s="143"/>
    </row>
    <row r="179" spans="2:19" s="102" customFormat="1" ht="19" customHeight="1">
      <c r="B179" s="126"/>
      <c r="H179" s="112"/>
      <c r="K179" s="126"/>
      <c r="Q179" s="103"/>
      <c r="S179" s="143"/>
    </row>
    <row r="180" spans="2:19" s="102" customFormat="1" ht="19" customHeight="1">
      <c r="B180" s="126"/>
      <c r="H180" s="112"/>
      <c r="K180" s="126"/>
      <c r="Q180" s="103"/>
      <c r="S180" s="143"/>
    </row>
    <row r="181" spans="2:19" s="102" customFormat="1" ht="19" customHeight="1">
      <c r="B181" s="126"/>
      <c r="H181" s="112"/>
      <c r="K181" s="126"/>
      <c r="Q181" s="103"/>
      <c r="S181" s="143"/>
    </row>
    <row r="182" spans="2:19" s="102" customFormat="1" ht="19" customHeight="1">
      <c r="B182" s="126"/>
      <c r="H182" s="112"/>
      <c r="K182" s="126"/>
      <c r="Q182" s="103"/>
      <c r="S182" s="143"/>
    </row>
    <row r="183" spans="2:19" s="102" customFormat="1" ht="19" customHeight="1">
      <c r="B183" s="126"/>
      <c r="H183" s="112"/>
      <c r="K183" s="126"/>
      <c r="Q183" s="103"/>
      <c r="S183" s="143"/>
    </row>
    <row r="184" spans="2:19" s="102" customFormat="1" ht="19" customHeight="1">
      <c r="B184" s="126"/>
      <c r="H184" s="112"/>
      <c r="K184" s="126"/>
      <c r="Q184" s="103"/>
      <c r="S184" s="143"/>
    </row>
    <row r="185" spans="2:19" s="102" customFormat="1" ht="19" customHeight="1">
      <c r="B185" s="126"/>
      <c r="H185" s="112"/>
      <c r="K185" s="126"/>
      <c r="Q185" s="103"/>
      <c r="S185" s="143"/>
    </row>
    <row r="186" spans="2:19" s="102" customFormat="1" ht="19" customHeight="1">
      <c r="B186" s="126"/>
      <c r="H186" s="112"/>
      <c r="K186" s="126"/>
      <c r="Q186" s="103"/>
      <c r="S186" s="143"/>
    </row>
    <row r="187" spans="2:19" s="102" customFormat="1" ht="19" customHeight="1">
      <c r="B187" s="126"/>
      <c r="H187" s="112"/>
      <c r="K187" s="126"/>
      <c r="Q187" s="103"/>
      <c r="S187" s="143"/>
    </row>
    <row r="188" spans="2:19" s="102" customFormat="1" ht="19" customHeight="1">
      <c r="B188" s="126"/>
      <c r="H188" s="112"/>
      <c r="K188" s="126"/>
      <c r="Q188" s="103"/>
      <c r="S188" s="143"/>
    </row>
    <row r="189" spans="2:19" s="102" customFormat="1" ht="19" customHeight="1">
      <c r="B189" s="126"/>
      <c r="H189" s="112"/>
      <c r="K189" s="126"/>
      <c r="Q189" s="103"/>
      <c r="S189" s="143"/>
    </row>
    <row r="190" spans="2:19" s="102" customFormat="1" ht="19" customHeight="1">
      <c r="B190" s="126"/>
      <c r="H190" s="112"/>
      <c r="K190" s="126"/>
      <c r="Q190" s="103"/>
      <c r="S190" s="143"/>
    </row>
    <row r="191" spans="2:19" s="102" customFormat="1" ht="19" customHeight="1">
      <c r="B191" s="126"/>
      <c r="H191" s="112"/>
      <c r="K191" s="126"/>
      <c r="Q191" s="103"/>
      <c r="S191" s="143"/>
    </row>
    <row r="192" spans="2:19" s="102" customFormat="1" ht="19" customHeight="1">
      <c r="B192" s="126"/>
      <c r="H192" s="112"/>
      <c r="K192" s="126"/>
      <c r="Q192" s="103"/>
      <c r="S192" s="143"/>
    </row>
    <row r="193" spans="2:19" s="102" customFormat="1" ht="19" customHeight="1">
      <c r="B193" s="126"/>
      <c r="H193" s="112"/>
      <c r="K193" s="126"/>
      <c r="Q193" s="103"/>
      <c r="S193" s="143"/>
    </row>
    <row r="194" spans="2:19" s="102" customFormat="1" ht="19" customHeight="1">
      <c r="B194" s="126"/>
      <c r="H194" s="162"/>
      <c r="K194" s="126"/>
      <c r="Q194" s="103"/>
      <c r="S194" s="143"/>
    </row>
    <row r="195" spans="2:19" s="102" customFormat="1" ht="19">
      <c r="B195" s="103"/>
      <c r="H195" s="164"/>
      <c r="K195" s="103"/>
      <c r="Q195" s="103"/>
      <c r="S195" s="143"/>
    </row>
    <row r="196" spans="2:19" s="102" customFormat="1" ht="19">
      <c r="B196" s="103"/>
      <c r="H196" s="164"/>
      <c r="K196" s="103"/>
      <c r="Q196" s="103"/>
      <c r="S196" s="143"/>
    </row>
    <row r="197" spans="2:19" s="102" customFormat="1" ht="19" customHeight="1">
      <c r="B197" s="126"/>
      <c r="H197" s="162"/>
      <c r="K197" s="126"/>
      <c r="P197"/>
      <c r="Q197" s="103"/>
      <c r="S197" s="143"/>
    </row>
    <row r="198" spans="2:19" s="102" customFormat="1" ht="19" customHeight="1">
      <c r="B198" s="126"/>
      <c r="H198" s="162"/>
      <c r="K198" s="126"/>
      <c r="P198"/>
      <c r="Q198" s="103"/>
      <c r="S198" s="143"/>
    </row>
    <row r="199" spans="2:19" s="102" customFormat="1" ht="19" customHeight="1">
      <c r="B199" s="126"/>
      <c r="H199" s="162"/>
      <c r="K199" s="126"/>
      <c r="P199"/>
      <c r="Q199" s="103"/>
      <c r="S199" s="143"/>
    </row>
    <row r="200" spans="2:19" s="102" customFormat="1" ht="19" customHeight="1">
      <c r="B200" s="126"/>
      <c r="H200" s="162"/>
      <c r="K200" s="126"/>
      <c r="P200"/>
      <c r="Q200" s="103"/>
      <c r="S200" s="143"/>
    </row>
    <row r="201" spans="2:19" s="102" customFormat="1" ht="19" customHeight="1">
      <c r="B201" s="126"/>
      <c r="H201" s="162"/>
      <c r="K201" s="126"/>
      <c r="P201"/>
      <c r="Q201" s="103"/>
      <c r="S201" s="143"/>
    </row>
  </sheetData>
  <phoneticPr fontId="6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U32"/>
  <sheetViews>
    <sheetView tabSelected="1" zoomScale="110" zoomScaleNormal="110" workbookViewId="0">
      <selection activeCell="P16" sqref="P16"/>
    </sheetView>
  </sheetViews>
  <sheetFormatPr baseColWidth="10" defaultRowHeight="15"/>
  <cols>
    <col min="1" max="1" width="4.1640625" customWidth="1"/>
    <col min="2" max="2" width="12.5" customWidth="1"/>
    <col min="3" max="3" width="25.1640625" customWidth="1"/>
    <col min="4" max="4" width="24.6640625" bestFit="1" customWidth="1"/>
    <col min="5" max="5" width="16.1640625" customWidth="1"/>
    <col min="6" max="6" width="42.1640625" customWidth="1"/>
    <col min="7" max="7" width="20.33203125" customWidth="1"/>
    <col min="8" max="8" width="7.1640625" customWidth="1"/>
    <col min="10" max="10" width="10.6640625" customWidth="1"/>
    <col min="11" max="11" width="11.6640625" customWidth="1"/>
    <col min="12" max="12" width="27.1640625" customWidth="1"/>
    <col min="13" max="13" width="31.83203125" customWidth="1"/>
    <col min="14" max="14" width="25" customWidth="1"/>
    <col min="15" max="15" width="12.5" style="106" customWidth="1"/>
    <col min="16" max="16" width="17.6640625" customWidth="1"/>
    <col min="17" max="17" width="10.1640625" customWidth="1"/>
    <col min="18" max="18" width="5.1640625" customWidth="1"/>
    <col min="19" max="19" width="21.1640625" customWidth="1"/>
    <col min="20" max="20" width="19.5" customWidth="1"/>
    <col min="21" max="21" width="41.6640625" customWidth="1"/>
  </cols>
  <sheetData>
    <row r="2" spans="1:21" ht="18">
      <c r="C2" s="44"/>
      <c r="D2" s="44"/>
      <c r="E2" s="44"/>
      <c r="F2" s="44"/>
      <c r="G2" s="44"/>
      <c r="H2" s="44"/>
      <c r="I2" s="44"/>
      <c r="J2" s="44"/>
      <c r="K2" s="45"/>
      <c r="L2" s="44"/>
      <c r="M2" s="44"/>
      <c r="N2" s="44"/>
      <c r="O2" s="104"/>
      <c r="P2" s="44"/>
      <c r="Q2" s="44"/>
      <c r="R2" s="44"/>
      <c r="S2" s="44"/>
    </row>
    <row r="3" spans="1:21" ht="18">
      <c r="A3" s="46"/>
      <c r="C3" s="47" t="s">
        <v>0</v>
      </c>
      <c r="D3" s="44"/>
      <c r="E3" s="48"/>
      <c r="F3" s="44"/>
      <c r="G3" s="49"/>
      <c r="H3" s="45"/>
      <c r="I3" s="50"/>
      <c r="J3" s="51"/>
      <c r="K3" s="45"/>
      <c r="L3" s="52"/>
      <c r="M3" s="52"/>
      <c r="N3" s="45"/>
      <c r="O3" s="105"/>
      <c r="P3" s="44"/>
      <c r="Q3" s="44"/>
      <c r="R3" s="44"/>
      <c r="S3" s="44"/>
    </row>
    <row r="4" spans="1:21" ht="18">
      <c r="A4" s="46"/>
      <c r="C4" s="53" t="s">
        <v>1</v>
      </c>
      <c r="D4" s="44"/>
      <c r="E4" s="45"/>
      <c r="F4" s="44"/>
      <c r="G4" s="54"/>
      <c r="H4" s="55"/>
      <c r="I4" s="56"/>
      <c r="J4" s="57" t="s">
        <v>1015</v>
      </c>
      <c r="K4" s="55"/>
      <c r="L4" s="58"/>
      <c r="M4" s="59"/>
      <c r="N4" s="45" t="s">
        <v>1032</v>
      </c>
      <c r="O4" s="105"/>
      <c r="P4" s="60"/>
      <c r="Q4" s="44"/>
      <c r="R4" s="44"/>
      <c r="S4" s="44"/>
    </row>
    <row r="5" spans="1:21" s="1" customFormat="1" ht="58" customHeight="1">
      <c r="A5" s="61"/>
      <c r="B5" s="83" t="s">
        <v>26</v>
      </c>
      <c r="C5" s="83" t="s">
        <v>1016</v>
      </c>
      <c r="D5" s="83" t="s">
        <v>28</v>
      </c>
      <c r="E5" s="83" t="s">
        <v>29</v>
      </c>
      <c r="F5" s="91" t="s">
        <v>30</v>
      </c>
      <c r="G5" s="83" t="s">
        <v>31</v>
      </c>
      <c r="H5" s="83" t="s">
        <v>32</v>
      </c>
      <c r="I5" s="83" t="s">
        <v>33</v>
      </c>
      <c r="J5" s="83" t="s">
        <v>34</v>
      </c>
      <c r="K5" s="83" t="s">
        <v>35</v>
      </c>
      <c r="L5" s="92" t="s">
        <v>36</v>
      </c>
      <c r="M5" s="92" t="s">
        <v>37</v>
      </c>
      <c r="N5" s="83" t="s">
        <v>38</v>
      </c>
      <c r="O5" s="107" t="s">
        <v>39</v>
      </c>
      <c r="P5" s="83" t="s">
        <v>40</v>
      </c>
      <c r="Q5" s="83" t="s">
        <v>41</v>
      </c>
      <c r="R5" s="83" t="s">
        <v>22</v>
      </c>
      <c r="S5" s="83" t="s">
        <v>23</v>
      </c>
      <c r="T5" s="83" t="s">
        <v>42</v>
      </c>
      <c r="U5" s="83" t="s">
        <v>43</v>
      </c>
    </row>
    <row r="6" spans="1:21" s="102" customFormat="1" ht="19">
      <c r="A6" s="113">
        <v>1</v>
      </c>
      <c r="B6" s="100"/>
      <c r="C6" s="99"/>
      <c r="D6" s="99"/>
      <c r="E6" s="99"/>
      <c r="F6" s="112" t="e">
        <f t="shared" ref="F6:F31" si="0">VLOOKUP(E6,PROD,2,FALSE)</f>
        <v>#N/A</v>
      </c>
      <c r="G6" s="99"/>
      <c r="H6" s="99" t="s">
        <v>1034</v>
      </c>
      <c r="I6" s="99" t="s">
        <v>1035</v>
      </c>
      <c r="J6" s="99" t="s">
        <v>1036</v>
      </c>
      <c r="K6" s="100"/>
      <c r="L6" s="99"/>
      <c r="M6" s="99"/>
      <c r="N6" s="99"/>
      <c r="O6" s="128"/>
      <c r="P6" s="99" t="s">
        <v>1037</v>
      </c>
      <c r="Q6" s="99" t="s">
        <v>1035</v>
      </c>
      <c r="S6" s="99"/>
      <c r="T6" s="99"/>
      <c r="U6" s="114"/>
    </row>
    <row r="7" spans="1:21" s="102" customFormat="1" ht="19">
      <c r="A7" s="113"/>
      <c r="B7" s="100"/>
      <c r="C7" s="99"/>
      <c r="D7" s="99"/>
      <c r="E7" s="99"/>
      <c r="F7" s="112"/>
      <c r="G7" s="99"/>
      <c r="H7" s="99"/>
      <c r="I7" s="99"/>
      <c r="J7" s="99"/>
      <c r="K7" s="100"/>
      <c r="L7" s="99"/>
      <c r="M7" s="99"/>
      <c r="N7" s="99"/>
      <c r="O7" s="128"/>
      <c r="P7" s="99"/>
      <c r="Q7" s="99"/>
      <c r="S7" s="99"/>
      <c r="T7" s="99"/>
      <c r="U7" s="114"/>
    </row>
    <row r="8" spans="1:21" s="102" customFormat="1" ht="19">
      <c r="A8" s="113"/>
      <c r="B8" s="100"/>
      <c r="C8" s="99"/>
      <c r="D8" s="99"/>
      <c r="E8" s="99"/>
      <c r="F8" s="112"/>
      <c r="G8" s="99"/>
      <c r="H8" s="99"/>
      <c r="I8" s="99"/>
      <c r="J8" s="99"/>
      <c r="K8" s="100"/>
      <c r="L8" s="99"/>
      <c r="M8" s="99"/>
      <c r="N8" s="114"/>
      <c r="O8" s="128"/>
      <c r="P8" s="99"/>
      <c r="Q8" s="99"/>
      <c r="S8" s="99"/>
      <c r="T8" s="99"/>
      <c r="U8" s="114"/>
    </row>
    <row r="9" spans="1:21" s="102" customFormat="1" ht="19">
      <c r="A9" s="113"/>
      <c r="B9" s="100"/>
      <c r="C9" s="99"/>
      <c r="D9" s="99"/>
      <c r="E9" s="99"/>
      <c r="F9" s="112"/>
      <c r="G9" s="99"/>
      <c r="H9" s="99"/>
      <c r="I9" s="99"/>
      <c r="J9" s="99"/>
      <c r="K9" s="100"/>
      <c r="L9" s="99"/>
      <c r="M9" s="99"/>
      <c r="N9" s="99"/>
      <c r="O9" s="128"/>
      <c r="P9" s="99"/>
      <c r="Q9" s="99"/>
      <c r="S9" s="99"/>
      <c r="T9" s="99"/>
      <c r="U9" s="114"/>
    </row>
    <row r="10" spans="1:21" s="102" customFormat="1" ht="19">
      <c r="A10" s="113"/>
      <c r="B10" s="100"/>
      <c r="C10" s="99"/>
      <c r="D10" s="99"/>
      <c r="E10" s="99"/>
      <c r="F10" s="112"/>
      <c r="G10" s="99"/>
      <c r="H10" s="99"/>
      <c r="I10" s="99"/>
      <c r="J10" s="99"/>
      <c r="K10" s="100"/>
      <c r="L10" s="99"/>
      <c r="M10" s="99"/>
      <c r="N10" s="99"/>
      <c r="O10" s="128"/>
      <c r="P10" s="99"/>
      <c r="Q10" s="99"/>
      <c r="S10" s="99"/>
      <c r="T10" s="99"/>
      <c r="U10" s="114"/>
    </row>
    <row r="11" spans="1:21" s="102" customFormat="1" ht="19">
      <c r="A11" s="113"/>
      <c r="B11" s="100"/>
      <c r="C11" s="99"/>
      <c r="D11" s="99"/>
      <c r="E11" s="99"/>
      <c r="F11" s="112"/>
      <c r="G11" s="99"/>
      <c r="H11" s="99"/>
      <c r="I11" s="99"/>
      <c r="J11" s="99"/>
      <c r="K11" s="100"/>
      <c r="L11" s="99"/>
      <c r="M11" s="99"/>
      <c r="N11" s="99"/>
      <c r="O11" s="128"/>
      <c r="P11" s="99"/>
      <c r="Q11" s="99"/>
      <c r="S11" s="99"/>
      <c r="T11" s="99"/>
      <c r="U11" s="114"/>
    </row>
    <row r="12" spans="1:21" s="102" customFormat="1" ht="19">
      <c r="A12" s="113"/>
      <c r="B12" s="100"/>
      <c r="C12" s="99"/>
      <c r="D12" s="99"/>
      <c r="E12" s="99"/>
      <c r="F12" s="112"/>
      <c r="G12" s="99"/>
      <c r="H12" s="99"/>
      <c r="I12" s="99"/>
      <c r="J12" s="99"/>
      <c r="K12" s="100"/>
      <c r="L12" s="99"/>
      <c r="M12" s="99"/>
      <c r="N12" s="99"/>
      <c r="O12" s="128"/>
      <c r="P12" s="99"/>
      <c r="Q12" s="99"/>
      <c r="S12" s="99"/>
      <c r="T12" s="99"/>
      <c r="U12" s="114"/>
    </row>
    <row r="13" spans="1:21" s="102" customFormat="1" ht="19">
      <c r="A13" s="113"/>
      <c r="B13" s="100"/>
      <c r="C13" s="99"/>
      <c r="D13" s="99"/>
      <c r="E13" s="99"/>
      <c r="F13" s="112"/>
      <c r="G13" s="99"/>
      <c r="H13" s="99"/>
      <c r="I13" s="99"/>
      <c r="J13" s="99"/>
      <c r="K13" s="100"/>
      <c r="L13" s="99"/>
      <c r="M13" s="99"/>
      <c r="N13" s="99"/>
      <c r="O13" s="128"/>
      <c r="P13" s="99"/>
      <c r="Q13" s="99"/>
      <c r="S13" s="99"/>
      <c r="T13" s="101"/>
      <c r="U13" s="147"/>
    </row>
    <row r="14" spans="1:21" s="102" customFormat="1" ht="19">
      <c r="A14" s="113"/>
      <c r="B14" s="100"/>
      <c r="C14" s="99"/>
      <c r="D14" s="99"/>
      <c r="E14" s="99"/>
      <c r="F14" s="112"/>
      <c r="G14" s="99"/>
      <c r="H14" s="99"/>
      <c r="I14" s="99"/>
      <c r="J14" s="99"/>
      <c r="K14" s="100"/>
      <c r="L14" s="99"/>
      <c r="M14" s="99"/>
      <c r="N14" s="99"/>
      <c r="O14" s="128"/>
      <c r="P14" s="99"/>
      <c r="Q14" s="99"/>
      <c r="S14" s="99"/>
      <c r="T14" s="99"/>
      <c r="U14" s="114"/>
    </row>
    <row r="15" spans="1:21" s="102" customFormat="1" ht="19">
      <c r="A15" s="113"/>
      <c r="B15" s="100"/>
      <c r="C15" s="99"/>
      <c r="D15" s="99"/>
      <c r="E15" s="99"/>
      <c r="F15" s="112"/>
      <c r="G15" s="99"/>
      <c r="H15" s="99"/>
      <c r="I15" s="99"/>
      <c r="J15" s="99"/>
      <c r="K15" s="100"/>
      <c r="L15" s="99"/>
      <c r="M15" s="99"/>
      <c r="N15" s="99"/>
      <c r="O15" s="128"/>
      <c r="P15" s="99"/>
      <c r="Q15" s="99"/>
      <c r="S15" s="99"/>
      <c r="T15" s="101"/>
      <c r="U15" s="114"/>
    </row>
    <row r="16" spans="1:21" s="102" customFormat="1" ht="19">
      <c r="A16" s="113"/>
      <c r="B16" s="100"/>
      <c r="C16" s="99"/>
      <c r="D16" s="99"/>
      <c r="E16" s="99"/>
      <c r="F16" s="112"/>
      <c r="G16" s="99"/>
      <c r="H16" s="99"/>
      <c r="I16" s="99"/>
      <c r="J16" s="99"/>
      <c r="K16" s="100"/>
      <c r="L16" s="99"/>
      <c r="M16" s="99"/>
      <c r="N16" s="114"/>
      <c r="O16" s="128"/>
      <c r="P16" s="99"/>
      <c r="Q16" s="99"/>
      <c r="S16" s="99"/>
      <c r="T16" s="101"/>
      <c r="U16" s="114"/>
    </row>
    <row r="17" spans="1:21" s="102" customFormat="1" ht="19">
      <c r="A17" s="113"/>
      <c r="B17" s="100"/>
      <c r="C17" s="99"/>
      <c r="D17" s="99"/>
      <c r="E17" s="99"/>
      <c r="F17" s="112"/>
      <c r="G17" s="99"/>
      <c r="H17" s="99"/>
      <c r="I17" s="99"/>
      <c r="J17" s="99"/>
      <c r="K17" s="100"/>
      <c r="L17" s="99"/>
      <c r="M17" s="99"/>
      <c r="N17" s="99"/>
      <c r="O17" s="128"/>
      <c r="P17" s="99"/>
      <c r="Q17" s="99"/>
      <c r="S17" s="99"/>
      <c r="T17" s="101"/>
      <c r="U17" s="114"/>
    </row>
    <row r="18" spans="1:21" s="102" customFormat="1" ht="19">
      <c r="A18" s="113"/>
      <c r="B18" s="100"/>
      <c r="C18" s="99"/>
      <c r="D18" s="99"/>
      <c r="E18" s="99"/>
      <c r="F18" s="112"/>
      <c r="G18" s="99"/>
      <c r="H18" s="99"/>
      <c r="I18" s="99"/>
      <c r="J18" s="99"/>
      <c r="K18" s="100"/>
      <c r="L18" s="99"/>
      <c r="M18" s="99"/>
      <c r="N18" s="99"/>
      <c r="O18" s="128"/>
      <c r="P18" s="99"/>
      <c r="Q18" s="99"/>
      <c r="S18" s="99"/>
      <c r="T18" s="101"/>
      <c r="U18" s="114"/>
    </row>
    <row r="19" spans="1:21" s="102" customFormat="1" ht="19">
      <c r="A19" s="113"/>
      <c r="B19" s="100"/>
      <c r="C19" s="99"/>
      <c r="D19" s="99"/>
      <c r="E19" s="99"/>
      <c r="F19" s="112"/>
      <c r="G19" s="99"/>
      <c r="H19" s="99"/>
      <c r="I19" s="99"/>
      <c r="J19" s="99"/>
      <c r="K19" s="100"/>
      <c r="L19" s="99"/>
      <c r="M19" s="99"/>
      <c r="N19" s="99"/>
      <c r="O19" s="128"/>
      <c r="P19" s="99"/>
      <c r="Q19" s="99"/>
      <c r="S19" s="99"/>
      <c r="T19" s="101"/>
      <c r="U19" s="114"/>
    </row>
    <row r="20" spans="1:21" s="102" customFormat="1" ht="19">
      <c r="A20" s="113"/>
      <c r="B20" s="100"/>
      <c r="C20" s="99"/>
      <c r="D20" s="99"/>
      <c r="E20" s="99"/>
      <c r="F20" s="112"/>
      <c r="G20" s="99"/>
      <c r="H20" s="99"/>
      <c r="I20" s="99"/>
      <c r="J20" s="99"/>
      <c r="K20" s="100"/>
      <c r="L20" s="99"/>
      <c r="M20" s="99"/>
      <c r="N20" s="99"/>
      <c r="O20" s="128"/>
      <c r="P20" s="99"/>
      <c r="Q20" s="99"/>
      <c r="S20" s="99"/>
      <c r="T20" s="99"/>
      <c r="U20" s="114"/>
    </row>
    <row r="21" spans="1:21" s="102" customFormat="1" ht="19">
      <c r="A21" s="113"/>
      <c r="B21" s="100"/>
      <c r="C21" s="99"/>
      <c r="D21" s="99"/>
      <c r="E21" s="99"/>
      <c r="F21" s="112"/>
      <c r="G21" s="99"/>
      <c r="H21" s="99"/>
      <c r="I21" s="99"/>
      <c r="J21" s="99"/>
      <c r="K21" s="100"/>
      <c r="L21" s="99"/>
      <c r="M21" s="99"/>
      <c r="N21" s="99"/>
      <c r="O21" s="128"/>
      <c r="P21" s="99"/>
      <c r="Q21" s="99"/>
      <c r="S21" s="99"/>
      <c r="T21" s="101"/>
      <c r="U21" s="114"/>
    </row>
    <row r="22" spans="1:21" s="102" customFormat="1" ht="19">
      <c r="A22" s="113"/>
      <c r="B22" s="100"/>
      <c r="C22" s="99"/>
      <c r="D22" s="99"/>
      <c r="E22" s="99"/>
      <c r="F22" s="112"/>
      <c r="G22" s="99"/>
      <c r="H22" s="99"/>
      <c r="I22" s="99"/>
      <c r="J22" s="99"/>
      <c r="K22" s="100"/>
      <c r="L22" s="99"/>
      <c r="M22" s="99"/>
      <c r="N22" s="99"/>
      <c r="O22" s="128"/>
      <c r="P22" s="99"/>
      <c r="Q22" s="99"/>
      <c r="S22" s="99"/>
      <c r="T22" s="101"/>
      <c r="U22" s="114"/>
    </row>
    <row r="23" spans="1:21" s="102" customFormat="1" ht="19">
      <c r="A23" s="113"/>
      <c r="B23" s="100"/>
      <c r="C23" s="99"/>
      <c r="D23" s="99"/>
      <c r="E23" s="99"/>
      <c r="F23" s="112"/>
      <c r="G23" s="99"/>
      <c r="H23" s="99"/>
      <c r="I23" s="99"/>
      <c r="J23" s="99"/>
      <c r="K23" s="100"/>
      <c r="L23" s="99"/>
      <c r="M23" s="99"/>
      <c r="N23" s="99"/>
      <c r="O23" s="128"/>
      <c r="P23" s="99"/>
      <c r="Q23" s="99"/>
      <c r="S23" s="99"/>
      <c r="T23" s="99"/>
      <c r="U23" s="114"/>
    </row>
    <row r="24" spans="1:21" s="102" customFormat="1" ht="19">
      <c r="A24" s="113"/>
      <c r="B24" s="100"/>
      <c r="C24" s="99"/>
      <c r="D24" s="99"/>
      <c r="E24" s="99"/>
      <c r="F24" s="112"/>
      <c r="G24" s="99"/>
      <c r="H24" s="99"/>
      <c r="I24" s="99"/>
      <c r="J24" s="99"/>
      <c r="K24" s="100"/>
      <c r="L24" s="99"/>
      <c r="M24" s="99"/>
      <c r="N24" s="99"/>
      <c r="O24" s="128"/>
      <c r="P24" s="99"/>
      <c r="Q24" s="99"/>
      <c r="S24" s="99"/>
      <c r="T24" s="99"/>
      <c r="U24" s="114"/>
    </row>
    <row r="25" spans="1:21" s="102" customFormat="1" ht="19">
      <c r="A25" s="113"/>
      <c r="B25" s="99"/>
      <c r="C25" s="99"/>
      <c r="D25" s="99"/>
      <c r="E25" s="99"/>
      <c r="F25" s="112"/>
      <c r="G25" s="99"/>
      <c r="H25" s="99"/>
      <c r="I25" s="99"/>
      <c r="J25" s="99"/>
      <c r="K25" s="99"/>
      <c r="L25" s="99"/>
      <c r="M25" s="99"/>
      <c r="N25" s="99"/>
      <c r="O25" s="128"/>
      <c r="P25" s="99"/>
      <c r="Q25" s="99"/>
      <c r="S25" s="99"/>
      <c r="T25" s="99"/>
      <c r="U25" s="153"/>
    </row>
    <row r="26" spans="1:21" s="102" customFormat="1" ht="19">
      <c r="A26" s="113"/>
      <c r="B26" s="100"/>
      <c r="C26" s="99"/>
      <c r="D26" s="99"/>
      <c r="E26" s="99"/>
      <c r="F26" s="112"/>
      <c r="G26" s="99"/>
      <c r="H26" s="99"/>
      <c r="I26" s="99"/>
      <c r="J26" s="99"/>
      <c r="K26" s="100"/>
      <c r="L26" s="99"/>
      <c r="M26" s="99"/>
      <c r="N26" s="99"/>
      <c r="O26" s="128"/>
      <c r="P26" s="99"/>
      <c r="Q26" s="99"/>
      <c r="S26" s="99"/>
      <c r="T26" s="99"/>
      <c r="U26" s="114"/>
    </row>
    <row r="27" spans="1:21" s="102" customFormat="1" ht="19">
      <c r="A27" s="113"/>
      <c r="B27" s="100"/>
      <c r="C27" s="99"/>
      <c r="D27" s="99"/>
      <c r="E27" s="99"/>
      <c r="F27" s="112"/>
      <c r="G27" s="99"/>
      <c r="H27" s="99"/>
      <c r="I27" s="99"/>
      <c r="J27" s="99"/>
      <c r="K27" s="100"/>
      <c r="L27" s="99"/>
      <c r="M27" s="99"/>
      <c r="N27" s="99"/>
      <c r="O27" s="128"/>
      <c r="P27" s="99"/>
      <c r="Q27" s="99"/>
      <c r="S27" s="99"/>
      <c r="T27" s="99"/>
      <c r="U27" s="114"/>
    </row>
    <row r="28" spans="1:21" s="102" customFormat="1" ht="19">
      <c r="A28" s="113"/>
      <c r="B28" s="100"/>
      <c r="C28" s="99"/>
      <c r="D28" s="99"/>
      <c r="E28" s="99"/>
      <c r="F28" s="112"/>
      <c r="G28" s="99"/>
      <c r="H28" s="99"/>
      <c r="I28" s="99"/>
      <c r="J28" s="99"/>
      <c r="K28" s="100"/>
      <c r="L28" s="99"/>
      <c r="M28" s="99"/>
      <c r="N28" s="99"/>
      <c r="O28" s="128"/>
      <c r="P28" s="99"/>
      <c r="Q28" s="99"/>
      <c r="S28" s="99"/>
      <c r="T28" s="99"/>
      <c r="U28" s="114"/>
    </row>
    <row r="29" spans="1:21" ht="19">
      <c r="A29" s="113"/>
      <c r="B29" s="100"/>
      <c r="C29" s="99"/>
      <c r="D29" s="99"/>
      <c r="E29" s="99"/>
      <c r="F29" s="112"/>
      <c r="G29" s="99"/>
      <c r="H29" s="99"/>
      <c r="I29" s="99"/>
      <c r="J29" s="99"/>
      <c r="K29" s="100"/>
      <c r="L29" s="99"/>
      <c r="M29" s="99"/>
      <c r="N29" s="99"/>
      <c r="O29" s="128"/>
      <c r="P29" s="99"/>
      <c r="Q29" s="99"/>
      <c r="R29" s="102"/>
      <c r="S29" s="99"/>
      <c r="T29" s="101"/>
      <c r="U29" s="114"/>
    </row>
    <row r="30" spans="1:21" ht="19">
      <c r="A30" s="113"/>
      <c r="B30" s="100"/>
      <c r="C30" s="99"/>
      <c r="D30" s="99"/>
      <c r="E30" s="99"/>
      <c r="F30" s="112"/>
      <c r="G30" s="99"/>
      <c r="H30" s="99"/>
      <c r="I30" s="99"/>
      <c r="J30" s="99"/>
      <c r="K30" s="100"/>
      <c r="L30" s="99"/>
      <c r="M30" s="99"/>
      <c r="N30" s="99"/>
      <c r="O30" s="128"/>
      <c r="P30" s="99"/>
      <c r="Q30" s="99"/>
      <c r="R30" s="102"/>
      <c r="S30" s="99"/>
      <c r="T30" s="101"/>
      <c r="U30" s="114"/>
    </row>
    <row r="31" spans="1:21" s="102" customFormat="1" ht="19">
      <c r="A31" s="113"/>
      <c r="B31" s="100"/>
      <c r="C31" s="99"/>
      <c r="D31" s="99"/>
      <c r="E31" s="99"/>
      <c r="F31" s="112"/>
      <c r="G31" s="99"/>
      <c r="H31" s="99"/>
      <c r="I31" s="99"/>
      <c r="J31" s="99"/>
      <c r="K31" s="100"/>
      <c r="L31" s="99"/>
      <c r="M31" s="99"/>
      <c r="N31" s="99"/>
      <c r="O31" s="128"/>
      <c r="P31" s="99"/>
      <c r="Q31" s="99"/>
      <c r="S31" s="99"/>
      <c r="T31" s="99"/>
      <c r="U31" s="114"/>
    </row>
    <row r="32" spans="1:21">
      <c r="O32" s="106">
        <f>SUM(O6:O31)</f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6D5C-589A-9545-8C4A-ABBFAA4E80EC}">
  <dimension ref="A3:T30"/>
  <sheetViews>
    <sheetView zoomScale="140" zoomScaleNormal="140" workbookViewId="0">
      <selection activeCell="F19" sqref="F19"/>
    </sheetView>
  </sheetViews>
  <sheetFormatPr baseColWidth="10" defaultRowHeight="15"/>
  <cols>
    <col min="1" max="1" width="4.33203125" customWidth="1"/>
    <col min="3" max="3" width="19.6640625" customWidth="1"/>
    <col min="4" max="4" width="9.6640625" customWidth="1"/>
    <col min="5" max="5" width="15.33203125" customWidth="1"/>
    <col min="6" max="6" width="34.6640625" customWidth="1"/>
    <col min="7" max="7" width="19.83203125" customWidth="1"/>
    <col min="8" max="8" width="8.33203125" customWidth="1"/>
    <col min="10" max="10" width="15.6640625" customWidth="1"/>
    <col min="11" max="11" width="11" customWidth="1"/>
    <col min="12" max="12" width="21" customWidth="1"/>
    <col min="13" max="13" width="21.1640625" customWidth="1"/>
    <col min="14" max="14" width="19.5" customWidth="1"/>
    <col min="15" max="15" width="10.83203125" style="118"/>
    <col min="16" max="16" width="27" customWidth="1"/>
    <col min="18" max="18" width="18.83203125" customWidth="1"/>
    <col min="19" max="19" width="32.6640625" customWidth="1"/>
  </cols>
  <sheetData>
    <row r="3" spans="1:20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144"/>
      <c r="P3" s="82"/>
    </row>
    <row r="4" spans="1:20">
      <c r="A4" s="82"/>
      <c r="B4" s="82"/>
      <c r="C4" s="129" t="s">
        <v>995</v>
      </c>
      <c r="D4" s="130"/>
      <c r="E4" s="130"/>
      <c r="F4" s="82"/>
      <c r="G4" s="130"/>
      <c r="H4" s="130"/>
      <c r="I4" s="130"/>
      <c r="J4" s="130"/>
      <c r="K4" s="130"/>
      <c r="L4" s="130"/>
      <c r="M4" s="130"/>
      <c r="N4" s="130"/>
      <c r="O4" s="145"/>
      <c r="P4" s="82"/>
    </row>
    <row r="5" spans="1:20" ht="16" thickBot="1">
      <c r="A5" s="82"/>
      <c r="B5" s="130"/>
      <c r="C5" s="131" t="s">
        <v>1</v>
      </c>
      <c r="D5" s="131"/>
      <c r="E5" s="131"/>
      <c r="F5" s="82"/>
      <c r="J5" t="s">
        <v>1020</v>
      </c>
      <c r="K5" s="82"/>
      <c r="L5" s="132" t="s">
        <v>1032</v>
      </c>
      <c r="P5" s="82"/>
    </row>
    <row r="6" spans="1:20" s="138" customFormat="1" ht="51">
      <c r="A6" s="133"/>
      <c r="B6" s="134" t="s">
        <v>996</v>
      </c>
      <c r="C6" s="135" t="s">
        <v>1021</v>
      </c>
      <c r="D6" s="135" t="s">
        <v>28</v>
      </c>
      <c r="E6" s="136" t="s">
        <v>1022</v>
      </c>
      <c r="F6" s="135" t="s">
        <v>1023</v>
      </c>
      <c r="G6" s="135" t="s">
        <v>1024</v>
      </c>
      <c r="H6" s="134" t="s">
        <v>32</v>
      </c>
      <c r="I6" s="135" t="s">
        <v>997</v>
      </c>
      <c r="J6" s="135" t="s">
        <v>1025</v>
      </c>
      <c r="K6" s="135" t="s">
        <v>1026</v>
      </c>
      <c r="L6" s="135" t="s">
        <v>36</v>
      </c>
      <c r="M6" s="137" t="s">
        <v>1027</v>
      </c>
      <c r="N6" s="135" t="s">
        <v>38</v>
      </c>
      <c r="O6" s="146" t="s">
        <v>39</v>
      </c>
      <c r="P6" s="135" t="s">
        <v>1028</v>
      </c>
      <c r="Q6" s="83" t="s">
        <v>41</v>
      </c>
      <c r="R6" s="81" t="s">
        <v>42</v>
      </c>
      <c r="S6" s="81" t="s">
        <v>1029</v>
      </c>
    </row>
    <row r="7" spans="1:20" s="102" customFormat="1" ht="19">
      <c r="A7" s="159"/>
      <c r="B7" s="160"/>
      <c r="C7" s="161" t="s">
        <v>1038</v>
      </c>
      <c r="D7" s="161" t="s">
        <v>1034</v>
      </c>
      <c r="E7" s="161">
        <v>113120010</v>
      </c>
      <c r="F7" s="162" t="str">
        <f t="shared" ref="F7:F8" si="0">VLOOKUP(E7,PROD,2,FALSE)</f>
        <v>GFI 97350 ECS IX 110/60 CAMPANA</v>
      </c>
      <c r="G7" s="161"/>
      <c r="H7" s="161" t="s">
        <v>1034</v>
      </c>
      <c r="I7" s="161" t="s">
        <v>1035</v>
      </c>
      <c r="J7" s="161" t="s">
        <v>1036</v>
      </c>
      <c r="K7" s="160"/>
      <c r="L7" s="161"/>
      <c r="M7" s="161"/>
      <c r="N7" s="161"/>
      <c r="O7" s="163">
        <v>15</v>
      </c>
      <c r="P7" s="161" t="s">
        <v>1039</v>
      </c>
      <c r="Q7" s="161" t="s">
        <v>1035</v>
      </c>
      <c r="R7" s="164"/>
      <c r="S7" s="165"/>
      <c r="T7" s="99"/>
    </row>
    <row r="8" spans="1:20" s="102" customFormat="1" ht="19">
      <c r="A8" s="159"/>
      <c r="B8" s="160"/>
      <c r="C8" s="161"/>
      <c r="D8" s="161"/>
      <c r="E8" s="161"/>
      <c r="F8" s="162"/>
      <c r="G8" s="161"/>
      <c r="H8" s="161"/>
      <c r="I8" s="161"/>
      <c r="J8" s="161"/>
      <c r="K8" s="160"/>
      <c r="L8" s="161"/>
      <c r="M8" s="161"/>
      <c r="N8" s="161"/>
      <c r="O8" s="163"/>
      <c r="P8" s="161"/>
      <c r="Q8" s="161"/>
      <c r="R8" s="164"/>
      <c r="S8" s="165"/>
      <c r="T8" s="99"/>
    </row>
    <row r="9" spans="1:20" s="102" customFormat="1" ht="19">
      <c r="A9" s="166"/>
      <c r="B9" s="148"/>
      <c r="C9" s="161"/>
      <c r="D9" s="161"/>
      <c r="E9" s="140"/>
      <c r="F9" s="162"/>
      <c r="G9" s="141"/>
      <c r="H9" s="161"/>
      <c r="I9" s="161"/>
      <c r="J9" s="161"/>
      <c r="K9" s="149"/>
      <c r="L9" s="150"/>
      <c r="M9" s="150"/>
      <c r="N9" s="152"/>
      <c r="O9" s="151"/>
      <c r="P9" s="141"/>
      <c r="Q9" s="141"/>
      <c r="R9" s="167"/>
      <c r="S9" s="165"/>
    </row>
    <row r="10" spans="1:20" s="102" customFormat="1" ht="19">
      <c r="A10" s="166"/>
      <c r="B10" s="148"/>
      <c r="C10" s="161"/>
      <c r="D10" s="161"/>
      <c r="E10" s="140"/>
      <c r="F10" s="162"/>
      <c r="G10" s="141"/>
      <c r="H10" s="161"/>
      <c r="I10" s="161"/>
      <c r="J10" s="161"/>
      <c r="K10" s="149"/>
      <c r="L10" s="150"/>
      <c r="M10" s="150"/>
      <c r="N10" s="152"/>
      <c r="O10" s="151"/>
      <c r="P10" s="141"/>
      <c r="Q10" s="141"/>
      <c r="R10" s="167"/>
      <c r="S10" s="165"/>
    </row>
    <row r="11" spans="1:20" ht="17">
      <c r="C11" s="158"/>
      <c r="O11" s="118">
        <f>SUM(O7:O10)</f>
        <v>15</v>
      </c>
    </row>
    <row r="12" spans="1:20" ht="17">
      <c r="C12" s="139"/>
      <c r="J12" s="142" t="s">
        <v>1030</v>
      </c>
      <c r="K12" s="142">
        <v>60</v>
      </c>
    </row>
    <row r="13" spans="1:20" ht="17">
      <c r="C13" s="139"/>
    </row>
    <row r="14" spans="1:20" ht="17">
      <c r="C14" s="139"/>
    </row>
    <row r="15" spans="1:20" ht="17">
      <c r="C15" s="139"/>
    </row>
    <row r="16" spans="1:20" ht="17">
      <c r="C16" s="139"/>
    </row>
    <row r="17" spans="3:3" ht="17">
      <c r="C17" s="139"/>
    </row>
    <row r="18" spans="3:3" ht="17">
      <c r="C18" s="139"/>
    </row>
    <row r="19" spans="3:3" ht="17">
      <c r="C19" s="139"/>
    </row>
    <row r="20" spans="3:3" ht="17">
      <c r="C20" s="139"/>
    </row>
    <row r="21" spans="3:3" ht="17">
      <c r="C21" s="139"/>
    </row>
    <row r="22" spans="3:3" ht="17">
      <c r="C22" s="139"/>
    </row>
    <row r="23" spans="3:3" ht="17">
      <c r="C23" s="139"/>
    </row>
    <row r="24" spans="3:3" ht="17">
      <c r="C24" s="139"/>
    </row>
    <row r="25" spans="3:3" ht="17">
      <c r="C25" s="139"/>
    </row>
    <row r="26" spans="3:3" ht="17">
      <c r="C26" s="139"/>
    </row>
    <row r="27" spans="3:3" ht="17">
      <c r="C27" s="139"/>
    </row>
    <row r="28" spans="3:3" ht="17">
      <c r="C28" s="139"/>
    </row>
    <row r="29" spans="3:3" ht="17">
      <c r="C29" s="139"/>
    </row>
    <row r="30" spans="3:3" ht="17">
      <c r="C30" s="139"/>
    </row>
  </sheetData>
  <phoneticPr fontId="6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GARANTIAS</vt:lpstr>
      <vt:lpstr>PROMOCION</vt:lpstr>
      <vt:lpstr>BBQ</vt:lpstr>
      <vt:lpstr>BASE </vt:lpstr>
      <vt:lpstr>CONSOLIDADO</vt:lpstr>
      <vt:lpstr>UN PRODUCTO</vt:lpstr>
      <vt:lpstr>ALMACEN</vt:lpstr>
      <vt:lpstr>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Office</cp:lastModifiedBy>
  <dcterms:created xsi:type="dcterms:W3CDTF">2025-07-02T17:46:19Z</dcterms:created>
  <dcterms:modified xsi:type="dcterms:W3CDTF">2026-06-22T18:15:45Z</dcterms:modified>
</cp:coreProperties>
</file>